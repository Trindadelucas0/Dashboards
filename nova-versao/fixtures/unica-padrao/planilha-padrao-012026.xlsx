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N:\Meu Drive\DASHBOARDS ÊXITO\UNICA\01-2026\"/>
    </mc:Choice>
  </mc:AlternateContent>
  <xr:revisionPtr revIDLastSave="0" documentId="13_ncr:1_{090AD52A-1771-48D0-950A-BA1457DBAE76}" xr6:coauthVersionLast="37" xr6:coauthVersionMax="47" xr10:uidLastSave="{00000000-0000-0000-0000-000000000000}"/>
  <bookViews>
    <workbookView xWindow="19095" yWindow="0" windowWidth="19410" windowHeight="15585" activeTab="10" xr2:uid="{00000000-000D-0000-FFFF-FFFF00000000}"/>
  </bookViews>
  <sheets>
    <sheet name="DRE" sheetId="8" r:id="rId1"/>
    <sheet name="BALANCETE" sheetId="9" r:id="rId2"/>
    <sheet name="ICMS 5005-2012" sheetId="1" r:id="rId3"/>
    <sheet name="PIS COFINS" sheetId="2" r:id="rId4"/>
    <sheet name="IRPJ" sheetId="3" r:id="rId5"/>
    <sheet name="CSLL" sheetId="4" r:id="rId6"/>
    <sheet name="ST" sheetId="5" r:id="rId7"/>
    <sheet name="DIFAL" sheetId="6" r:id="rId8"/>
    <sheet name="IPI" sheetId="7" r:id="rId9"/>
    <sheet name="ENTRADAS" sheetId="10" r:id="rId10"/>
    <sheet name="SAÍDAS" sheetId="11" r:id="rId11"/>
  </sheets>
  <calcPr calcId="179021" iterateDelta="1E-4"/>
</workbook>
</file>

<file path=xl/calcChain.xml><?xml version="1.0" encoding="utf-8"?>
<calcChain xmlns="http://schemas.openxmlformats.org/spreadsheetml/2006/main">
  <c r="B16" i="1" l="1"/>
  <c r="B14" i="1"/>
  <c r="B6" i="1"/>
  <c r="B5" i="1"/>
  <c r="B3" i="1"/>
  <c r="F14" i="2" l="1"/>
  <c r="H8" i="2"/>
  <c r="D13" i="2" s="1"/>
  <c r="H7" i="2"/>
  <c r="D14" i="2" s="1"/>
  <c r="H4" i="2"/>
  <c r="C13" i="2" s="1"/>
  <c r="H3" i="2"/>
  <c r="C14" i="2" s="1"/>
  <c r="F13" i="2" l="1"/>
  <c r="B18" i="1"/>
  <c r="B7" i="1"/>
</calcChain>
</file>

<file path=xl/sharedStrings.xml><?xml version="1.0" encoding="utf-8"?>
<sst xmlns="http://schemas.openxmlformats.org/spreadsheetml/2006/main" count="12536" uniqueCount="2176">
  <si>
    <t>DÉBITO ORIGINAL</t>
  </si>
  <si>
    <t>CREDITO ORIGINAL</t>
  </si>
  <si>
    <t>TOTAL</t>
  </si>
  <si>
    <t>DEBITOS 5005</t>
  </si>
  <si>
    <t>CREDITOS 5005</t>
  </si>
  <si>
    <t>DÉBITO FORA</t>
  </si>
  <si>
    <t>CREDITO FORA</t>
  </si>
  <si>
    <t>CREDITO  OUTORGADO</t>
  </si>
  <si>
    <t>ICMS A RECOLHER</t>
  </si>
  <si>
    <t>GANHO RECEITA DE SUBVENÇÃO</t>
  </si>
  <si>
    <t>VALOR PRODUTO</t>
  </si>
  <si>
    <t>VALOR CONTABIL</t>
  </si>
  <si>
    <t xml:space="preserve">BASE DE CALCULO </t>
  </si>
  <si>
    <t>AJUSTE .B.C</t>
  </si>
  <si>
    <t>B.C. AJUSTADA</t>
  </si>
  <si>
    <t>ALIQUOTA</t>
  </si>
  <si>
    <t>VALOR IMPOSTO</t>
  </si>
  <si>
    <t>DEBITO</t>
  </si>
  <si>
    <t>CREDITO</t>
  </si>
  <si>
    <t>RESUMO APURAÇÃO</t>
  </si>
  <si>
    <t>PIS</t>
  </si>
  <si>
    <t>SALDO CREDOR</t>
  </si>
  <si>
    <t>PIS A RECOLHER</t>
  </si>
  <si>
    <t>COFINS</t>
  </si>
  <si>
    <t>UF</t>
  </si>
  <si>
    <t>VALOR</t>
  </si>
  <si>
    <t>DF</t>
  </si>
  <si>
    <t>AC</t>
  </si>
  <si>
    <t>AL</t>
  </si>
  <si>
    <t>AP</t>
  </si>
  <si>
    <t>AM</t>
  </si>
  <si>
    <t>BA</t>
  </si>
  <si>
    <t>CE</t>
  </si>
  <si>
    <t>ES</t>
  </si>
  <si>
    <t>GO</t>
  </si>
  <si>
    <t>MA</t>
  </si>
  <si>
    <t>MT</t>
  </si>
  <si>
    <t>MS</t>
  </si>
  <si>
    <t>MG</t>
  </si>
  <si>
    <t>PA</t>
  </si>
  <si>
    <t>PB</t>
  </si>
  <si>
    <t>PR</t>
  </si>
  <si>
    <t>PE</t>
  </si>
  <si>
    <t>PI</t>
  </si>
  <si>
    <t>RJ</t>
  </si>
  <si>
    <t>RN</t>
  </si>
  <si>
    <t>RS</t>
  </si>
  <si>
    <t>RO</t>
  </si>
  <si>
    <t>RR</t>
  </si>
  <si>
    <t>SC</t>
  </si>
  <si>
    <t>SP</t>
  </si>
  <si>
    <t>SE</t>
  </si>
  <si>
    <t>TO</t>
  </si>
  <si>
    <t>IPI</t>
  </si>
  <si>
    <t>Competência:</t>
  </si>
  <si>
    <t>DEMONSTRATIVO DA CSLL</t>
  </si>
  <si>
    <t>Movimento</t>
  </si>
  <si>
    <t>Valor contábil</t>
  </si>
  <si>
    <t>% Base cálculo</t>
  </si>
  <si>
    <t>Base de cálculo</t>
  </si>
  <si>
    <t>Alíquota</t>
  </si>
  <si>
    <t>Saídas</t>
  </si>
  <si>
    <t>Deduções de IPI</t>
  </si>
  <si>
    <t>Total:</t>
  </si>
  <si>
    <t>(-)Devoluções de saída</t>
  </si>
  <si>
    <t>Receita bruta sujeita ao percentual de base de cálculo de 12,00%</t>
  </si>
  <si>
    <t>Total do Estabelecimento:</t>
  </si>
  <si>
    <t>PERCENTUAL DE PRESUNÇÃO MAJORADO</t>
  </si>
  <si>
    <t>Descrição</t>
  </si>
  <si>
    <t>Receita até o limite sujeita ao percentual de B.C de 12,00%</t>
  </si>
  <si>
    <t>Receita excedente sujeita ao percentual de B.C de 13,20% majorada</t>
  </si>
  <si>
    <t>Total da base de cálculo para a Contribuição Social - CSLL</t>
  </si>
  <si>
    <t>APURAÇÃO</t>
  </si>
  <si>
    <t>Valor</t>
  </si>
  <si>
    <t>Saldo credor do período anterior</t>
  </si>
  <si>
    <t/>
  </si>
  <si>
    <t>Débitos</t>
  </si>
  <si>
    <t>Outros acréscimos</t>
  </si>
  <si>
    <t>Bônus adimplência fiscal</t>
  </si>
  <si>
    <t xml:space="preserve">		Saldo de bônus adimplência fiscal do período anterior</t>
  </si>
  <si>
    <t xml:space="preserve">		Bônus adimplência fiscal do período</t>
  </si>
  <si>
    <t xml:space="preserve">		Bônus adimplência fiscal acumulado até o período anterior</t>
  </si>
  <si>
    <t xml:space="preserve">		Bônus adimplência fiscal não aproveitado</t>
  </si>
  <si>
    <t xml:space="preserve">		Estorno de bônus adimplência fiscal por impedimento legal</t>
  </si>
  <si>
    <t xml:space="preserve">		Saldo de bônus adimplência fiscal para o período seguinte</t>
  </si>
  <si>
    <t>Retenções</t>
  </si>
  <si>
    <t xml:space="preserve">		Retenção na fonte</t>
  </si>
  <si>
    <t xml:space="preserve">		Saldo anterior CRF órgãos públicos</t>
  </si>
  <si>
    <t xml:space="preserve">		CRF órgãos públicos</t>
  </si>
  <si>
    <t xml:space="preserve">		Devoluções de vendas CRF órgãos públicos</t>
  </si>
  <si>
    <t xml:space="preserve">		Retenções CRF órgãos públicos para o período seguinte</t>
  </si>
  <si>
    <t>Antecipação</t>
  </si>
  <si>
    <t>Outras deduções</t>
  </si>
  <si>
    <t xml:space="preserve">		Ressarcimento/Compensação de PIS/COFINS</t>
  </si>
  <si>
    <t xml:space="preserve">		Outras Compensações - Em Quotas</t>
  </si>
  <si>
    <t xml:space="preserve">		Outras Compensações</t>
  </si>
  <si>
    <t xml:space="preserve">		Pagamento Indevido ou a Maior - Em Quotas</t>
  </si>
  <si>
    <t xml:space="preserve">		Pagamento Indevido ou a Maior</t>
  </si>
  <si>
    <t xml:space="preserve">		Outras deduções</t>
  </si>
  <si>
    <t>Contribuição Social diferido do período anterior</t>
  </si>
  <si>
    <t>Contribuição Social diferido do período</t>
  </si>
  <si>
    <t>Saldo devedor de Contribuição Social</t>
  </si>
  <si>
    <t>Saldo credor de Contribuição Social para o mês seguinte</t>
  </si>
  <si>
    <t>Sistema licenciado para EXITO CONTABILIDADE EIRELI</t>
  </si>
  <si>
    <t>DEMONSTRATIVO DO IRPJ</t>
  </si>
  <si>
    <t>(-)Devolução de saídas</t>
  </si>
  <si>
    <t>Receita bruta sujeita ao percentual de base de cálculo de 8,00%</t>
  </si>
  <si>
    <t>Total Receitas:</t>
  </si>
  <si>
    <t>Receita até o limite sujeita ao percentual de B.C de 8,00%</t>
  </si>
  <si>
    <t>Receita excedente sujeita ao percentual de B.C de 8,80% majorada</t>
  </si>
  <si>
    <t>Total da base de cálculo para o Imposto de Renda - IRPJ</t>
  </si>
  <si>
    <t>ADICIONAL DO IRPJ</t>
  </si>
  <si>
    <t>Base de cálculo (Receita bruta auferida x % Base cálculo)</t>
  </si>
  <si>
    <t>Valor limite não sujeito ao adicional</t>
  </si>
  <si>
    <t>Parcela excedente ao limite</t>
  </si>
  <si>
    <t>Alíquota do adicional</t>
  </si>
  <si>
    <t>Valor do adicional do IRPJ</t>
  </si>
  <si>
    <t>Saldo credor utilizado na apuração do imposto 33-IRPJ-PO</t>
  </si>
  <si>
    <t>Outros débitos</t>
  </si>
  <si>
    <t>Compensação saldo negativo de IRPJ</t>
  </si>
  <si>
    <t>IRPJ retido</t>
  </si>
  <si>
    <t>IRRF propaganda</t>
  </si>
  <si>
    <t>Saldo anterior CRF órgãos públicos</t>
  </si>
  <si>
    <t>CRF órgãos públicos</t>
  </si>
  <si>
    <t>Devoluções de vendas CRF órgãos públicos</t>
  </si>
  <si>
    <t>Retenções CRF órgãos públicos para o período seguinte</t>
  </si>
  <si>
    <t>Ressarcimento/Compensação de PIS/COFINS</t>
  </si>
  <si>
    <t>Outras Compensações - Em Quotas</t>
  </si>
  <si>
    <t>Outras Compensações</t>
  </si>
  <si>
    <t>Pagamento Indevido ou a Maior - Em Quotas</t>
  </si>
  <si>
    <t>Pagamento Indevido ou a Maior</t>
  </si>
  <si>
    <t>Adicional de IRPJ</t>
  </si>
  <si>
    <t>IRPJ diferido do período anterior</t>
  </si>
  <si>
    <t>IRPJ diferido do período</t>
  </si>
  <si>
    <t>FIA a recolher</t>
  </si>
  <si>
    <t>Saldo devedor de IRPJ</t>
  </si>
  <si>
    <t>Saldo credor de IRPJ para o mês seguinte</t>
  </si>
  <si>
    <t>Estabelecimento: 03.185.564/0001-34 - EGAPLAST ARTEFATOS E COMERCIO DE PLASTICOS LTDA</t>
  </si>
  <si>
    <t>RECEITA BRUTA</t>
  </si>
  <si>
    <t>VENDA DE MERCADORIAS</t>
  </si>
  <si>
    <t>(-) DEDUÇÕES DA RECEITA BRUTA</t>
  </si>
  <si>
    <t>(-) DEVOLUÇÃO DE VENDA DE MERCADORIAS</t>
  </si>
  <si>
    <t>(-) ICMS</t>
  </si>
  <si>
    <t>(-) COFINS</t>
  </si>
  <si>
    <t>(-) PIS</t>
  </si>
  <si>
    <t>(-) SUBSTITUIÇÃO TRIBUTÁRIA</t>
  </si>
  <si>
    <t>= RECEITA LÍQUIDA</t>
  </si>
  <si>
    <t>(-) CMV</t>
  </si>
  <si>
    <t>CUSTOS DAS MERCADORIAS VENDIDAS</t>
  </si>
  <si>
    <t>= LUCRO BRUTO</t>
  </si>
  <si>
    <t>(-) DESPESAS OPERACIONAIS</t>
  </si>
  <si>
    <t>DESPESAS COM VENDAS</t>
  </si>
  <si>
    <t>FRETES E CARRETOS</t>
  </si>
  <si>
    <t>DESPESAS ADMINISTRATIVAS</t>
  </si>
  <si>
    <t>SALÁRIOS E ORDENADOS</t>
  </si>
  <si>
    <t>INSS</t>
  </si>
  <si>
    <t>FGTS</t>
  </si>
  <si>
    <t>ENERGIA ELÉTRICA</t>
  </si>
  <si>
    <t>ÁGUA E ESGOTO</t>
  </si>
  <si>
    <t>SEGUROS</t>
  </si>
  <si>
    <t>HONORÁRIOS CONTÁBEIS</t>
  </si>
  <si>
    <t>SERVIÇOS PRESTADOS POR TERCEIROS</t>
  </si>
  <si>
    <t>DESPESAS COM INTERNET</t>
  </si>
  <si>
    <t>COMBUSTÍVEL</t>
  </si>
  <si>
    <t>(+/-) RECEITAS FINANCEIRAS</t>
  </si>
  <si>
    <t>DESPESAS BANCÁRIA</t>
  </si>
  <si>
    <t>(-) OUTRAS RECEITAS OPERACIONAIS</t>
  </si>
  <si>
    <t>BONIFICAÇÃO RECEBIDA</t>
  </si>
  <si>
    <t>RECEITA DE SUBVENÇÃO ICMS</t>
  </si>
  <si>
    <t>= LUCRO OU PREJUÍZO OPERACIONAL</t>
  </si>
  <si>
    <t>JANEIRO</t>
  </si>
  <si>
    <t>AV</t>
  </si>
  <si>
    <t>AH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</si>
  <si>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</si>
  <si>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</si>
  <si>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</si>
  <si>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</si>
  <si>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</si>
  <si>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</si>
  <si>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</si>
  <si>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</si>
  <si>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</si>
  <si>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</si>
  <si>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</si>
  <si>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Código</t>
  </si>
  <si>
    <t>Classificação</t>
  </si>
  <si>
    <t>Descrição da conta</t>
  </si>
  <si>
    <t>ATIVO</t>
  </si>
  <si>
    <t>1.1</t>
  </si>
  <si>
    <t xml:space="preserve">   ATIVO CIRCULANTE</t>
  </si>
  <si>
    <t>1.1.1</t>
  </si>
  <si>
    <t xml:space="preserve">      DISPONÍVEL</t>
  </si>
  <si>
    <t>1.1.1.02</t>
  </si>
  <si>
    <t xml:space="preserve">         BANCOS CONTA MOVIMENTO</t>
  </si>
  <si>
    <t>1.1.1.02.00001</t>
  </si>
  <si>
    <t xml:space="preserve">            BANCO STONE - AG 0001 C/C 9352840-4</t>
  </si>
  <si>
    <t>1.1.1.02.00002</t>
  </si>
  <si>
    <t xml:space="preserve">            ITAU - AG 8090 C/C: 98422-3</t>
  </si>
  <si>
    <t>1.1.2</t>
  </si>
  <si>
    <t xml:space="preserve">      CLIENTES</t>
  </si>
  <si>
    <t>1.1.2.01</t>
  </si>
  <si>
    <t xml:space="preserve">         DUPLICATAS A RECEBER</t>
  </si>
  <si>
    <t>1.1.2.01.00001</t>
  </si>
  <si>
    <t xml:space="preserve">            CLIENTES DIVERSOS</t>
  </si>
  <si>
    <t>1.1.3</t>
  </si>
  <si>
    <t xml:space="preserve">      OUTROS CRÉDITOS</t>
  </si>
  <si>
    <t>1.1.3.03</t>
  </si>
  <si>
    <t xml:space="preserve">         CONTA CORRENTE DE SÓCIOS</t>
  </si>
  <si>
    <t>1.1.3.03.00001</t>
  </si>
  <si>
    <t xml:space="preserve">            CONTA CORRENTE DE SÓCIOS</t>
  </si>
  <si>
    <t>1.1.3.08</t>
  </si>
  <si>
    <t xml:space="preserve">         TRIBUTOS A RECUPERAR/COMPENSAR</t>
  </si>
  <si>
    <t>1.1.3.08.00002</t>
  </si>
  <si>
    <t xml:space="preserve">            ICMS A RECUPERAR</t>
  </si>
  <si>
    <t>1.1.3.08.00012</t>
  </si>
  <si>
    <t xml:space="preserve">            COFINS A RECUPERAR</t>
  </si>
  <si>
    <t>1.1.3.08.00013</t>
  </si>
  <si>
    <t xml:space="preserve">            PIS A RECUPERAR</t>
  </si>
  <si>
    <t>1.1.5</t>
  </si>
  <si>
    <t xml:space="preserve">      ESTOQUE</t>
  </si>
  <si>
    <t>1.1.5.01</t>
  </si>
  <si>
    <t xml:space="preserve">         MERCADORIAS, PRODUTOS E INSUMOS</t>
  </si>
  <si>
    <t>1.1.5.01.00001</t>
  </si>
  <si>
    <t xml:space="preserve">            MERCADORIAS PARA REVENDA</t>
  </si>
  <si>
    <t>1.1.5.01.00002</t>
  </si>
  <si>
    <t xml:space="preserve">            MATÉRIA-PRIMA</t>
  </si>
  <si>
    <t>PASSIVO</t>
  </si>
  <si>
    <t>2.1</t>
  </si>
  <si>
    <t xml:space="preserve">   PASSIVO CIRCULANTE</t>
  </si>
  <si>
    <t>2.1.1</t>
  </si>
  <si>
    <t xml:space="preserve">      FORNECEDORES</t>
  </si>
  <si>
    <t>2.1.1.01</t>
  </si>
  <si>
    <t xml:space="preserve">         FORNECEDORES</t>
  </si>
  <si>
    <t>2.1.1.01.00001</t>
  </si>
  <si>
    <t xml:space="preserve">            FORNECEDORES DIVERSOS</t>
  </si>
  <si>
    <t>2.1.2</t>
  </si>
  <si>
    <t xml:space="preserve">      OBRIGAÇÕES TRIBUTÁRIAS</t>
  </si>
  <si>
    <t>2.1.2.01</t>
  </si>
  <si>
    <t xml:space="preserve">         IMPOSTOS E CONTRIBUIÇÕES A RECOLHER</t>
  </si>
  <si>
    <t>2.1.2.01.00002</t>
  </si>
  <si>
    <t xml:space="preserve">            ICMS A RECOLHER</t>
  </si>
  <si>
    <t>2.1.2.01.00009</t>
  </si>
  <si>
    <t xml:space="preserve">            PIS A RECOLHER</t>
  </si>
  <si>
    <t>2.1.2.01.00010</t>
  </si>
  <si>
    <t xml:space="preserve">            COFINS A RECOLHER</t>
  </si>
  <si>
    <t>2.1.2.01.00016</t>
  </si>
  <si>
    <t xml:space="preserve">            SUBSTITUIÇÃO TRIBUTÁRIA A RECOLHER</t>
  </si>
  <si>
    <t>2.1.3</t>
  </si>
  <si>
    <t xml:space="preserve">      OBRIGAÇÕES TRABALHISTA E PREVIDENCIÁRIA</t>
  </si>
  <si>
    <t>2.1.3.01</t>
  </si>
  <si>
    <t xml:space="preserve">         OBRIGAÇÕES COM O PESSOAL</t>
  </si>
  <si>
    <t>2.1.3.01.00001</t>
  </si>
  <si>
    <t xml:space="preserve">            SALÁRIOS E ORDENADOS A PAGAR</t>
  </si>
  <si>
    <t>2.1.3.01.00005</t>
  </si>
  <si>
    <t xml:space="preserve">            RESCISÕES A PAGAR</t>
  </si>
  <si>
    <t>2.1.3.02</t>
  </si>
  <si>
    <t xml:space="preserve">         OBRIGAÇÕES SOCIAIS</t>
  </si>
  <si>
    <t>2.1.3.02.00001</t>
  </si>
  <si>
    <t xml:space="preserve">            INSS A RECOLHER</t>
  </si>
  <si>
    <t>2.1.3.02.00002</t>
  </si>
  <si>
    <t xml:space="preserve">            FGTS A RECOLHER</t>
  </si>
  <si>
    <t>2.1.4</t>
  </si>
  <si>
    <t xml:space="preserve">      OUTRAS OBRIGAÇÕES</t>
  </si>
  <si>
    <t>2.1.4.02</t>
  </si>
  <si>
    <t xml:space="preserve">         CONTAS A PAGAR</t>
  </si>
  <si>
    <t>2.1.4.02.00002</t>
  </si>
  <si>
    <t xml:space="preserve">            LOJA DAS MÁQUINAS</t>
  </si>
  <si>
    <t>2.3</t>
  </si>
  <si>
    <t xml:space="preserve">   PATRIMÔNIO LÍQUIDO</t>
  </si>
  <si>
    <t>2.3.1</t>
  </si>
  <si>
    <t xml:space="preserve">      CAPITAL SOCIAL</t>
  </si>
  <si>
    <t>2.3.1.01</t>
  </si>
  <si>
    <t xml:space="preserve">         CAPITAL SUBSCRITO</t>
  </si>
  <si>
    <t>2.3.1.01.00001</t>
  </si>
  <si>
    <t xml:space="preserve">            CAPITAL SOCIAL</t>
  </si>
  <si>
    <t>2.3.3</t>
  </si>
  <si>
    <t xml:space="preserve">      LUCROS OU PREJUÍZOS ACUMULADOS</t>
  </si>
  <si>
    <t>2.3.3.01</t>
  </si>
  <si>
    <t xml:space="preserve">         LUCROS OU PREJUÍZOS ACUMULADOS</t>
  </si>
  <si>
    <t>2.3.3.01.00002</t>
  </si>
  <si>
    <t xml:space="preserve">            (-) PREJUÍZOS ACUMULADOS</t>
  </si>
  <si>
    <t>2.3.3.01.00004</t>
  </si>
  <si>
    <t xml:space="preserve">            LUCRO DO EXERCÍCIO</t>
  </si>
  <si>
    <t>2.3.3.01.00005</t>
  </si>
  <si>
    <t xml:space="preserve">            (-) PREJUÍZO DO EXERCÍCIO</t>
  </si>
  <si>
    <t>2.3.3.01.00007</t>
  </si>
  <si>
    <t xml:space="preserve">            (-) AJUSTES DEVEDORES DE EXERCÍCIOS ANTERIORES</t>
  </si>
  <si>
    <t>IMPOSTO</t>
  </si>
  <si>
    <t>DIFAL</t>
  </si>
  <si>
    <t>UNICA COMERCIO ATACADISTA DE TINTAS</t>
  </si>
  <si>
    <t>CNPJ:</t>
  </si>
  <si>
    <t>36517206000130</t>
  </si>
  <si>
    <t>Insc Est.:</t>
  </si>
  <si>
    <t>07.968.214/001-09</t>
  </si>
  <si>
    <t>Período:</t>
  </si>
  <si>
    <t>01/01/2026 até 31/01/2026</t>
  </si>
  <si>
    <t>ACOMPANHAMENTO DE ENTRADAS</t>
  </si>
  <si>
    <t>Data</t>
  </si>
  <si>
    <t>Nota</t>
  </si>
  <si>
    <t>Série</t>
  </si>
  <si>
    <t>Espécie</t>
  </si>
  <si>
    <t>Fornecedor</t>
  </si>
  <si>
    <t>CFOP</t>
  </si>
  <si>
    <t>AC.</t>
  </si>
  <si>
    <t>Valor Contábil</t>
  </si>
  <si>
    <t>Tipo</t>
  </si>
  <si>
    <t>Base Cálculo</t>
  </si>
  <si>
    <t>Alíq.</t>
  </si>
  <si>
    <t>Isentas</t>
  </si>
  <si>
    <t>Outras</t>
  </si>
  <si>
    <t>632821</t>
  </si>
  <si>
    <t>25</t>
  </si>
  <si>
    <t>3M DO BRASIL LTDA</t>
  </si>
  <si>
    <t xml:space="preserve">ICMS    </t>
  </si>
  <si>
    <t>632822</t>
  </si>
  <si>
    <t>637038</t>
  </si>
  <si>
    <t>637039</t>
  </si>
  <si>
    <t>642929</t>
  </si>
  <si>
    <t>642930</t>
  </si>
  <si>
    <t>642931</t>
  </si>
  <si>
    <t>642932</t>
  </si>
  <si>
    <t>642933</t>
  </si>
  <si>
    <t>642934</t>
  </si>
  <si>
    <t>642935</t>
  </si>
  <si>
    <t>642936</t>
  </si>
  <si>
    <t>642946</t>
  </si>
  <si>
    <t>642947</t>
  </si>
  <si>
    <t>642949</t>
  </si>
  <si>
    <t>642950</t>
  </si>
  <si>
    <t>643290</t>
  </si>
  <si>
    <t>643291</t>
  </si>
  <si>
    <t>647329</t>
  </si>
  <si>
    <t>647330</t>
  </si>
  <si>
    <t>647331</t>
  </si>
  <si>
    <t>647332</t>
  </si>
  <si>
    <t>651352</t>
  </si>
  <si>
    <t>651353</t>
  </si>
  <si>
    <t>656734</t>
  </si>
  <si>
    <t>656735</t>
  </si>
  <si>
    <t>656736</t>
  </si>
  <si>
    <t>656737</t>
  </si>
  <si>
    <t>656738</t>
  </si>
  <si>
    <t>656739</t>
  </si>
  <si>
    <t>656740</t>
  </si>
  <si>
    <t>656776</t>
  </si>
  <si>
    <t>656777</t>
  </si>
  <si>
    <t>656783</t>
  </si>
  <si>
    <t>656784</t>
  </si>
  <si>
    <t>Total Fornecedor</t>
  </si>
  <si>
    <t>950836</t>
  </si>
  <si>
    <t>14</t>
  </si>
  <si>
    <t>39811</t>
  </si>
  <si>
    <t>1</t>
  </si>
  <si>
    <t>50.575.932 JULIANA MARIA MARTINS</t>
  </si>
  <si>
    <t>39947</t>
  </si>
  <si>
    <t>64.127.281 GABRIEL COSTA GONCALVES</t>
  </si>
  <si>
    <t>1941655</t>
  </si>
  <si>
    <t>AGE SERVICOS DE INFORMATICA LTDA</t>
  </si>
  <si>
    <t xml:space="preserve">ISS     </t>
  </si>
  <si>
    <t>1942135</t>
  </si>
  <si>
    <t>1942740</t>
  </si>
  <si>
    <t>1943120</t>
  </si>
  <si>
    <t>1943263</t>
  </si>
  <si>
    <t>1944344</t>
  </si>
  <si>
    <t>1944547</t>
  </si>
  <si>
    <t>1943747</t>
  </si>
  <si>
    <t>AGE TECNOLOGIA DA INFORMACAO LTDA</t>
  </si>
  <si>
    <t>1944288</t>
  </si>
  <si>
    <t>1944832</t>
  </si>
  <si>
    <t>1945198</t>
  </si>
  <si>
    <t>1945355</t>
  </si>
  <si>
    <t>1946409</t>
  </si>
  <si>
    <t>1946605</t>
  </si>
  <si>
    <t>1935616</t>
  </si>
  <si>
    <t>21</t>
  </si>
  <si>
    <t>AKZO NOBEL LTDA</t>
  </si>
  <si>
    <t>1935617</t>
  </si>
  <si>
    <t>495562</t>
  </si>
  <si>
    <t>495563</t>
  </si>
  <si>
    <t>495564</t>
  </si>
  <si>
    <t>495565</t>
  </si>
  <si>
    <t>495566</t>
  </si>
  <si>
    <t>495567</t>
  </si>
  <si>
    <t>495568</t>
  </si>
  <si>
    <t>495569</t>
  </si>
  <si>
    <t>495570</t>
  </si>
  <si>
    <t>495571</t>
  </si>
  <si>
    <t>495641</t>
  </si>
  <si>
    <t>495664</t>
  </si>
  <si>
    <t>495695</t>
  </si>
  <si>
    <t>495806</t>
  </si>
  <si>
    <t>495879</t>
  </si>
  <si>
    <t>495880</t>
  </si>
  <si>
    <t>496036</t>
  </si>
  <si>
    <t>496112</t>
  </si>
  <si>
    <t>496113</t>
  </si>
  <si>
    <t>496114</t>
  </si>
  <si>
    <t>496115</t>
  </si>
  <si>
    <t>496298</t>
  </si>
  <si>
    <t>496299</t>
  </si>
  <si>
    <t>496482</t>
  </si>
  <si>
    <t>496581</t>
  </si>
  <si>
    <t>496582</t>
  </si>
  <si>
    <t>496624</t>
  </si>
  <si>
    <t>496670</t>
  </si>
  <si>
    <t>496703</t>
  </si>
  <si>
    <t>496704</t>
  </si>
  <si>
    <t>496841</t>
  </si>
  <si>
    <t>496842</t>
  </si>
  <si>
    <t>496843</t>
  </si>
  <si>
    <t>496844</t>
  </si>
  <si>
    <t>6667</t>
  </si>
  <si>
    <t>0</t>
  </si>
  <si>
    <t>ATACADAO DAS TINTAS IRMAOS SOARES LTDA</t>
  </si>
  <si>
    <t>6710</t>
  </si>
  <si>
    <t>7121</t>
  </si>
  <si>
    <t>1012909</t>
  </si>
  <si>
    <t>ATLAS S.A.</t>
  </si>
  <si>
    <t>243913</t>
  </si>
  <si>
    <t>AUTOAMERICA LTDA</t>
  </si>
  <si>
    <t>6728</t>
  </si>
  <si>
    <t>BAIFER DISTRIBUIDORA DE FERRAMENTAS LTDA</t>
  </si>
  <si>
    <t>2312653</t>
  </si>
  <si>
    <t>23</t>
  </si>
  <si>
    <t>BLACK &amp; DECKER DO BRASIL LTDA.</t>
  </si>
  <si>
    <t>792640</t>
  </si>
  <si>
    <t>BRASILUX TINTAS TECNICAS LTDA</t>
  </si>
  <si>
    <t>792641</t>
  </si>
  <si>
    <t>792642</t>
  </si>
  <si>
    <t>792911</t>
  </si>
  <si>
    <t>794990</t>
  </si>
  <si>
    <t>795328</t>
  </si>
  <si>
    <t>166</t>
  </si>
  <si>
    <t>BRITO, GOMES, JANUARIO ADVOGADOS ASSOCIADOS</t>
  </si>
  <si>
    <t>40401</t>
  </si>
  <si>
    <t>CELINA BARROS DE AMORIM 54003601149</t>
  </si>
  <si>
    <t xml:space="preserve">SUBTRI  </t>
  </si>
  <si>
    <t>40468</t>
  </si>
  <si>
    <t>163613</t>
  </si>
  <si>
    <t>CITEL ANALISE E PROGRAMACAO DE SISTEMAS LTDA</t>
  </si>
  <si>
    <t>IRRF</t>
  </si>
  <si>
    <t>1923825</t>
  </si>
  <si>
    <t>CLIENT CO SERVICOS DE REDE NORDESTE SA</t>
  </si>
  <si>
    <t>5626318</t>
  </si>
  <si>
    <t>6776413</t>
  </si>
  <si>
    <t>40173</t>
  </si>
  <si>
    <t>COLORMIX TINTAS E ACESSORIOS LTDA</t>
  </si>
  <si>
    <t>1366946</t>
  </si>
  <si>
    <t>COM. ALV. LIMPEZA E DESCARTAVEIS LTDA</t>
  </si>
  <si>
    <t>1373335</t>
  </si>
  <si>
    <t>1375459</t>
  </si>
  <si>
    <t>1376334</t>
  </si>
  <si>
    <t>40330</t>
  </si>
  <si>
    <t>CONTARPP ENGENHARIA S.A.</t>
  </si>
  <si>
    <t>40382</t>
  </si>
  <si>
    <t>DAUTO COMERCIO DE PRODUTOS EQUIPAMENTOS E SERVICOS AUTOMOTIV</t>
  </si>
  <si>
    <t>90</t>
  </si>
  <si>
    <t>DEBORA FOGLIARINI DA SILVA 95428364068</t>
  </si>
  <si>
    <t>108590</t>
  </si>
  <si>
    <t>DISSOLTEX IND QUIMICA LTDA</t>
  </si>
  <si>
    <t>779</t>
  </si>
  <si>
    <t>DL INDUSTRIA E COMERCIO DE GONDOLAS LTDA</t>
  </si>
  <si>
    <t>9247</t>
  </si>
  <si>
    <t>DT TINTAS COMERCIO VAREJISTA LIMITADA</t>
  </si>
  <si>
    <t>9255</t>
  </si>
  <si>
    <t>9318</t>
  </si>
  <si>
    <t>41938</t>
  </si>
  <si>
    <t>EP SIA ALUGUEL DE EQUIPAMENTOS E C</t>
  </si>
  <si>
    <t>172577</t>
  </si>
  <si>
    <t>EVC INDUSTRIAL LTDA</t>
  </si>
  <si>
    <t>128568198</t>
  </si>
  <si>
    <t>FACEBOOK SERVICOS ONLINE DO BRASIL LTDA.</t>
  </si>
  <si>
    <t>68565</t>
  </si>
  <si>
    <t>12</t>
  </si>
  <si>
    <t>FUJIOKA ELETRO IMAGEM S.A.</t>
  </si>
  <si>
    <t>56892</t>
  </si>
  <si>
    <t>2</t>
  </si>
  <si>
    <t>GAMER STAR ATACADO E VEREJO DE INFORMATICA E ELETRONICOS LTD</t>
  </si>
  <si>
    <t>57051</t>
  </si>
  <si>
    <t>436503</t>
  </si>
  <si>
    <t>4</t>
  </si>
  <si>
    <t>GRAVIA IND. DE PERF. DE ACO LTDA</t>
  </si>
  <si>
    <t>195110</t>
  </si>
  <si>
    <t>J. PROLAB IND E COMERCIO PRODUTOS PARA LABORATORIO LTDA</t>
  </si>
  <si>
    <t>361</t>
  </si>
  <si>
    <t>J.M COMERCIO E CONFECCOES DE UNIFORMES LTDA</t>
  </si>
  <si>
    <t>1566129</t>
  </si>
  <si>
    <t>KARCHER INDUSTRIA E COMERCIO LTDA.</t>
  </si>
  <si>
    <t>KZARAO PIZZARIA E CHOPERIA LTDA</t>
  </si>
  <si>
    <t>40289</t>
  </si>
  <si>
    <t>LIDER TAXI  AEREO S/A-AIR BRASIL</t>
  </si>
  <si>
    <t>40094</t>
  </si>
  <si>
    <t>M M COMERCIO LTDA</t>
  </si>
  <si>
    <t>4128</t>
  </si>
  <si>
    <t>MARTELENA ALMEIDA INDUSTRIA E COMERCIO DE TINTAS EIRELI</t>
  </si>
  <si>
    <t>796145</t>
  </si>
  <si>
    <t>MAZA PRODUTOS QUIMICOS LTDA</t>
  </si>
  <si>
    <t>31839</t>
  </si>
  <si>
    <t>MERCADO DAS TINTAS LTDA-ME</t>
  </si>
  <si>
    <t>19107</t>
  </si>
  <si>
    <t>MINHA VISITA LTDA</t>
  </si>
  <si>
    <t>40151</t>
  </si>
  <si>
    <t>MLM ELETRICA E HIDRAULICA LTDA</t>
  </si>
  <si>
    <t>143155</t>
  </si>
  <si>
    <t>N. S. INFORMATICA LTDA</t>
  </si>
  <si>
    <t>2455</t>
  </si>
  <si>
    <t>Neon Vegas Comercio de Placas e Servicos Ltda</t>
  </si>
  <si>
    <t>357897</t>
  </si>
  <si>
    <t>OMNI COMERCIO E SERVICOS LTDA</t>
  </si>
  <si>
    <t>348</t>
  </si>
  <si>
    <t>ONKRAFT COMERCIO DE PAPEL E PAPELAO LTDA</t>
  </si>
  <si>
    <t>349</t>
  </si>
  <si>
    <t>782</t>
  </si>
  <si>
    <t>OTAL TRANSPORTE E LOGISTICA LTDA</t>
  </si>
  <si>
    <t>40100</t>
  </si>
  <si>
    <t>PAINT COM ATACADISTA DE TINTAS</t>
  </si>
  <si>
    <t>40101</t>
  </si>
  <si>
    <t>40213</t>
  </si>
  <si>
    <t>2631</t>
  </si>
  <si>
    <t>33981</t>
  </si>
  <si>
    <t>PLASTIKA INDUSTRIA E COMERCIO DE EMBALAGENS LTDA</t>
  </si>
  <si>
    <t>1461</t>
  </si>
  <si>
    <t>PLASTINI EMBALAGENS LTDA</t>
  </si>
  <si>
    <t>1802</t>
  </si>
  <si>
    <t>RB REFINISH COMERCIAL ACESSORIOS LTDA</t>
  </si>
  <si>
    <t>40363</t>
  </si>
  <si>
    <t>RIACHO TINTAS LTDA</t>
  </si>
  <si>
    <t>81868</t>
  </si>
  <si>
    <t>ROBERLO DO BRASIL IND. COM. DISTR. DE PRODUTOS QUIMICOS LTDA</t>
  </si>
  <si>
    <t>2425802</t>
  </si>
  <si>
    <t>SAINT-GOBAIN DO BRASIL PRODUTOS  INDUSTRIAIS E PARA CONSTRUÇ</t>
  </si>
  <si>
    <t>2427046</t>
  </si>
  <si>
    <t>2427545</t>
  </si>
  <si>
    <t>2428540</t>
  </si>
  <si>
    <t>2428650</t>
  </si>
  <si>
    <t>2428651</t>
  </si>
  <si>
    <t>2428652</t>
  </si>
  <si>
    <t>2428653</t>
  </si>
  <si>
    <t>2428654</t>
  </si>
  <si>
    <t>2428655</t>
  </si>
  <si>
    <t>2429074</t>
  </si>
  <si>
    <t>2429555</t>
  </si>
  <si>
    <t>2430844</t>
  </si>
  <si>
    <t>2431993</t>
  </si>
  <si>
    <t>2431994</t>
  </si>
  <si>
    <t>2434718</t>
  </si>
  <si>
    <t>16846</t>
  </si>
  <si>
    <t>SARKIS &amp;AMP; SARKIS LTDA</t>
  </si>
  <si>
    <t>956480</t>
  </si>
  <si>
    <t>SARKIS E SARKIS LTDA</t>
  </si>
  <si>
    <t>332920</t>
  </si>
  <si>
    <t>5</t>
  </si>
  <si>
    <t>SHERWIN-WILLIAMS DO BRASIL IND. E COM. LTDA. DIV. AUTOMOTIVA</t>
  </si>
  <si>
    <t>335272</t>
  </si>
  <si>
    <t>335615</t>
  </si>
  <si>
    <t>1109</t>
  </si>
  <si>
    <t>SI SUPORTE INFORMÁTICA EIRELI ME</t>
  </si>
  <si>
    <t>1126</t>
  </si>
  <si>
    <t>1131</t>
  </si>
  <si>
    <t>370301</t>
  </si>
  <si>
    <t>24</t>
  </si>
  <si>
    <t>SIKA S.A.</t>
  </si>
  <si>
    <t>370395</t>
  </si>
  <si>
    <t>96808</t>
  </si>
  <si>
    <t>SOLUCAO ADESIVOS E SELANTES LTDA.</t>
  </si>
  <si>
    <t>3125</t>
  </si>
  <si>
    <t>SONIA SERTANEJO NETO EIRELI - ME</t>
  </si>
  <si>
    <t>921565</t>
  </si>
  <si>
    <t>TERRA UTIL COMERCIO DE FERRAMENTAS E UTILIDADES LTDA</t>
  </si>
  <si>
    <t>927746</t>
  </si>
  <si>
    <t>109680</t>
  </si>
  <si>
    <t>TERRAVIVA IND E COM DE MAT P/CONSTRUCAO, TRANS E LOG EIRELI</t>
  </si>
  <si>
    <t>195250</t>
  </si>
  <si>
    <t>TRIPAR BSB ADMINISTRADORA DE CARTOES LTDA</t>
  </si>
  <si>
    <t>195262</t>
  </si>
  <si>
    <t>198548</t>
  </si>
  <si>
    <t>198649</t>
  </si>
  <si>
    <t>199001</t>
  </si>
  <si>
    <t>199018</t>
  </si>
  <si>
    <t>202251</t>
  </si>
  <si>
    <t>202252</t>
  </si>
  <si>
    <t>202253</t>
  </si>
  <si>
    <t>202254</t>
  </si>
  <si>
    <t>39829</t>
  </si>
  <si>
    <t>UNIMAN CONSTRUCOES EIRELI.</t>
  </si>
  <si>
    <t>40035</t>
  </si>
  <si>
    <t>1697</t>
  </si>
  <si>
    <t>UNIPEL COMERCIO DE IMPORTACAO E EXPORTACAO LTDA.</t>
  </si>
  <si>
    <t>1632</t>
  </si>
  <si>
    <t>UNIVERSO CONSCIENTE LTDA</t>
  </si>
  <si>
    <t>40408</t>
  </si>
  <si>
    <t>VANDERLEIDE ECILDA DE CARVALHO PESSOA</t>
  </si>
  <si>
    <t>267</t>
  </si>
  <si>
    <t>VCF TRANSPORTES E LOGISTICA LTDA</t>
  </si>
  <si>
    <t>39756</t>
  </si>
  <si>
    <t>W E W QUEIROZ TINTAS LIMITADA</t>
  </si>
  <si>
    <t>40012</t>
  </si>
  <si>
    <t>WM COMERCIO DE TINTAS LTDA</t>
  </si>
  <si>
    <t>40135</t>
  </si>
  <si>
    <t>Total Geral</t>
  </si>
  <si>
    <t>46 - UNICA COMERCIO ATACADISTA DE TINTAS</t>
  </si>
  <si>
    <t>36.517.206/0001-30</t>
  </si>
  <si>
    <t>ACOMPANHAMENTO DE SAÍDAS</t>
  </si>
  <si>
    <t>Data Emissão</t>
  </si>
  <si>
    <t>Data Saída</t>
  </si>
  <si>
    <t>Cliente</t>
  </si>
  <si>
    <t>CNPJ/CPF/CEI/CAEPF</t>
  </si>
  <si>
    <t>Insc. Est.</t>
  </si>
  <si>
    <t>39978</t>
  </si>
  <si>
    <t>22.749.579 CARLOS MARCOS BARBOSA DE OLIVEIRA JUNIOR</t>
  </si>
  <si>
    <t>22749579000122</t>
  </si>
  <si>
    <t>0772759900185</t>
  </si>
  <si>
    <t>39979</t>
  </si>
  <si>
    <t>40038</t>
  </si>
  <si>
    <t>40084</t>
  </si>
  <si>
    <t>40085</t>
  </si>
  <si>
    <t>40251</t>
  </si>
  <si>
    <t>40467</t>
  </si>
  <si>
    <t>40518</t>
  </si>
  <si>
    <t>40551</t>
  </si>
  <si>
    <t>Total Cliente</t>
  </si>
  <si>
    <t>39667</t>
  </si>
  <si>
    <t>32.993.132 MAURO DA SILVA NUNES</t>
  </si>
  <si>
    <t>32993132000158</t>
  </si>
  <si>
    <t>0790457900130</t>
  </si>
  <si>
    <t>39967</t>
  </si>
  <si>
    <t>40238</t>
  </si>
  <si>
    <t>40087</t>
  </si>
  <si>
    <t>36.057.454 ALEXANDRE SANTOS DE FARIAS</t>
  </si>
  <si>
    <t>36057454000146</t>
  </si>
  <si>
    <t>0796031300161</t>
  </si>
  <si>
    <t>40237</t>
  </si>
  <si>
    <t>41.329.150 PAULO DA SILVA  ALVES</t>
  </si>
  <si>
    <t>41329150000120</t>
  </si>
  <si>
    <t>0804399600195</t>
  </si>
  <si>
    <t>40069</t>
  </si>
  <si>
    <t>43.007.560 CAMILLA KELLY NASCIMENTO SANTOS</t>
  </si>
  <si>
    <t>43007560000180</t>
  </si>
  <si>
    <t>0807476600160</t>
  </si>
  <si>
    <t>40269</t>
  </si>
  <si>
    <t>40494</t>
  </si>
  <si>
    <t>39658</t>
  </si>
  <si>
    <t>50.827.812 FRANCISCO DA CRUZ LIMA</t>
  </si>
  <si>
    <t>50827812000183</t>
  </si>
  <si>
    <t>200422898</t>
  </si>
  <si>
    <t>39741</t>
  </si>
  <si>
    <t>39750</t>
  </si>
  <si>
    <t>40121</t>
  </si>
  <si>
    <t>40128</t>
  </si>
  <si>
    <t>40372</t>
  </si>
  <si>
    <t>40500</t>
  </si>
  <si>
    <t>39846</t>
  </si>
  <si>
    <t>51.77.196 MONICA ANDRADE DA SILVA MELO</t>
  </si>
  <si>
    <t>51779196000103</t>
  </si>
  <si>
    <t>200661760</t>
  </si>
  <si>
    <t>39852</t>
  </si>
  <si>
    <t>39825</t>
  </si>
  <si>
    <t>52.653.731 MICAELLE SOUSA COSTA</t>
  </si>
  <si>
    <t>52653731000130</t>
  </si>
  <si>
    <t>200884948</t>
  </si>
  <si>
    <t>39696</t>
  </si>
  <si>
    <t>55.055.702 WALIRES UCHOA LOPES</t>
  </si>
  <si>
    <t>55055702000164</t>
  </si>
  <si>
    <t>0829938000119</t>
  </si>
  <si>
    <t>39929</t>
  </si>
  <si>
    <t>40399</t>
  </si>
  <si>
    <t>40021</t>
  </si>
  <si>
    <t>55.957.421 LETICIA MENEZES DE LIMA</t>
  </si>
  <si>
    <t>55957421000105</t>
  </si>
  <si>
    <t>0831544300166</t>
  </si>
  <si>
    <t>40098</t>
  </si>
  <si>
    <t>40179</t>
  </si>
  <si>
    <t>40283</t>
  </si>
  <si>
    <t>40474</t>
  </si>
  <si>
    <t>40498</t>
  </si>
  <si>
    <t>40545</t>
  </si>
  <si>
    <t>39884</t>
  </si>
  <si>
    <t>64127281000120</t>
  </si>
  <si>
    <t>39949</t>
  </si>
  <si>
    <t>40234</t>
  </si>
  <si>
    <t>A LASER MICHAEL LTDA</t>
  </si>
  <si>
    <t>24512862000161</t>
  </si>
  <si>
    <t>0776317300185</t>
  </si>
  <si>
    <t>40239</t>
  </si>
  <si>
    <t>40562</t>
  </si>
  <si>
    <t>39802</t>
  </si>
  <si>
    <t>A R F DA CUNHA</t>
  </si>
  <si>
    <t>18937225000134</t>
  </si>
  <si>
    <t>0765866500161</t>
  </si>
  <si>
    <t>40378</t>
  </si>
  <si>
    <t>39738</t>
  </si>
  <si>
    <t>ABS TINTAS 2 LTDA</t>
  </si>
  <si>
    <t>56942547000160</t>
  </si>
  <si>
    <t>201801566</t>
  </si>
  <si>
    <t>39820</t>
  </si>
  <si>
    <t>40169</t>
  </si>
  <si>
    <t>40286</t>
  </si>
  <si>
    <t>39840</t>
  </si>
  <si>
    <t>ACS COMERCIO DE MATERIAIS DE CONSTRUCOES EIRELI</t>
  </si>
  <si>
    <t>37829681000105</t>
  </si>
  <si>
    <t>0799219400117</t>
  </si>
  <si>
    <t>40448</t>
  </si>
  <si>
    <t>ADE COMERCIO DE TINTAS LTDA-EPP</t>
  </si>
  <si>
    <t>07124007000164</t>
  </si>
  <si>
    <t>0746208900147</t>
  </si>
  <si>
    <t>39703</t>
  </si>
  <si>
    <t>AFONSO TINTAS LTDA</t>
  </si>
  <si>
    <t>54291577000129</t>
  </si>
  <si>
    <t>201294532</t>
  </si>
  <si>
    <t>40510</t>
  </si>
  <si>
    <t>40316</t>
  </si>
  <si>
    <t>AGATA GOMES MARTINS</t>
  </si>
  <si>
    <t>60213875000101</t>
  </si>
  <si>
    <t>0051633340015</t>
  </si>
  <si>
    <t>40346</t>
  </si>
  <si>
    <t>AGROGAS INDUSTRIA DE EQUIPAMENTOS AGRICOLAS LTDA</t>
  </si>
  <si>
    <t>42182704000172</t>
  </si>
  <si>
    <t>108549062</t>
  </si>
  <si>
    <t>39833</t>
  </si>
  <si>
    <t>AHF - CONSTRUCOES E INCORPORACOES SPE LTDA</t>
  </si>
  <si>
    <t>56971320000143</t>
  </si>
  <si>
    <t>0832424200120</t>
  </si>
  <si>
    <t>40037</t>
  </si>
  <si>
    <t>40298</t>
  </si>
  <si>
    <t>AJ CONSTRUCAO LTDA</t>
  </si>
  <si>
    <t>44946975000182</t>
  </si>
  <si>
    <t>0810963900143</t>
  </si>
  <si>
    <t>39886</t>
  </si>
  <si>
    <t>60561719002258</t>
  </si>
  <si>
    <t>635072704119</t>
  </si>
  <si>
    <t>40255</t>
  </si>
  <si>
    <t>ALESSANDRO MENDES DA COSTA</t>
  </si>
  <si>
    <t>10784693000104</t>
  </si>
  <si>
    <t>0751965900109</t>
  </si>
  <si>
    <t>39688</t>
  </si>
  <si>
    <t>ALIPOX PINTURA ELETROSTATICA LTDA</t>
  </si>
  <si>
    <t>22872165000196</t>
  </si>
  <si>
    <t>0772923300122</t>
  </si>
  <si>
    <t>40024</t>
  </si>
  <si>
    <t>40187</t>
  </si>
  <si>
    <t>ALMEIDA&amp;VIANA CONSTRUCOES LTDA</t>
  </si>
  <si>
    <t>26691126000143</t>
  </si>
  <si>
    <t>0779226900125</t>
  </si>
  <si>
    <t>40266</t>
  </si>
  <si>
    <t>39655</t>
  </si>
  <si>
    <t>ALTERNATINTAS MATERIAIS PARA CONSTRUCAO LTDA ME</t>
  </si>
  <si>
    <t>37108966000238</t>
  </si>
  <si>
    <t>0730601200248</t>
  </si>
  <si>
    <t>39704</t>
  </si>
  <si>
    <t>40462</t>
  </si>
  <si>
    <t>40461</t>
  </si>
  <si>
    <t>39680</t>
  </si>
  <si>
    <t>ALYSSON VIEIRA DE OLIVEIRA</t>
  </si>
  <si>
    <t>41321573000102</t>
  </si>
  <si>
    <t>0804374400184</t>
  </si>
  <si>
    <t>39791</t>
  </si>
  <si>
    <t>39872</t>
  </si>
  <si>
    <t>40206</t>
  </si>
  <si>
    <t>40354</t>
  </si>
  <si>
    <t>AMERICAN SOLUOCES PORTAS LTDA</t>
  </si>
  <si>
    <t>45710664000182</t>
  </si>
  <si>
    <t>0813441000102</t>
  </si>
  <si>
    <t>6708</t>
  </si>
  <si>
    <t>54111999000175</t>
  </si>
  <si>
    <t>0828253700133</t>
  </si>
  <si>
    <t>39930</t>
  </si>
  <si>
    <t>ATUAL COMERCIO DE PRODUTOS DE LIMPEZA E ALIMENTOS LTDA</t>
  </si>
  <si>
    <t>10946351000143</t>
  </si>
  <si>
    <t>0752351900141</t>
  </si>
  <si>
    <t>39644</t>
  </si>
  <si>
    <t>AUTO PINTURA JULIO LTDA</t>
  </si>
  <si>
    <t>38059184000138</t>
  </si>
  <si>
    <t>0733958000191</t>
  </si>
  <si>
    <t>39677</t>
  </si>
  <si>
    <t>AUTO REFORMADORA JL LTDA</t>
  </si>
  <si>
    <t>11028380000199</t>
  </si>
  <si>
    <t>106096141</t>
  </si>
  <si>
    <t>39705</t>
  </si>
  <si>
    <t>AVENIDA TINTAS COMERCIO DE MATERIAIS DE CONSTRUCAO LTDA</t>
  </si>
  <si>
    <t>60511743000158</t>
  </si>
  <si>
    <t>0838864200194</t>
  </si>
  <si>
    <t>39763</t>
  </si>
  <si>
    <t>B S INDUSTRIA E COMERCIO LTDA</t>
  </si>
  <si>
    <t>45705710000155</t>
  </si>
  <si>
    <t>0812334600191</t>
  </si>
  <si>
    <t>40124</t>
  </si>
  <si>
    <t>BARBOSA COMERCIO DE FERRAGENS E FERRAMENTAS LTDA.</t>
  </si>
  <si>
    <t>34963006000186</t>
  </si>
  <si>
    <t>0794070800106</t>
  </si>
  <si>
    <t>39842</t>
  </si>
  <si>
    <t>BOREAL TINTAS AUTOMOTIVAS LTDA</t>
  </si>
  <si>
    <t>43175781000168</t>
  </si>
  <si>
    <t>0807780600108</t>
  </si>
  <si>
    <t>39843</t>
  </si>
  <si>
    <t>39693</t>
  </si>
  <si>
    <t>BRASIL COMERCIO DE MATERIAIS DE HIDRAULICA E ELETRICA</t>
  </si>
  <si>
    <t>49875688000142</t>
  </si>
  <si>
    <t>0820355000127</t>
  </si>
  <si>
    <t>40202</t>
  </si>
  <si>
    <t>39774</t>
  </si>
  <si>
    <t>BRASIL SUL INDUSTRIA DE EQUIPAMENTOS CONTRA INCENDIO LTDA</t>
  </si>
  <si>
    <t>22870211000118</t>
  </si>
  <si>
    <t>0794106100168</t>
  </si>
  <si>
    <t>39783</t>
  </si>
  <si>
    <t>40047</t>
  </si>
  <si>
    <t>40393</t>
  </si>
  <si>
    <t>40473</t>
  </si>
  <si>
    <t>40274</t>
  </si>
  <si>
    <t>BSBSHOP INFORMATICA ELETRODOMESTICA MAT DE CONSTRUCAO MADEIR</t>
  </si>
  <si>
    <t>15343055000171</t>
  </si>
  <si>
    <t>0760500400146</t>
  </si>
  <si>
    <t>40111</t>
  </si>
  <si>
    <t>C &amp; M COMERCIO DE TINTAS LTDA ME</t>
  </si>
  <si>
    <t>10868223000129</t>
  </si>
  <si>
    <t>0752181400127</t>
  </si>
  <si>
    <t>40220</t>
  </si>
  <si>
    <t>39998</t>
  </si>
  <si>
    <t>CARVAL SERVICOS DE CONSTRUCOES E REFORMAS LTDA</t>
  </si>
  <si>
    <t>33174123000106</t>
  </si>
  <si>
    <t>0790807500143</t>
  </si>
  <si>
    <t>40034</t>
  </si>
  <si>
    <t>40328</t>
  </si>
  <si>
    <t>39685</t>
  </si>
  <si>
    <t>CASA DO ELETRICISTA MATERIAIS ELETRICOS E HIDRAULICOS LTDA</t>
  </si>
  <si>
    <t>50668830000160</t>
  </si>
  <si>
    <t>0821891600179</t>
  </si>
  <si>
    <t>39956</t>
  </si>
  <si>
    <t>CASA DOS ESPELHOS E PINTURA ELETROSTATICA LTDA</t>
  </si>
  <si>
    <t>12694924000114</t>
  </si>
  <si>
    <t>020394651</t>
  </si>
  <si>
    <t>40127</t>
  </si>
  <si>
    <t>40258</t>
  </si>
  <si>
    <t>40299</t>
  </si>
  <si>
    <t>CASTELO DAS CORES COM. TINTAS LTDA</t>
  </si>
  <si>
    <t>34360009000125</t>
  </si>
  <si>
    <t>0792966200116</t>
  </si>
  <si>
    <t>40456</t>
  </si>
  <si>
    <t>CASTRO E FARIAS MATERIAIS DE CONSTRUCAO LTDA</t>
  </si>
  <si>
    <t>12745067000134</t>
  </si>
  <si>
    <t>0754963200198</t>
  </si>
  <si>
    <t>39709</t>
  </si>
  <si>
    <t>46631147000180</t>
  </si>
  <si>
    <t>0814119200105</t>
  </si>
  <si>
    <t>39760</t>
  </si>
  <si>
    <t>39761</t>
  </si>
  <si>
    <t>39762</t>
  </si>
  <si>
    <t>39877</t>
  </si>
  <si>
    <t>39878</t>
  </si>
  <si>
    <t>39889</t>
  </si>
  <si>
    <t>39953</t>
  </si>
  <si>
    <t>40079</t>
  </si>
  <si>
    <t>40080</t>
  </si>
  <si>
    <t>40092</t>
  </si>
  <si>
    <t>40204</t>
  </si>
  <si>
    <t>40267</t>
  </si>
  <si>
    <t>40342</t>
  </si>
  <si>
    <t>40406</t>
  </si>
  <si>
    <t>40441</t>
  </si>
  <si>
    <t>40443</t>
  </si>
  <si>
    <t>40486</t>
  </si>
  <si>
    <t>40514</t>
  </si>
  <si>
    <t>40549</t>
  </si>
  <si>
    <t>39691</t>
  </si>
  <si>
    <t>CENTRAL TINTAS BARREIRAS LTDA</t>
  </si>
  <si>
    <t>43968496000102</t>
  </si>
  <si>
    <t>186626416</t>
  </si>
  <si>
    <t>40126</t>
  </si>
  <si>
    <t>39674</t>
  </si>
  <si>
    <t>COLORADO TINTAS LTDA</t>
  </si>
  <si>
    <t>52803967000105</t>
  </si>
  <si>
    <t>0825847500183</t>
  </si>
  <si>
    <t>39701</t>
  </si>
  <si>
    <t>40007</t>
  </si>
  <si>
    <t>40066</t>
  </si>
  <si>
    <t>40170</t>
  </si>
  <si>
    <t>40228</t>
  </si>
  <si>
    <t>40312</t>
  </si>
  <si>
    <t>40129</t>
  </si>
  <si>
    <t>19950739000192</t>
  </si>
  <si>
    <t>0767606100100</t>
  </si>
  <si>
    <t>40309</t>
  </si>
  <si>
    <t>COMERCIAL FERRAGENS BORGES FERREIRA LTDA</t>
  </si>
  <si>
    <t>33511035000144</t>
  </si>
  <si>
    <t>0791572100190</t>
  </si>
  <si>
    <t>40205</t>
  </si>
  <si>
    <t>COMERCIAL G A DE TINTAS LTDA</t>
  </si>
  <si>
    <t>35841190000154</t>
  </si>
  <si>
    <t>0795659600103</t>
  </si>
  <si>
    <t>39718</t>
  </si>
  <si>
    <t>COMERCIO DE TINTAS BSB LTDA</t>
  </si>
  <si>
    <t>40822098000187</t>
  </si>
  <si>
    <t>0803489100193</t>
  </si>
  <si>
    <t>39785</t>
  </si>
  <si>
    <t>39835</t>
  </si>
  <si>
    <t>39913</t>
  </si>
  <si>
    <t>40002</t>
  </si>
  <si>
    <t>40003</t>
  </si>
  <si>
    <t>40033</t>
  </si>
  <si>
    <t>40096</t>
  </si>
  <si>
    <t>40236</t>
  </si>
  <si>
    <t>40296</t>
  </si>
  <si>
    <t>40303</t>
  </si>
  <si>
    <t>40396</t>
  </si>
  <si>
    <t>40431</t>
  </si>
  <si>
    <t>40466</t>
  </si>
  <si>
    <t>40536</t>
  </si>
  <si>
    <t>39958</t>
  </si>
  <si>
    <t>COMERCIO DE TINTAS D&amp; A LTDA</t>
  </si>
  <si>
    <t>04302096000101</t>
  </si>
  <si>
    <t>103354700</t>
  </si>
  <si>
    <t>40194</t>
  </si>
  <si>
    <t>40203</t>
  </si>
  <si>
    <t>COMETA DISTRIBUIDORA  DE PECAS AUTOMOTIVAS LTDA</t>
  </si>
  <si>
    <t>07850768000101</t>
  </si>
  <si>
    <t>0747454400145</t>
  </si>
  <si>
    <t>39991</t>
  </si>
  <si>
    <t>CONSTRUASA E AGROPECUARIA COMERCIO DE MATERIAL DE CONST.LTDA</t>
  </si>
  <si>
    <t>41861028000109</t>
  </si>
  <si>
    <t>0805373900122</t>
  </si>
  <si>
    <t>40327</t>
  </si>
  <si>
    <t>40412</t>
  </si>
  <si>
    <t>40256</t>
  </si>
  <si>
    <t>CONSTRUSOLLO CONSTRUCOES LTDA</t>
  </si>
  <si>
    <t>00715532000105</t>
  </si>
  <si>
    <t>0824624700109</t>
  </si>
  <si>
    <t>40579</t>
  </si>
  <si>
    <t>40143</t>
  </si>
  <si>
    <t>26412148000127</t>
  </si>
  <si>
    <t>0731130800133</t>
  </si>
  <si>
    <t>40336</t>
  </si>
  <si>
    <t>40337</t>
  </si>
  <si>
    <t>40517</t>
  </si>
  <si>
    <t>40574</t>
  </si>
  <si>
    <t>39797</t>
  </si>
  <si>
    <t>D PRIMEIRA COMERCIO DE FERRAMENTAS E PARAFUSOS LTDA</t>
  </si>
  <si>
    <t>28077991000120</t>
  </si>
  <si>
    <t>0781623400163</t>
  </si>
  <si>
    <t>39883</t>
  </si>
  <si>
    <t>39940</t>
  </si>
  <si>
    <t>40105</t>
  </si>
  <si>
    <t>40168</t>
  </si>
  <si>
    <t>40248</t>
  </si>
  <si>
    <t>40487</t>
  </si>
  <si>
    <t>40525</t>
  </si>
  <si>
    <t>40581</t>
  </si>
  <si>
    <t>40247</t>
  </si>
  <si>
    <t>39751</t>
  </si>
  <si>
    <t>DAUTO COMERCIO DE PRODUTO</t>
  </si>
  <si>
    <t>46675949000192</t>
  </si>
  <si>
    <t>109360222</t>
  </si>
  <si>
    <t>39796</t>
  </si>
  <si>
    <t>40030</t>
  </si>
  <si>
    <t>40290</t>
  </si>
  <si>
    <t>40571</t>
  </si>
  <si>
    <t>39642</t>
  </si>
  <si>
    <t>DAUTO PINTURA E MECANICA LTDA - GUARA</t>
  </si>
  <si>
    <t>24934648000101</t>
  </si>
  <si>
    <t>0731129400194</t>
  </si>
  <si>
    <t>39649</t>
  </si>
  <si>
    <t>DAUTO PINTURA E MECANICA LTDA - TAGUATINGA</t>
  </si>
  <si>
    <t>24934648000365</t>
  </si>
  <si>
    <t>0731129400356</t>
  </si>
  <si>
    <t>39640</t>
  </si>
  <si>
    <t>40192</t>
  </si>
  <si>
    <t>39650</t>
  </si>
  <si>
    <t>DAUTO PINTURA E MECANICA LTDA - TR 03</t>
  </si>
  <si>
    <t>24934648000284</t>
  </si>
  <si>
    <t>0731129400275</t>
  </si>
  <si>
    <t>40099</t>
  </si>
  <si>
    <t>39847</t>
  </si>
  <si>
    <t>DAUTO TINTAS PARACATU LTDA</t>
  </si>
  <si>
    <t>33304308000180</t>
  </si>
  <si>
    <t>0034204700047</t>
  </si>
  <si>
    <t>40059</t>
  </si>
  <si>
    <t>40304</t>
  </si>
  <si>
    <t>40305</t>
  </si>
  <si>
    <t>40538</t>
  </si>
  <si>
    <t>40564</t>
  </si>
  <si>
    <t>39653</t>
  </si>
  <si>
    <t>DCS CENTRO AUTOMOTIVO LTDA ME - TR 17</t>
  </si>
  <si>
    <t>01514533000235</t>
  </si>
  <si>
    <t>0736670600283</t>
  </si>
  <si>
    <t>39647</t>
  </si>
  <si>
    <t>39641</t>
  </si>
  <si>
    <t>DCS LANTERNAGEM E PINTURA LTDA ME - SOF SUL</t>
  </si>
  <si>
    <t>01514533000154</t>
  </si>
  <si>
    <t>0736670600100</t>
  </si>
  <si>
    <t>40050</t>
  </si>
  <si>
    <t>40450</t>
  </si>
  <si>
    <t>DELTA LOCACOES DE EQUIPAMENTOS E CONTAINERS LTDA</t>
  </si>
  <si>
    <t>01420277000136</t>
  </si>
  <si>
    <t>0769664100173</t>
  </si>
  <si>
    <t>39729</t>
  </si>
  <si>
    <t>DELTA VIDROS E ESQUADRIAS LTDA</t>
  </si>
  <si>
    <t>34253032000110</t>
  </si>
  <si>
    <t>0792775100109</t>
  </si>
  <si>
    <t>39992</t>
  </si>
  <si>
    <t>40091</t>
  </si>
  <si>
    <t>39824</t>
  </si>
  <si>
    <t>DIAMANTINA COMERCIO E SERVICOS</t>
  </si>
  <si>
    <t>00696483000100</t>
  </si>
  <si>
    <t>0773426900170</t>
  </si>
  <si>
    <t>40533</t>
  </si>
  <si>
    <t>39914</t>
  </si>
  <si>
    <t>DIEGO CARNAUBA SANTOS</t>
  </si>
  <si>
    <t>50463129000104</t>
  </si>
  <si>
    <t>0821509500173</t>
  </si>
  <si>
    <t>40150</t>
  </si>
  <si>
    <t>40272</t>
  </si>
  <si>
    <t>40519</t>
  </si>
  <si>
    <t>40544</t>
  </si>
  <si>
    <t>40062</t>
  </si>
  <si>
    <t>DISTRITAL COMERCIO DE TINTAS LTDA ME</t>
  </si>
  <si>
    <t>23781742000105</t>
  </si>
  <si>
    <t>0774583600130</t>
  </si>
  <si>
    <t>40104</t>
  </si>
  <si>
    <t>40158</t>
  </si>
  <si>
    <t>40532</t>
  </si>
  <si>
    <t>39746</t>
  </si>
  <si>
    <t>DISTRITO FERRAGENS LTDA</t>
  </si>
  <si>
    <t>50575932000130</t>
  </si>
  <si>
    <t>0821724500255</t>
  </si>
  <si>
    <t>40072</t>
  </si>
  <si>
    <t>39946</t>
  </si>
  <si>
    <t>DNR TINTAS AUTOMOTIVAS EIRELI</t>
  </si>
  <si>
    <t>32911866000140</t>
  </si>
  <si>
    <t>107538016</t>
  </si>
  <si>
    <t>39753</t>
  </si>
  <si>
    <t>DOMUS COMERCIO DE TINTAS E COMPLEMENTOS LTDA</t>
  </si>
  <si>
    <t>35896373000177</t>
  </si>
  <si>
    <t>0795848000154</t>
  </si>
  <si>
    <t>39794</t>
  </si>
  <si>
    <t>39879</t>
  </si>
  <si>
    <t>39944</t>
  </si>
  <si>
    <t>39945</t>
  </si>
  <si>
    <t>40005</t>
  </si>
  <si>
    <t>40131</t>
  </si>
  <si>
    <t>40217</t>
  </si>
  <si>
    <t>40343</t>
  </si>
  <si>
    <t>40513</t>
  </si>
  <si>
    <t>40526</t>
  </si>
  <si>
    <t>40539</t>
  </si>
  <si>
    <t>39637</t>
  </si>
  <si>
    <t>DT TINTAS COMERCIO VAREJISTA LIMITADA (CEILANDIA)</t>
  </si>
  <si>
    <t>40994045000143</t>
  </si>
  <si>
    <t>0803779600105</t>
  </si>
  <si>
    <t>39656</t>
  </si>
  <si>
    <t>39714</t>
  </si>
  <si>
    <t>39716</t>
  </si>
  <si>
    <t>39731</t>
  </si>
  <si>
    <t>39732</t>
  </si>
  <si>
    <t>39766</t>
  </si>
  <si>
    <t>39769</t>
  </si>
  <si>
    <t>39778</t>
  </si>
  <si>
    <t>39780</t>
  </si>
  <si>
    <t>39800</t>
  </si>
  <si>
    <t>39819</t>
  </si>
  <si>
    <t>39830</t>
  </si>
  <si>
    <t>39863</t>
  </si>
  <si>
    <t>39866</t>
  </si>
  <si>
    <t>39892</t>
  </si>
  <si>
    <t>39896</t>
  </si>
  <si>
    <t>39897</t>
  </si>
  <si>
    <t>39901</t>
  </si>
  <si>
    <t>39903</t>
  </si>
  <si>
    <t>39922</t>
  </si>
  <si>
    <t>39923</t>
  </si>
  <si>
    <t>39933</t>
  </si>
  <si>
    <t>39963</t>
  </si>
  <si>
    <t>39973</t>
  </si>
  <si>
    <t>39999</t>
  </si>
  <si>
    <t>40032</t>
  </si>
  <si>
    <t>40036</t>
  </si>
  <si>
    <t>40044</t>
  </si>
  <si>
    <t>40083</t>
  </si>
  <si>
    <t>40118</t>
  </si>
  <si>
    <t>40122</t>
  </si>
  <si>
    <t>40144</t>
  </si>
  <si>
    <t>40149</t>
  </si>
  <si>
    <t>40163</t>
  </si>
  <si>
    <t>40183</t>
  </si>
  <si>
    <t>40184</t>
  </si>
  <si>
    <t>40185</t>
  </si>
  <si>
    <t>40186</t>
  </si>
  <si>
    <t>40231</t>
  </si>
  <si>
    <t>40242</t>
  </si>
  <si>
    <t>40260</t>
  </si>
  <si>
    <t>40268</t>
  </si>
  <si>
    <t>40281</t>
  </si>
  <si>
    <t>40282</t>
  </si>
  <si>
    <t>40300</t>
  </si>
  <si>
    <t>40313</t>
  </si>
  <si>
    <t>40338</t>
  </si>
  <si>
    <t>40339</t>
  </si>
  <si>
    <t>40360</t>
  </si>
  <si>
    <t>40362</t>
  </si>
  <si>
    <t>40368</t>
  </si>
  <si>
    <t>40369</t>
  </si>
  <si>
    <t>40386</t>
  </si>
  <si>
    <t>40388</t>
  </si>
  <si>
    <t>40397</t>
  </si>
  <si>
    <t>40400</t>
  </si>
  <si>
    <t>40420</t>
  </si>
  <si>
    <t>40436</t>
  </si>
  <si>
    <t>40453</t>
  </si>
  <si>
    <t>40454</t>
  </si>
  <si>
    <t>40477</t>
  </si>
  <si>
    <t>40480</t>
  </si>
  <si>
    <t>40482</t>
  </si>
  <si>
    <t>40491</t>
  </si>
  <si>
    <t>40516</t>
  </si>
  <si>
    <t>40529</t>
  </si>
  <si>
    <t>40530</t>
  </si>
  <si>
    <t>40553</t>
  </si>
  <si>
    <t>40557</t>
  </si>
  <si>
    <t>40560</t>
  </si>
  <si>
    <t>40561</t>
  </si>
  <si>
    <t>40577</t>
  </si>
  <si>
    <t>39665</t>
  </si>
  <si>
    <t>DT TINTAS COMERCIO VAREJISTA LIMITADA (GUARA)</t>
  </si>
  <si>
    <t>40994045000305</t>
  </si>
  <si>
    <t>0803779600377</t>
  </si>
  <si>
    <t>39672</t>
  </si>
  <si>
    <t>39707</t>
  </si>
  <si>
    <t>39711</t>
  </si>
  <si>
    <t>39733</t>
  </si>
  <si>
    <t>39743</t>
  </si>
  <si>
    <t>39764</t>
  </si>
  <si>
    <t>39770</t>
  </si>
  <si>
    <t>39790</t>
  </si>
  <si>
    <t>39792</t>
  </si>
  <si>
    <t>39814</t>
  </si>
  <si>
    <t>39823</t>
  </si>
  <si>
    <t>39831</t>
  </si>
  <si>
    <t>39832</t>
  </si>
  <si>
    <t>39854</t>
  </si>
  <si>
    <t>39859</t>
  </si>
  <si>
    <t>39865</t>
  </si>
  <si>
    <t>39867</t>
  </si>
  <si>
    <t>39882</t>
  </si>
  <si>
    <t>39887</t>
  </si>
  <si>
    <t>39921</t>
  </si>
  <si>
    <t>39926</t>
  </si>
  <si>
    <t>39935</t>
  </si>
  <si>
    <t>39961</t>
  </si>
  <si>
    <t>39962</t>
  </si>
  <si>
    <t>39964</t>
  </si>
  <si>
    <t>39983</t>
  </si>
  <si>
    <t>39994</t>
  </si>
  <si>
    <t>40043</t>
  </si>
  <si>
    <t>40056</t>
  </si>
  <si>
    <t>40107</t>
  </si>
  <si>
    <t>40120</t>
  </si>
  <si>
    <t>40146</t>
  </si>
  <si>
    <t>40147</t>
  </si>
  <si>
    <t>40148</t>
  </si>
  <si>
    <t>40162</t>
  </si>
  <si>
    <t>40166</t>
  </si>
  <si>
    <t>40188</t>
  </si>
  <si>
    <t>40189</t>
  </si>
  <si>
    <t>40191</t>
  </si>
  <si>
    <t>40218</t>
  </si>
  <si>
    <t>40219</t>
  </si>
  <si>
    <t>40250</t>
  </si>
  <si>
    <t>40273</t>
  </si>
  <si>
    <t>40278</t>
  </si>
  <si>
    <t>40287</t>
  </si>
  <si>
    <t>40334</t>
  </si>
  <si>
    <t>40349</t>
  </si>
  <si>
    <t>40365</t>
  </si>
  <si>
    <t>40383</t>
  </si>
  <si>
    <t>40395</t>
  </si>
  <si>
    <t>40402</t>
  </si>
  <si>
    <t>40403</t>
  </si>
  <si>
    <t>40410</t>
  </si>
  <si>
    <t>40411</t>
  </si>
  <si>
    <t>40423</t>
  </si>
  <si>
    <t>40424</t>
  </si>
  <si>
    <t>40428</t>
  </si>
  <si>
    <t>40444</t>
  </si>
  <si>
    <t>40445</t>
  </si>
  <si>
    <t>40475</t>
  </si>
  <si>
    <t>40490</t>
  </si>
  <si>
    <t>40492</t>
  </si>
  <si>
    <t>40493</t>
  </si>
  <si>
    <t>40495</t>
  </si>
  <si>
    <t>40497</t>
  </si>
  <si>
    <t>40509</t>
  </si>
  <si>
    <t>40522</t>
  </si>
  <si>
    <t>40524</t>
  </si>
  <si>
    <t>40555</t>
  </si>
  <si>
    <t>40559</t>
  </si>
  <si>
    <t>39632</t>
  </si>
  <si>
    <t>DT TINTAS COMERCIO VAREJISTA LIMITADA (LUZIANIA)</t>
  </si>
  <si>
    <t>40994045000496</t>
  </si>
  <si>
    <t>202602338</t>
  </si>
  <si>
    <t>39633</t>
  </si>
  <si>
    <t>39668</t>
  </si>
  <si>
    <t>39719</t>
  </si>
  <si>
    <t>39720</t>
  </si>
  <si>
    <t>39721</t>
  </si>
  <si>
    <t>39722</t>
  </si>
  <si>
    <t>39772</t>
  </si>
  <si>
    <t>39805</t>
  </si>
  <si>
    <t>39807</t>
  </si>
  <si>
    <t>39871</t>
  </si>
  <si>
    <t>39951</t>
  </si>
  <si>
    <t>39955</t>
  </si>
  <si>
    <t>39957</t>
  </si>
  <si>
    <t>40001</t>
  </si>
  <si>
    <t>40014</t>
  </si>
  <si>
    <t>40028</t>
  </si>
  <si>
    <t>40136</t>
  </si>
  <si>
    <t>40138</t>
  </si>
  <si>
    <t>40175</t>
  </si>
  <si>
    <t>40182</t>
  </si>
  <si>
    <t>40262</t>
  </si>
  <si>
    <t>40263</t>
  </si>
  <si>
    <t>40291</t>
  </si>
  <si>
    <t>40318</t>
  </si>
  <si>
    <t>40391</t>
  </si>
  <si>
    <t>40421</t>
  </si>
  <si>
    <t>40433</t>
  </si>
  <si>
    <t>40476</t>
  </si>
  <si>
    <t>40479</t>
  </si>
  <si>
    <t>40481</t>
  </si>
  <si>
    <t>40485</t>
  </si>
  <si>
    <t>40503</t>
  </si>
  <si>
    <t>40508</t>
  </si>
  <si>
    <t>40515</t>
  </si>
  <si>
    <t>40546</t>
  </si>
  <si>
    <t>40548</t>
  </si>
  <si>
    <t>40550</t>
  </si>
  <si>
    <t>40572</t>
  </si>
  <si>
    <t>39636</t>
  </si>
  <si>
    <t>DT TINTAS COMERCIO VAREJISTA LIMITADA (SIA)</t>
  </si>
  <si>
    <t>40994045000224</t>
  </si>
  <si>
    <t>0803779600296</t>
  </si>
  <si>
    <t>39645</t>
  </si>
  <si>
    <t>39664</t>
  </si>
  <si>
    <t>39679</t>
  </si>
  <si>
    <t>39713</t>
  </si>
  <si>
    <t>39717</t>
  </si>
  <si>
    <t>39755</t>
  </si>
  <si>
    <t>39759</t>
  </si>
  <si>
    <t>39775</t>
  </si>
  <si>
    <t>39782</t>
  </si>
  <si>
    <t>39789</t>
  </si>
  <si>
    <t>39813</t>
  </si>
  <si>
    <t>39818</t>
  </si>
  <si>
    <t>39828</t>
  </si>
  <si>
    <t>39853</t>
  </si>
  <si>
    <t>39858</t>
  </si>
  <si>
    <t>39875</t>
  </si>
  <si>
    <t>39893</t>
  </si>
  <si>
    <t>39894</t>
  </si>
  <si>
    <t>39898</t>
  </si>
  <si>
    <t>39899</t>
  </si>
  <si>
    <t>39900</t>
  </si>
  <si>
    <t>39905</t>
  </si>
  <si>
    <t>39936</t>
  </si>
  <si>
    <t>39974</t>
  </si>
  <si>
    <t>39975</t>
  </si>
  <si>
    <t>39987</t>
  </si>
  <si>
    <t>40025</t>
  </si>
  <si>
    <t>40049</t>
  </si>
  <si>
    <t>40109</t>
  </si>
  <si>
    <t>40132</t>
  </si>
  <si>
    <t>40133</t>
  </si>
  <si>
    <t>40134</t>
  </si>
  <si>
    <t>40157</t>
  </si>
  <si>
    <t>40180</t>
  </si>
  <si>
    <t>40181</t>
  </si>
  <si>
    <t>40198</t>
  </si>
  <si>
    <t>40224</t>
  </si>
  <si>
    <t>40233</t>
  </si>
  <si>
    <t>40241</t>
  </si>
  <si>
    <t>40249</t>
  </si>
  <si>
    <t>40271</t>
  </si>
  <si>
    <t>40276</t>
  </si>
  <si>
    <t>40293</t>
  </si>
  <si>
    <t>40294</t>
  </si>
  <si>
    <t>40295</t>
  </si>
  <si>
    <t>40324</t>
  </si>
  <si>
    <t>40325</t>
  </si>
  <si>
    <t>40326</t>
  </si>
  <si>
    <t>40357</t>
  </si>
  <si>
    <t>40384</t>
  </si>
  <si>
    <t>40407</t>
  </si>
  <si>
    <t>40409</t>
  </si>
  <si>
    <t>40414</t>
  </si>
  <si>
    <t>40425</t>
  </si>
  <si>
    <t>40435</t>
  </si>
  <si>
    <t>40442</t>
  </si>
  <si>
    <t>40472</t>
  </si>
  <si>
    <t>40478</t>
  </si>
  <si>
    <t>40511</t>
  </si>
  <si>
    <t>40534</t>
  </si>
  <si>
    <t>40535</t>
  </si>
  <si>
    <t>40554</t>
  </si>
  <si>
    <t>40568</t>
  </si>
  <si>
    <t>40570</t>
  </si>
  <si>
    <t>40576</t>
  </si>
  <si>
    <t>40076</t>
  </si>
  <si>
    <t>EDIO DE OLIVEIRA NUNES</t>
  </si>
  <si>
    <t>21008619000112</t>
  </si>
  <si>
    <t>0769540000134</t>
  </si>
  <si>
    <t>39822</t>
  </si>
  <si>
    <t>EDIVANIO CONCEICAO DA SILVA 00291474179</t>
  </si>
  <si>
    <t>18142666000140</t>
  </si>
  <si>
    <t>0764516600134</t>
  </si>
  <si>
    <t>39966</t>
  </si>
  <si>
    <t>40432</t>
  </si>
  <si>
    <t>40164</t>
  </si>
  <si>
    <t>EDMAR ALEXANDRE DA SILVA</t>
  </si>
  <si>
    <t>23946420000160</t>
  </si>
  <si>
    <t>40521</t>
  </si>
  <si>
    <t>39803</t>
  </si>
  <si>
    <t>EDMARIO SOUZA CHAGAS LTDA</t>
  </si>
  <si>
    <t>36548633000186</t>
  </si>
  <si>
    <t>206372893</t>
  </si>
  <si>
    <t>40460</t>
  </si>
  <si>
    <t>40159</t>
  </si>
  <si>
    <t>ELECTRA MOVEIS LTDA</t>
  </si>
  <si>
    <t>45841367000176</t>
  </si>
  <si>
    <t>109122232</t>
  </si>
  <si>
    <t>39939</t>
  </si>
  <si>
    <t>ELETRICA MONTEIRO LTDA</t>
  </si>
  <si>
    <t>36119218000107</t>
  </si>
  <si>
    <t>0796133500194</t>
  </si>
  <si>
    <t>39690</t>
  </si>
  <si>
    <t>ELITE ESTETICA  AUTOMOTIVA LTDA</t>
  </si>
  <si>
    <t>50280719000100</t>
  </si>
  <si>
    <t>205682016</t>
  </si>
  <si>
    <t>40417</t>
  </si>
  <si>
    <t>39860</t>
  </si>
  <si>
    <t>ENGETEC - TECNOLOGIA EM PREVENCAO E CONTROLE DE INCENDIO LTD</t>
  </si>
  <si>
    <t>01721142000100</t>
  </si>
  <si>
    <t>0749723500166</t>
  </si>
  <si>
    <t>40314</t>
  </si>
  <si>
    <t>ENGIX CONSTRUCOES E SERVICOS LTDA</t>
  </si>
  <si>
    <t>03422281000169</t>
  </si>
  <si>
    <t>295474980</t>
  </si>
  <si>
    <t>39652</t>
  </si>
  <si>
    <t>ETICA COMERCIO VAREJISTA DE TINTAS LTDA (SOFN)</t>
  </si>
  <si>
    <t>04744446000181</t>
  </si>
  <si>
    <t>0756716700107</t>
  </si>
  <si>
    <t>39669</t>
  </si>
  <si>
    <t>39678</t>
  </si>
  <si>
    <t>39734</t>
  </si>
  <si>
    <t>39736</t>
  </si>
  <si>
    <t>39781</t>
  </si>
  <si>
    <t>39784</t>
  </si>
  <si>
    <t>39817</t>
  </si>
  <si>
    <t>39826</t>
  </si>
  <si>
    <t>39834</t>
  </si>
  <si>
    <t>39917</t>
  </si>
  <si>
    <t>39950</t>
  </si>
  <si>
    <t>39976</t>
  </si>
  <si>
    <t>39986</t>
  </si>
  <si>
    <t>39995</t>
  </si>
  <si>
    <t>40053</t>
  </si>
  <si>
    <t>40055</t>
  </si>
  <si>
    <t>40097</t>
  </si>
  <si>
    <t>40201</t>
  </si>
  <si>
    <t>40226</t>
  </si>
  <si>
    <t>40229</t>
  </si>
  <si>
    <t>40279</t>
  </si>
  <si>
    <t>40329</t>
  </si>
  <si>
    <t>40348</t>
  </si>
  <si>
    <t>40464</t>
  </si>
  <si>
    <t>39848</t>
  </si>
  <si>
    <t>ETICA COMERCIO VAREJISTA DE TINTAS LTDA (UNAI)</t>
  </si>
  <si>
    <t>04744446000262</t>
  </si>
  <si>
    <t>0040931340012</t>
  </si>
  <si>
    <t>39965</t>
  </si>
  <si>
    <t>40058</t>
  </si>
  <si>
    <t>40061</t>
  </si>
  <si>
    <t>40301</t>
  </si>
  <si>
    <t>40537</t>
  </si>
  <si>
    <t>40212</t>
  </si>
  <si>
    <t>EUGENIO DE MEDEIROS NUNES &amp; CIA LTDA</t>
  </si>
  <si>
    <t>17117050000156</t>
  </si>
  <si>
    <t>107334852</t>
  </si>
  <si>
    <t>40210</t>
  </si>
  <si>
    <t>39712</t>
  </si>
  <si>
    <t>F &amp; M TINTAS AUTOMOTIVAS LTDA</t>
  </si>
  <si>
    <t>55608869000105</t>
  </si>
  <si>
    <t>0830922200133</t>
  </si>
  <si>
    <t>39812</t>
  </si>
  <si>
    <t>40130</t>
  </si>
  <si>
    <t>40469</t>
  </si>
  <si>
    <t>40440</t>
  </si>
  <si>
    <t>FABIANO NASCIMENTO CHMURZYNSKI</t>
  </si>
  <si>
    <t>20938720000100</t>
  </si>
  <si>
    <t>0769333400102</t>
  </si>
  <si>
    <t>39808</t>
  </si>
  <si>
    <t>FABRICIO RODRIGUES SANTOS 01192878116</t>
  </si>
  <si>
    <t>18404299000105</t>
  </si>
  <si>
    <t>0764892700182</t>
  </si>
  <si>
    <t>39681</t>
  </si>
  <si>
    <t>FANTASTICO PARK LTDA</t>
  </si>
  <si>
    <t>34849847000167</t>
  </si>
  <si>
    <t>156608995</t>
  </si>
  <si>
    <t>39682</t>
  </si>
  <si>
    <t>40415</t>
  </si>
  <si>
    <t>40541</t>
  </si>
  <si>
    <t>40558</t>
  </si>
  <si>
    <t>39779</t>
  </si>
  <si>
    <t>FAUSTO HENRIQUE SILVEIRA CARVALHO</t>
  </si>
  <si>
    <t>35949851000160</t>
  </si>
  <si>
    <t>0795829000128</t>
  </si>
  <si>
    <t>40284</t>
  </si>
  <si>
    <t>40457</t>
  </si>
  <si>
    <t>FENIX ELETRICA E HIDRAULICA LTDA</t>
  </si>
  <si>
    <t>43256342000180</t>
  </si>
  <si>
    <t>0807926600115</t>
  </si>
  <si>
    <t>39869</t>
  </si>
  <si>
    <t>FIBER CLASS EIRELI</t>
  </si>
  <si>
    <t>26952106000189</t>
  </si>
  <si>
    <t>0779676800164</t>
  </si>
  <si>
    <t>40387</t>
  </si>
  <si>
    <t>39841</t>
  </si>
  <si>
    <t>FLASH TINTAS EIRELI</t>
  </si>
  <si>
    <t>37768902000182</t>
  </si>
  <si>
    <t>0799105100106</t>
  </si>
  <si>
    <t>39981</t>
  </si>
  <si>
    <t>40419</t>
  </si>
  <si>
    <t>FSC CONSTRUCOES E INCORPORACOES LTDA</t>
  </si>
  <si>
    <t>72595689000155</t>
  </si>
  <si>
    <t>0772156800120</t>
  </si>
  <si>
    <t>40430</t>
  </si>
  <si>
    <t>40527</t>
  </si>
  <si>
    <t>G6 PARTICIPACOES S/A</t>
  </si>
  <si>
    <t>16575237000130</t>
  </si>
  <si>
    <t>39684</t>
  </si>
  <si>
    <t>GALPAO COMERCIO E CONSTRUCOES</t>
  </si>
  <si>
    <t>35826428000172</t>
  </si>
  <si>
    <t>0795629700150</t>
  </si>
  <si>
    <t>39742</t>
  </si>
  <si>
    <t>39815</t>
  </si>
  <si>
    <t>39948</t>
  </si>
  <si>
    <t>40089</t>
  </si>
  <si>
    <t>40320</t>
  </si>
  <si>
    <t>40322</t>
  </si>
  <si>
    <t>40020</t>
  </si>
  <si>
    <t>GOLD TINTAS LTDA</t>
  </si>
  <si>
    <t>42752323000181</t>
  </si>
  <si>
    <t>0818441300166</t>
  </si>
  <si>
    <t>40209</t>
  </si>
  <si>
    <t>40114</t>
  </si>
  <si>
    <t>HELOENE GRAFICA E PAPELARIA LTDA</t>
  </si>
  <si>
    <t>39616111000162</t>
  </si>
  <si>
    <t>0801290100126</t>
  </si>
  <si>
    <t>39740</t>
  </si>
  <si>
    <t>HEULISSE RODRIGUES DOS SANTOS</t>
  </si>
  <si>
    <t>18759012000160</t>
  </si>
  <si>
    <t>108084213</t>
  </si>
  <si>
    <t>40115</t>
  </si>
  <si>
    <t>HOME CENTER CASTELO FORTE LTDA</t>
  </si>
  <si>
    <t>03009406000638</t>
  </si>
  <si>
    <t>0739379100614</t>
  </si>
  <si>
    <t>39776</t>
  </si>
  <si>
    <t>HUMBERTO OLIVEIRA PROJETOS E CONSTRUCOES LTDA</t>
  </si>
  <si>
    <t>38028677000100</t>
  </si>
  <si>
    <t>0799584600139</t>
  </si>
  <si>
    <t>39676</t>
  </si>
  <si>
    <t>IMPERIO DAS CORES COMERCIO DE TINTAS LTDA</t>
  </si>
  <si>
    <t>53047542000186</t>
  </si>
  <si>
    <t>0826386300156</t>
  </si>
  <si>
    <t>39767</t>
  </si>
  <si>
    <t>39920</t>
  </si>
  <si>
    <t>40108</t>
  </si>
  <si>
    <t>40489</t>
  </si>
  <si>
    <t>40193</t>
  </si>
  <si>
    <t>IMPERIO DAS TINTAS E CONSTRUTORA LTDA</t>
  </si>
  <si>
    <t>35502010000100</t>
  </si>
  <si>
    <t>107805936</t>
  </si>
  <si>
    <t>39683</t>
  </si>
  <si>
    <t>INSPIRA COLOR LTDA</t>
  </si>
  <si>
    <t>55601081000177</t>
  </si>
  <si>
    <t>201604426</t>
  </si>
  <si>
    <t>40506</t>
  </si>
  <si>
    <t>J A R COMERCIO DE MATERIAIS PARA CONSTRUCAO E SERVICOS LTDA</t>
  </si>
  <si>
    <t>55953550000117</t>
  </si>
  <si>
    <t>0831538200155</t>
  </si>
  <si>
    <t>40504</t>
  </si>
  <si>
    <t>J.V. REZENDE COMERCIO DE FERRAGENS LTDA</t>
  </si>
  <si>
    <t>11885752000101</t>
  </si>
  <si>
    <t>0753890700198</t>
  </si>
  <si>
    <t>39702</t>
  </si>
  <si>
    <t>JLSF MATERIAIS PARA CONSTRUCAO EIRELI-ME</t>
  </si>
  <si>
    <t>29010644000142</t>
  </si>
  <si>
    <t>0783305200124</t>
  </si>
  <si>
    <t>39849</t>
  </si>
  <si>
    <t>JOEL BALDOV NASCIMENTO</t>
  </si>
  <si>
    <t>48532019000105</t>
  </si>
  <si>
    <t>0044793790062</t>
  </si>
  <si>
    <t>40306</t>
  </si>
  <si>
    <t>40542</t>
  </si>
  <si>
    <t>40507</t>
  </si>
  <si>
    <t>JOSE J A DE OLIVEIRA COMERCIO DE TINTAS</t>
  </si>
  <si>
    <t>33504368000146</t>
  </si>
  <si>
    <t>0791656800109</t>
  </si>
  <si>
    <t>39880</t>
  </si>
  <si>
    <t>JOSE ROBERTO FAGUNDES POPOLIN</t>
  </si>
  <si>
    <t>14014921000118</t>
  </si>
  <si>
    <t>0758243900186</t>
  </si>
  <si>
    <t>40074</t>
  </si>
  <si>
    <t>JOSE SERAFIM DE CARVALHO ME</t>
  </si>
  <si>
    <t>02689537000136</t>
  </si>
  <si>
    <t>0749042900112</t>
  </si>
  <si>
    <t>40243</t>
  </si>
  <si>
    <t>JOSE WELLINGTON DA SILVA GONCALVES</t>
  </si>
  <si>
    <t>51716015000191</t>
  </si>
  <si>
    <t>40106</t>
  </si>
  <si>
    <t>JR SERRALHERIA E PINTURA ELETROSTATICA LTDA</t>
  </si>
  <si>
    <t>63170599000121</t>
  </si>
  <si>
    <t>203295633</t>
  </si>
  <si>
    <t>40452</t>
  </si>
  <si>
    <t>40451</t>
  </si>
  <si>
    <t>39648</t>
  </si>
  <si>
    <t>JRS CONSTRUCOES E REFORMAS LTDA</t>
  </si>
  <si>
    <t>19794359000106</t>
  </si>
  <si>
    <t>0767347600196</t>
  </si>
  <si>
    <t>39675</t>
  </si>
  <si>
    <t>40039</t>
  </si>
  <si>
    <t>40116</t>
  </si>
  <si>
    <t>40153</t>
  </si>
  <si>
    <t>39839</t>
  </si>
  <si>
    <t>JS CONSTRUCAO E INCORPORACAO LTDA</t>
  </si>
  <si>
    <t>33145064000130</t>
  </si>
  <si>
    <t>109238567</t>
  </si>
  <si>
    <t>40341</t>
  </si>
  <si>
    <t>JW PRIME LTDA</t>
  </si>
  <si>
    <t>55234252000177</t>
  </si>
  <si>
    <t>0830257200188</t>
  </si>
  <si>
    <t>39749</t>
  </si>
  <si>
    <t>L. A. LOPES &amp; J. P. DE SOUSA LTDA</t>
  </si>
  <si>
    <t>51324545000194</t>
  </si>
  <si>
    <t>0823154000183</t>
  </si>
  <si>
    <t>39777</t>
  </si>
  <si>
    <t>39906</t>
  </si>
  <si>
    <t>40323</t>
  </si>
  <si>
    <t>40523</t>
  </si>
  <si>
    <t>39660</t>
  </si>
  <si>
    <t>L&amp;R COMERCIO DE TINTAS LTDA</t>
  </si>
  <si>
    <t>50989390000142</t>
  </si>
  <si>
    <t>0822501100107</t>
  </si>
  <si>
    <t>40575</t>
  </si>
  <si>
    <t>39773</t>
  </si>
  <si>
    <t>LEONARDO BISPO DE CARVALHO</t>
  </si>
  <si>
    <t>36451666000103</t>
  </si>
  <si>
    <t>0796649200178</t>
  </si>
  <si>
    <t>40215</t>
  </si>
  <si>
    <t>17162579000868</t>
  </si>
  <si>
    <t>0735326300390</t>
  </si>
  <si>
    <t>40302</t>
  </si>
  <si>
    <t>40207</t>
  </si>
  <si>
    <t>39942</t>
  </si>
  <si>
    <t>LIGTH METALURGICA LTDA</t>
  </si>
  <si>
    <t>57985162000143</t>
  </si>
  <si>
    <t>0834219900189</t>
  </si>
  <si>
    <t>40463</t>
  </si>
  <si>
    <t>39943</t>
  </si>
  <si>
    <t>LINDEMBERG &amp; MELO COMERCIO  DE TINTAS AUT E IMOBI LTDA</t>
  </si>
  <si>
    <t>38351625000170</t>
  </si>
  <si>
    <t>0800166000192</t>
  </si>
  <si>
    <t>40078</t>
  </si>
  <si>
    <t>40373</t>
  </si>
  <si>
    <t>40458</t>
  </si>
  <si>
    <t>39988</t>
  </si>
  <si>
    <t>LP COMERCIO DE TINTAS LTDA</t>
  </si>
  <si>
    <t>36949823000105</t>
  </si>
  <si>
    <t>0797596800131</t>
  </si>
  <si>
    <t>40310</t>
  </si>
  <si>
    <t>39758</t>
  </si>
  <si>
    <t>LR COMERCIO DE TINTAS LTDA</t>
  </si>
  <si>
    <t>19406819000181</t>
  </si>
  <si>
    <t>0766675600178</t>
  </si>
  <si>
    <t>39895</t>
  </si>
  <si>
    <t>39909</t>
  </si>
  <si>
    <t>39959</t>
  </si>
  <si>
    <t>39990</t>
  </si>
  <si>
    <t>40009</t>
  </si>
  <si>
    <t>40141</t>
  </si>
  <si>
    <t>40332</t>
  </si>
  <si>
    <t>40540</t>
  </si>
  <si>
    <t>39730</t>
  </si>
  <si>
    <t>35559938000120</t>
  </si>
  <si>
    <t>0821717800133</t>
  </si>
  <si>
    <t>39793</t>
  </si>
  <si>
    <t>39888</t>
  </si>
  <si>
    <t>39927</t>
  </si>
  <si>
    <t>39928</t>
  </si>
  <si>
    <t>40017</t>
  </si>
  <si>
    <t>40042</t>
  </si>
  <si>
    <t>40093</t>
  </si>
  <si>
    <t>40167</t>
  </si>
  <si>
    <t>40199</t>
  </si>
  <si>
    <t>40221</t>
  </si>
  <si>
    <t>40232</t>
  </si>
  <si>
    <t>40280</t>
  </si>
  <si>
    <t>40356</t>
  </si>
  <si>
    <t>40434</t>
  </si>
  <si>
    <t>40556</t>
  </si>
  <si>
    <t>40154</t>
  </si>
  <si>
    <t>M. D. DE SOUZA</t>
  </si>
  <si>
    <t>42449222000136</t>
  </si>
  <si>
    <t>0809022500175</t>
  </si>
  <si>
    <t>39838</t>
  </si>
  <si>
    <t>MACCAN ATACADISTA DE TINTAS AUTOMOTIVAS LTDA</t>
  </si>
  <si>
    <t>47223020000195</t>
  </si>
  <si>
    <t>0815274600160</t>
  </si>
  <si>
    <t>39868</t>
  </si>
  <si>
    <t>40404</t>
  </si>
  <si>
    <t>40488</t>
  </si>
  <si>
    <t>39747</t>
  </si>
  <si>
    <t>MAGICOLOR METALURGICA</t>
  </si>
  <si>
    <t>38038543000170</t>
  </si>
  <si>
    <t>0733184400113</t>
  </si>
  <si>
    <t>40405</t>
  </si>
  <si>
    <t>39673</t>
  </si>
  <si>
    <t>MAIS SOLUCOES COMERCIO ATACADISTA DE TINTAS LTDA</t>
  </si>
  <si>
    <t>50433993000163</t>
  </si>
  <si>
    <t>0821450900138</t>
  </si>
  <si>
    <t>39931</t>
  </si>
  <si>
    <t>40177</t>
  </si>
  <si>
    <t>40178</t>
  </si>
  <si>
    <t>40195</t>
  </si>
  <si>
    <t>40288</t>
  </si>
  <si>
    <t>40552</t>
  </si>
  <si>
    <t>40275</t>
  </si>
  <si>
    <t>39984</t>
  </si>
  <si>
    <t>MAJU TINTAS EMPRESA INDIVIDUAL</t>
  </si>
  <si>
    <t>27904046000191</t>
  </si>
  <si>
    <t>0781412800145</t>
  </si>
  <si>
    <t>39996</t>
  </si>
  <si>
    <t>40051</t>
  </si>
  <si>
    <t>40152</t>
  </si>
  <si>
    <t>40176</t>
  </si>
  <si>
    <t>40270</t>
  </si>
  <si>
    <t>40484</t>
  </si>
  <si>
    <t>39969</t>
  </si>
  <si>
    <t>MANOEL J. BEZERRA ALEXANDRE LTDA</t>
  </si>
  <si>
    <t>28162034000100</t>
  </si>
  <si>
    <t>0781832600114</t>
  </si>
  <si>
    <t>39989</t>
  </si>
  <si>
    <t>MARCOS RIBEIRO DA SILVA</t>
  </si>
  <si>
    <t>63822587000134</t>
  </si>
  <si>
    <t>0845705800149</t>
  </si>
  <si>
    <t>40427</t>
  </si>
  <si>
    <t>39885</t>
  </si>
  <si>
    <t>MARCOS ROBERTO PEREIRA DE FARIA EIRELI</t>
  </si>
  <si>
    <t>22315412000153</t>
  </si>
  <si>
    <t>0771697800133</t>
  </si>
  <si>
    <t>40230</t>
  </si>
  <si>
    <t>40259</t>
  </si>
  <si>
    <t>40502</t>
  </si>
  <si>
    <t>40580</t>
  </si>
  <si>
    <t>39692</t>
  </si>
  <si>
    <t>MARI COMERCIO DE TINTAS LTDA</t>
  </si>
  <si>
    <t>44074511000123</t>
  </si>
  <si>
    <t>0809365600193</t>
  </si>
  <si>
    <t>39844</t>
  </si>
  <si>
    <t>39938</t>
  </si>
  <si>
    <t>40018</t>
  </si>
  <si>
    <t>40358</t>
  </si>
  <si>
    <t>39850</t>
  </si>
  <si>
    <t>MARIA CRISTINA SANTOS DA SILVA ME</t>
  </si>
  <si>
    <t>10242528000120</t>
  </si>
  <si>
    <t>0750769700102</t>
  </si>
  <si>
    <t>40171</t>
  </si>
  <si>
    <t>40307</t>
  </si>
  <si>
    <t>40565</t>
  </si>
  <si>
    <t>39651</t>
  </si>
  <si>
    <t>MARIA FERNANDA MORAIS DE ARAUJO</t>
  </si>
  <si>
    <t>39353109000148</t>
  </si>
  <si>
    <t>0800850900167</t>
  </si>
  <si>
    <t>40019</t>
  </si>
  <si>
    <t>40223</t>
  </si>
  <si>
    <t>40437</t>
  </si>
  <si>
    <t>40501</t>
  </si>
  <si>
    <t>40563</t>
  </si>
  <si>
    <t>40077</t>
  </si>
  <si>
    <t>MAURO ANDRE COELHO DOS SANTOS</t>
  </si>
  <si>
    <t>26936806000180</t>
  </si>
  <si>
    <t>0779727300180</t>
  </si>
  <si>
    <t>40578</t>
  </si>
  <si>
    <t>39700</t>
  </si>
  <si>
    <t>MAXIMA  ATACADISTA DE TINTAS E MATERIAIS DE CONSTRUCAO LTDA</t>
  </si>
  <si>
    <t>61116812000191</t>
  </si>
  <si>
    <t>0840006100120</t>
  </si>
  <si>
    <t>40082</t>
  </si>
  <si>
    <t>39916</t>
  </si>
  <si>
    <t>MEGA DRIFT PRODUCOES LTDA</t>
  </si>
  <si>
    <t>45768647000104</t>
  </si>
  <si>
    <t>0812466000191</t>
  </si>
  <si>
    <t>40208</t>
  </si>
  <si>
    <t>MEGAFIX COMERCIO E DIST DE FERRAMENTAS LTDA</t>
  </si>
  <si>
    <t>04580229000101</t>
  </si>
  <si>
    <t>0767588600135</t>
  </si>
  <si>
    <t>40088</t>
  </si>
  <si>
    <t>MENDONCA E GONCALVES CONSTRUCOES E INCORPORACOES LTDA</t>
  </si>
  <si>
    <t>13798155000167</t>
  </si>
  <si>
    <t>0757619800184</t>
  </si>
  <si>
    <t>39654</t>
  </si>
  <si>
    <t>MERCADO DAS TINTAS LTDA ( ADE )</t>
  </si>
  <si>
    <t>72628407000179</t>
  </si>
  <si>
    <t>0747233400177</t>
  </si>
  <si>
    <t>39666</t>
  </si>
  <si>
    <t>39670</t>
  </si>
  <si>
    <t>39671</t>
  </si>
  <si>
    <t>39715</t>
  </si>
  <si>
    <t>39723</t>
  </si>
  <si>
    <t>39725</t>
  </si>
  <si>
    <t>39726</t>
  </si>
  <si>
    <t>39744</t>
  </si>
  <si>
    <t>39786</t>
  </si>
  <si>
    <t>39787</t>
  </si>
  <si>
    <t>39788</t>
  </si>
  <si>
    <t>39804</t>
  </si>
  <si>
    <t>39809</t>
  </si>
  <si>
    <t>39810</t>
  </si>
  <si>
    <t>39836</t>
  </si>
  <si>
    <t>39855</t>
  </si>
  <si>
    <t>39856</t>
  </si>
  <si>
    <t>39881</t>
  </si>
  <si>
    <t>39904</t>
  </si>
  <si>
    <t>39910</t>
  </si>
  <si>
    <t>39911</t>
  </si>
  <si>
    <t>39924</t>
  </si>
  <si>
    <t>39934</t>
  </si>
  <si>
    <t>39954</t>
  </si>
  <si>
    <t>39970</t>
  </si>
  <si>
    <t>39997</t>
  </si>
  <si>
    <t>40011</t>
  </si>
  <si>
    <t>40013</t>
  </si>
  <si>
    <t>40031</t>
  </si>
  <si>
    <t>40045</t>
  </si>
  <si>
    <t>40073</t>
  </si>
  <si>
    <t>40095</t>
  </si>
  <si>
    <t>40137</t>
  </si>
  <si>
    <t>40160</t>
  </si>
  <si>
    <t>40261</t>
  </si>
  <si>
    <t>40340</t>
  </si>
  <si>
    <t>40364</t>
  </si>
  <si>
    <t>40381</t>
  </si>
  <si>
    <t>40496</t>
  </si>
  <si>
    <t>39646</t>
  </si>
  <si>
    <t>MERCADO DAS TINTAS LTDA (GAMA)</t>
  </si>
  <si>
    <t>72628407000330</t>
  </si>
  <si>
    <t>0747233400339</t>
  </si>
  <si>
    <t>39659</t>
  </si>
  <si>
    <t>39735</t>
  </si>
  <si>
    <t>39754</t>
  </si>
  <si>
    <t>39757</t>
  </si>
  <si>
    <t>39870</t>
  </si>
  <si>
    <t>39977</t>
  </si>
  <si>
    <t>39993</t>
  </si>
  <si>
    <t>40026</t>
  </si>
  <si>
    <t>40027</t>
  </si>
  <si>
    <t>40140</t>
  </si>
  <si>
    <t>40142</t>
  </si>
  <si>
    <t>40355</t>
  </si>
  <si>
    <t>40389</t>
  </si>
  <si>
    <t>40459</t>
  </si>
  <si>
    <t>40483</t>
  </si>
  <si>
    <t>39799</t>
  </si>
  <si>
    <t>MIMO CHIC FESTAS &amp; LOCACOES LTDA</t>
  </si>
  <si>
    <t>19752297000170</t>
  </si>
  <si>
    <t>0767238300108</t>
  </si>
  <si>
    <t>40211</t>
  </si>
  <si>
    <t>MK TINTAS LTDA ME</t>
  </si>
  <si>
    <t>18493434000136</t>
  </si>
  <si>
    <t>0765059800100</t>
  </si>
  <si>
    <t>39737</t>
  </si>
  <si>
    <t>60369619000108</t>
  </si>
  <si>
    <t>202623394</t>
  </si>
  <si>
    <t>40064</t>
  </si>
  <si>
    <t>40367</t>
  </si>
  <si>
    <t>40543</t>
  </si>
  <si>
    <t>MS ACESSIBILIDADE E  COMUNICACAO EIRELI</t>
  </si>
  <si>
    <t>23593765000188</t>
  </si>
  <si>
    <t>0774278200123</t>
  </si>
  <si>
    <t>40390</t>
  </si>
  <si>
    <t>N &amp; A COMERCIO DE FERRAMENTAS LTDA -ME</t>
  </si>
  <si>
    <t>13983066000190</t>
  </si>
  <si>
    <t>0758073300108</t>
  </si>
  <si>
    <t>40235</t>
  </si>
  <si>
    <t>NACIONAL PINTURA ELETROSTATICA LTDA</t>
  </si>
  <si>
    <t>61967686000189</t>
  </si>
  <si>
    <t>0841574600114</t>
  </si>
  <si>
    <t>40446</t>
  </si>
  <si>
    <t>40573</t>
  </si>
  <si>
    <t>40375</t>
  </si>
  <si>
    <t>NB COMERCIAL DE TINTAS LTDA</t>
  </si>
  <si>
    <t>03651611000198</t>
  </si>
  <si>
    <t>0740719800106</t>
  </si>
  <si>
    <t>40075</t>
  </si>
  <si>
    <t>NILSON CAETANO ROSA 221.928.911-72</t>
  </si>
  <si>
    <t>44851622000107</t>
  </si>
  <si>
    <t>0810793000104</t>
  </si>
  <si>
    <t>39687</t>
  </si>
  <si>
    <t>NILTON JOSE DOS REIS ME</t>
  </si>
  <si>
    <t>03009830000178</t>
  </si>
  <si>
    <t>0739379900149</t>
  </si>
  <si>
    <t>40015</t>
  </si>
  <si>
    <t>40315</t>
  </si>
  <si>
    <t>40046</t>
  </si>
  <si>
    <t>NOEMIA DE AGUIAR BRANDAO DOS SANTOS</t>
  </si>
  <si>
    <t>51508532000175</t>
  </si>
  <si>
    <t>0823500100187</t>
  </si>
  <si>
    <t>40048</t>
  </si>
  <si>
    <t>39634</t>
  </si>
  <si>
    <t>NOVA FAST COMERCIO DE TINTAS LTDA</t>
  </si>
  <si>
    <t>43973583000140</t>
  </si>
  <si>
    <t>0809187600109</t>
  </si>
  <si>
    <t>39635</t>
  </si>
  <si>
    <t>40350</t>
  </si>
  <si>
    <t>40471</t>
  </si>
  <si>
    <t>40567</t>
  </si>
  <si>
    <t>40422</t>
  </si>
  <si>
    <t>NOVA IMPERIO DF SOM E ACESSORIOS LTDA</t>
  </si>
  <si>
    <t>23615737000114</t>
  </si>
  <si>
    <t>0774342900151</t>
  </si>
  <si>
    <t>40333</t>
  </si>
  <si>
    <t>NYL FERRAGENS LTDA</t>
  </si>
  <si>
    <t>14372578000183</t>
  </si>
  <si>
    <t>0758758800122</t>
  </si>
  <si>
    <t>39864</t>
  </si>
  <si>
    <t>O.S COSTA COMERCIO E SERVICOS DE EQUIPAMENTOS CONTRA INC.</t>
  </si>
  <si>
    <t>58347163000125</t>
  </si>
  <si>
    <t>0834908300161</t>
  </si>
  <si>
    <t>39689</t>
  </si>
  <si>
    <t>OCTAVIO A DE SOUZA ELETRICA E HIDRAULICA</t>
  </si>
  <si>
    <t>51957667000118</t>
  </si>
  <si>
    <t>0824314900100</t>
  </si>
  <si>
    <t>40041</t>
  </si>
  <si>
    <t>OTTO IMPERMIABILIZACAO HIDRAUKICA ELETRICA FERRAGENS LTDA</t>
  </si>
  <si>
    <t>35049868000160</t>
  </si>
  <si>
    <t>0794221000189</t>
  </si>
  <si>
    <t>39695</t>
  </si>
  <si>
    <t>PAINT COMERCIO ATACADISTA DE TINTAS LTDA</t>
  </si>
  <si>
    <t>60275431000192</t>
  </si>
  <si>
    <t>0838430700162</t>
  </si>
  <si>
    <t>39724</t>
  </si>
  <si>
    <t>39771</t>
  </si>
  <si>
    <t>39806</t>
  </si>
  <si>
    <t>39827</t>
  </si>
  <si>
    <t>39918</t>
  </si>
  <si>
    <t>39919</t>
  </si>
  <si>
    <t>39937</t>
  </si>
  <si>
    <t>39972</t>
  </si>
  <si>
    <t>40029</t>
  </si>
  <si>
    <t>40054</t>
  </si>
  <si>
    <t>40060</t>
  </si>
  <si>
    <t>40071</t>
  </si>
  <si>
    <t>40155</t>
  </si>
  <si>
    <t>40172</t>
  </si>
  <si>
    <t>40190</t>
  </si>
  <si>
    <t>40214</t>
  </si>
  <si>
    <t>40292</t>
  </si>
  <si>
    <t>40331</t>
  </si>
  <si>
    <t>40366</t>
  </si>
  <si>
    <t>40392</t>
  </si>
  <si>
    <t>40394</t>
  </si>
  <si>
    <t>40547</t>
  </si>
  <si>
    <t>40277</t>
  </si>
  <si>
    <t>2619</t>
  </si>
  <si>
    <t>40022</t>
  </si>
  <si>
    <t>PARANOA TINTAS LTDA</t>
  </si>
  <si>
    <t>18325711000100</t>
  </si>
  <si>
    <t>0764656200198</t>
  </si>
  <si>
    <t>40023</t>
  </si>
  <si>
    <t>40429</t>
  </si>
  <si>
    <t>PATRICIA CARLA CARLA MENDES</t>
  </si>
  <si>
    <t>29266193000109</t>
  </si>
  <si>
    <t>108869520</t>
  </si>
  <si>
    <t>39821</t>
  </si>
  <si>
    <t>PAULO ROBERTO FERNANDES RODRIGUES</t>
  </si>
  <si>
    <t>29917045000107</t>
  </si>
  <si>
    <t>0785005100120</t>
  </si>
  <si>
    <t>40010</t>
  </si>
  <si>
    <t>40245</t>
  </si>
  <si>
    <t>PAULO VICTOR RODRIGUES FERNANDES ME</t>
  </si>
  <si>
    <t>08888669000173</t>
  </si>
  <si>
    <t>0756555800105</t>
  </si>
  <si>
    <t>40052</t>
  </si>
  <si>
    <t>PERFIL FERRAGENS, FERRAMENTAS LTDA</t>
  </si>
  <si>
    <t>43407532000150</t>
  </si>
  <si>
    <t>0808199700164</t>
  </si>
  <si>
    <t>39686</t>
  </si>
  <si>
    <t>PH SERVICOS AUTOMOTIVOS LTDA</t>
  </si>
  <si>
    <t>44302134000132</t>
  </si>
  <si>
    <t>0809772000179</t>
  </si>
  <si>
    <t>40117</t>
  </si>
  <si>
    <t>POLO DAS TINTAS LTDA</t>
  </si>
  <si>
    <t>03329163000100</t>
  </si>
  <si>
    <t>0740028700140</t>
  </si>
  <si>
    <t>40161</t>
  </si>
  <si>
    <t>PREMIER VEICULOS LTDA.</t>
  </si>
  <si>
    <t>02203159000139</t>
  </si>
  <si>
    <t>0738116600154</t>
  </si>
  <si>
    <t>40257</t>
  </si>
  <si>
    <t>PRIMEIRO NIVEL ARQUITETURA E ENGENHARIA LTDA</t>
  </si>
  <si>
    <t>31565821000107</t>
  </si>
  <si>
    <t>0788064600120</t>
  </si>
  <si>
    <t>39908</t>
  </si>
  <si>
    <t>R.A.J GESTAO DE NEGOCIOS LTDA</t>
  </si>
  <si>
    <t>56109434000189</t>
  </si>
  <si>
    <t>0831804400157</t>
  </si>
  <si>
    <t>40265</t>
  </si>
  <si>
    <t>40528</t>
  </si>
  <si>
    <t>39845</t>
  </si>
  <si>
    <t>R.P.A CONSTRUTORA E SERVICOS TERCEIRIZADOS LTDA</t>
  </si>
  <si>
    <t>28313205000146</t>
  </si>
  <si>
    <t>0782019000137</t>
  </si>
  <si>
    <t>40347</t>
  </si>
  <si>
    <t>RAFAEL DA SILVA PEREIRA DIAS</t>
  </si>
  <si>
    <t>54422908000112</t>
  </si>
  <si>
    <t>201325810</t>
  </si>
  <si>
    <t>39699</t>
  </si>
  <si>
    <t>RAMOS &amp; MARINHO FUNILARIA E PINTURA LTDA</t>
  </si>
  <si>
    <t>45546064000120</t>
  </si>
  <si>
    <t>191595356</t>
  </si>
  <si>
    <t>40317</t>
  </si>
  <si>
    <t>40379</t>
  </si>
  <si>
    <t>40377</t>
  </si>
  <si>
    <t>REAL COMERCIO E INSTALACOES INDUSTRIAL LTDAME</t>
  </si>
  <si>
    <t>10264667000155</t>
  </si>
  <si>
    <t>0750803000163</t>
  </si>
  <si>
    <t>40566</t>
  </si>
  <si>
    <t>39876</t>
  </si>
  <si>
    <t>RENATO FERREIRA DE SOUSA</t>
  </si>
  <si>
    <t>30724024000154</t>
  </si>
  <si>
    <t>0786548500187</t>
  </si>
  <si>
    <t>40246</t>
  </si>
  <si>
    <t>03073454000180</t>
  </si>
  <si>
    <t>0739472100114</t>
  </si>
  <si>
    <t>40319</t>
  </si>
  <si>
    <t>40070</t>
  </si>
  <si>
    <t>03073454000504</t>
  </si>
  <si>
    <t>0739472100548</t>
  </si>
  <si>
    <t>40086</t>
  </si>
  <si>
    <t>40297</t>
  </si>
  <si>
    <t>40321</t>
  </si>
  <si>
    <t>40376</t>
  </si>
  <si>
    <t>40447</t>
  </si>
  <si>
    <t>40416</t>
  </si>
  <si>
    <t>39661</t>
  </si>
  <si>
    <t>RICARDO DE SOUZA O. MACARIO</t>
  </si>
  <si>
    <t>30461163000132</t>
  </si>
  <si>
    <t>0785884000137</t>
  </si>
  <si>
    <t>39932</t>
  </si>
  <si>
    <t>40123</t>
  </si>
  <si>
    <t>40370</t>
  </si>
  <si>
    <t>40582</t>
  </si>
  <si>
    <t>39971</t>
  </si>
  <si>
    <t>RIOCOR COMERCIAL DE TINTAS LTDA</t>
  </si>
  <si>
    <t>03706713000163</t>
  </si>
  <si>
    <t>0740826100140</t>
  </si>
  <si>
    <t>39708</t>
  </si>
  <si>
    <t>RS AUTO COMERCIO DE TINTAS AUTOMOTIVAS EIRELI</t>
  </si>
  <si>
    <t>31702304000124</t>
  </si>
  <si>
    <t>0788280600176</t>
  </si>
  <si>
    <t>39982</t>
  </si>
  <si>
    <t>40418</t>
  </si>
  <si>
    <t>40006</t>
  </si>
  <si>
    <t>RS COMERCIO DE TINTAS E FERRAMENTAS LTDA</t>
  </si>
  <si>
    <t>35145250000102</t>
  </si>
  <si>
    <t>162192779</t>
  </si>
  <si>
    <t>40200</t>
  </si>
  <si>
    <t>RUI ROCHA QUEIROZ</t>
  </si>
  <si>
    <t>62049569000107</t>
  </si>
  <si>
    <t>0841723000113</t>
  </si>
  <si>
    <t>39873</t>
  </si>
  <si>
    <t>RVA BRASILIA CONTRUCOES  LTDA</t>
  </si>
  <si>
    <t>26392234000115</t>
  </si>
  <si>
    <t>0778666100129</t>
  </si>
  <si>
    <t>39748</t>
  </si>
  <si>
    <t>SAGA DETROIT COMERCIO DE VEICULOS PECAS E SERVICOS LTDA</t>
  </si>
  <si>
    <t>19945014000530</t>
  </si>
  <si>
    <t>0770437100249</t>
  </si>
  <si>
    <t>39739</t>
  </si>
  <si>
    <t>39798</t>
  </si>
  <si>
    <t>SANTISSIMO COMERCIO DE TINTAS LTDA</t>
  </si>
  <si>
    <t>28029101000104</t>
  </si>
  <si>
    <t>0781589400127</t>
  </si>
  <si>
    <t>40222</t>
  </si>
  <si>
    <t>39902</t>
  </si>
  <si>
    <t>SAO JOSE MATERIAL ELETRICO, HIDRAULICO E SERVICOS LTDA</t>
  </si>
  <si>
    <t>46035311000197</t>
  </si>
  <si>
    <t>0813530600180</t>
  </si>
  <si>
    <t>40264</t>
  </si>
  <si>
    <t>40308</t>
  </si>
  <si>
    <t>SD COMERCIO DE TINTAS LTDA</t>
  </si>
  <si>
    <t>14261243000198</t>
  </si>
  <si>
    <t>201635755</t>
  </si>
  <si>
    <t>39752</t>
  </si>
  <si>
    <t>SERTAO AUTO PECAS LTDA</t>
  </si>
  <si>
    <t>11232499000189</t>
  </si>
  <si>
    <t>0752902700160</t>
  </si>
  <si>
    <t>39941</t>
  </si>
  <si>
    <t>40426</t>
  </si>
  <si>
    <t>39952</t>
  </si>
  <si>
    <t>SIEL COMERCIO ELETRONICOS LTDA</t>
  </si>
  <si>
    <t>41331196000184</t>
  </si>
  <si>
    <t>0804388500151</t>
  </si>
  <si>
    <t>39980</t>
  </si>
  <si>
    <t>40499</t>
  </si>
  <si>
    <t>SOLAR MATRIZ COMERCIO DE TINTAS LTDA</t>
  </si>
  <si>
    <t>39642197000602</t>
  </si>
  <si>
    <t>0838008100185</t>
  </si>
  <si>
    <t>40057</t>
  </si>
  <si>
    <t>SOLAR TINTAS MATERIAIS PARA CONSTRUCAO LTDA</t>
  </si>
  <si>
    <t>35472591000184</t>
  </si>
  <si>
    <t>0794909900151</t>
  </si>
  <si>
    <t>39968</t>
  </si>
  <si>
    <t>SOLAR TINTAS UNAI</t>
  </si>
  <si>
    <t>45554743000141</t>
  </si>
  <si>
    <t>0042866590040</t>
  </si>
  <si>
    <t>40455</t>
  </si>
  <si>
    <t>SOLUCAO CONSERTO DE TENIS E CALCADOS EM GERAL LTDA ME</t>
  </si>
  <si>
    <t>10623094000109</t>
  </si>
  <si>
    <t>0751620900155</t>
  </si>
  <si>
    <t>40380</t>
  </si>
  <si>
    <t>STATUS PRESTACAO DE SERVICOS ELETRICOS ,REFORMAS LTDA</t>
  </si>
  <si>
    <t>51999567000154</t>
  </si>
  <si>
    <t>0824386300117</t>
  </si>
  <si>
    <t>40385</t>
  </si>
  <si>
    <t>39801</t>
  </si>
  <si>
    <t>TELAS E TOLDOS - COMERCIO E INDUSTRIA LTDA</t>
  </si>
  <si>
    <t>16758395000126</t>
  </si>
  <si>
    <t>0761984000123</t>
  </si>
  <si>
    <t>40067</t>
  </si>
  <si>
    <t>TOK COMERCIO DE TINTAS LTDA</t>
  </si>
  <si>
    <t>49774221000106</t>
  </si>
  <si>
    <t>0820160800116</t>
  </si>
  <si>
    <t>40311</t>
  </si>
  <si>
    <t>40465</t>
  </si>
  <si>
    <t>40227</t>
  </si>
  <si>
    <t>TOP SAUDE ACADEMIA LTDA</t>
  </si>
  <si>
    <t>11085266000109</t>
  </si>
  <si>
    <t>0752611200101</t>
  </si>
  <si>
    <t>40439</t>
  </si>
  <si>
    <t>39768</t>
  </si>
  <si>
    <t>TRADO ENGENHARIA CONSTRUCOES LTDA</t>
  </si>
  <si>
    <t>41171967000113</t>
  </si>
  <si>
    <t>0804109800110</t>
  </si>
  <si>
    <t>40040</t>
  </si>
  <si>
    <t>40102</t>
  </si>
  <si>
    <t>40103</t>
  </si>
  <si>
    <t>40196</t>
  </si>
  <si>
    <t>40197</t>
  </si>
  <si>
    <t>40352</t>
  </si>
  <si>
    <t>40353</t>
  </si>
  <si>
    <t>40438</t>
  </si>
  <si>
    <t>40520</t>
  </si>
  <si>
    <t>39663</t>
  </si>
  <si>
    <t>TRANSPORTADORA TRANS ELETRO LTDA</t>
  </si>
  <si>
    <t>29299048000477</t>
  </si>
  <si>
    <t>127467499111</t>
  </si>
  <si>
    <t>40225</t>
  </si>
  <si>
    <t>TVA CONSTRUCAO EIRELI</t>
  </si>
  <si>
    <t>09366582000107</t>
  </si>
  <si>
    <t>0749908200100</t>
  </si>
  <si>
    <t>40285</t>
  </si>
  <si>
    <t>40569</t>
  </si>
  <si>
    <t>39985</t>
  </si>
  <si>
    <t>UNIFORTTE INDUSTRIA DE PLASTICOS LTDA</t>
  </si>
  <si>
    <t>12554478000142</t>
  </si>
  <si>
    <t>256204993</t>
  </si>
  <si>
    <t>39694</t>
  </si>
  <si>
    <t>11866924000191</t>
  </si>
  <si>
    <t>0753845500126</t>
  </si>
  <si>
    <t>40531</t>
  </si>
  <si>
    <t>UNIVERSO DOS EQUIPAMENTOS LTDA</t>
  </si>
  <si>
    <t>48534765000138</t>
  </si>
  <si>
    <t>0817675300199</t>
  </si>
  <si>
    <t>39638</t>
  </si>
  <si>
    <t>V&amp;T COMERCIO VAREJISTA DE TINTAS LTDA  (AGUAS LINDAS)</t>
  </si>
  <si>
    <t>36113768000208</t>
  </si>
  <si>
    <t>108660389</t>
  </si>
  <si>
    <t>39639</t>
  </si>
  <si>
    <t>39697</t>
  </si>
  <si>
    <t>39698</t>
  </si>
  <si>
    <t>39857</t>
  </si>
  <si>
    <t>39861</t>
  </si>
  <si>
    <t>39862</t>
  </si>
  <si>
    <t>39890</t>
  </si>
  <si>
    <t>39891</t>
  </si>
  <si>
    <t>39907</t>
  </si>
  <si>
    <t>40119</t>
  </si>
  <si>
    <t>40174</t>
  </si>
  <si>
    <t>40361</t>
  </si>
  <si>
    <t>40371</t>
  </si>
  <si>
    <t>40112</t>
  </si>
  <si>
    <t>31289467000127</t>
  </si>
  <si>
    <t>0787405100175</t>
  </si>
  <si>
    <t>40374</t>
  </si>
  <si>
    <t>40413</t>
  </si>
  <si>
    <t>40359</t>
  </si>
  <si>
    <t>VANESSA PEREIRA MATEUS COMERCIAL LTDA</t>
  </si>
  <si>
    <t>33631983000113</t>
  </si>
  <si>
    <t>107614413</t>
  </si>
  <si>
    <t>39816</t>
  </si>
  <si>
    <t>VASCONCELOS PRODUTOS AUTOMOTIVOS LTDA</t>
  </si>
  <si>
    <t>28289442000119</t>
  </si>
  <si>
    <t>0782095400167</t>
  </si>
  <si>
    <t>39912</t>
  </si>
  <si>
    <t>40008</t>
  </si>
  <si>
    <t>40156</t>
  </si>
  <si>
    <t>40512</t>
  </si>
  <si>
    <t>39643</t>
  </si>
  <si>
    <t>VELCAR CENTRO AUTOMOTIVO LTDA</t>
  </si>
  <si>
    <t>04363960000177</t>
  </si>
  <si>
    <t>0742097300179</t>
  </si>
  <si>
    <t>40139</t>
  </si>
  <si>
    <t>40145</t>
  </si>
  <si>
    <t>VOOMA COMERCIO E IMPORTACAO LTDA</t>
  </si>
  <si>
    <t>24596749000101</t>
  </si>
  <si>
    <t>0828840300108</t>
  </si>
  <si>
    <t>39745</t>
  </si>
  <si>
    <t>W B DE JESUS MATERIAS ELETRICOS E HIDRAULICO</t>
  </si>
  <si>
    <t>18282898000101</t>
  </si>
  <si>
    <t>0764622900189</t>
  </si>
  <si>
    <t>39706</t>
  </si>
  <si>
    <t>42009786000239</t>
  </si>
  <si>
    <t>0805654900266</t>
  </si>
  <si>
    <t>40081</t>
  </si>
  <si>
    <t>39710</t>
  </si>
  <si>
    <t>W. PEREIRA DO AMARAL LTDA</t>
  </si>
  <si>
    <t>62024172000152</t>
  </si>
  <si>
    <t>0841677400177</t>
  </si>
  <si>
    <t>39915</t>
  </si>
  <si>
    <t>39960</t>
  </si>
  <si>
    <t>40449</t>
  </si>
  <si>
    <t>40065</t>
  </si>
  <si>
    <t>WA SALES BRASILIA LTDA</t>
  </si>
  <si>
    <t>20930297000100</t>
  </si>
  <si>
    <t>0769314800192</t>
  </si>
  <si>
    <t>40335</t>
  </si>
  <si>
    <t>WILKER OLIVEIRA SAMPAIO</t>
  </si>
  <si>
    <t>12328960000164</t>
  </si>
  <si>
    <t>0819695000138</t>
  </si>
  <si>
    <t>40004</t>
  </si>
  <si>
    <t>WLL TRANSPORTES LTDA</t>
  </si>
  <si>
    <t>27374359000185</t>
  </si>
  <si>
    <t>0780383600190</t>
  </si>
  <si>
    <t>40344</t>
  </si>
  <si>
    <t>39657</t>
  </si>
  <si>
    <t>01683858000160</t>
  </si>
  <si>
    <t>102921822</t>
  </si>
  <si>
    <t>39851</t>
  </si>
  <si>
    <t>40016</t>
  </si>
  <si>
    <t>40216</t>
  </si>
  <si>
    <t>40505</t>
  </si>
  <si>
    <t>39727</t>
  </si>
  <si>
    <t>ZEMA CENTRO AUTOMOTIVO LTDA</t>
  </si>
  <si>
    <t>55053905000111</t>
  </si>
  <si>
    <t>0829934500109</t>
  </si>
  <si>
    <t>39728</t>
  </si>
  <si>
    <t>39765</t>
  </si>
  <si>
    <t>39837</t>
  </si>
  <si>
    <t>39925</t>
  </si>
  <si>
    <t>40000</t>
  </si>
  <si>
    <t>40090</t>
  </si>
  <si>
    <t>40113</t>
  </si>
  <si>
    <t>40252</t>
  </si>
  <si>
    <t>40254</t>
  </si>
  <si>
    <t>40345</t>
  </si>
  <si>
    <t>40351</t>
  </si>
  <si>
    <t>40398</t>
  </si>
  <si>
    <t>40470</t>
  </si>
  <si>
    <t>40253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</si>
</sst>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$&quot;\ * #,##0.00_-;\-&quot;R$&quot;\ * #,##0.00_-;_-&quot;R$&quot;\ * &quot;-&quot;??_-;_-@_-"/>
    <numFmt numFmtId="164" formatCode="_-&quot;R$&quot;\ * #,##0.00_-;\-&quot;R$&quot;\ * #,##0.00_-;_-&quot;R$&quot;\ * &quot;-&quot;??_-;_-@"/>
    <numFmt numFmtId="165" formatCode="mm/yyyy"/>
    <numFmt numFmtId="166" formatCode="#,##0.00;\(#,##0.00\);#,##0.00"/>
    <numFmt numFmtId="167" formatCode="##0.00%"/>
    <numFmt numFmtId="168" formatCode="######"/>
    <numFmt numFmtId="169" formatCode="#,##0.00&quot;d&quot;;#,##0.00&quot;c&quot;;#,##0.00"/>
    <numFmt numFmtId="170" formatCode="0000"/>
    <numFmt numFmtId="171" formatCode="0\-000"/>
    <numFmt numFmtId="172" formatCode="###,###,###,##0.00"/>
    <numFmt numFmtId="173" formatCode="##0.00"/>
    <numFmt numFmtId="174" formatCode="#\-###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7"/>
      <color indexed="8"/>
      <name val="Tahoma"/>
      <family val="2"/>
    </font>
    <font>
      <sz val="10"/>
      <name val="Arial"/>
      <family val="2"/>
    </font>
    <font>
      <b/>
      <sz val="7"/>
      <color indexed="8"/>
      <name val="Tahoma"/>
      <family val="2"/>
    </font>
    <font>
      <sz val="8"/>
      <name val="Calibri"/>
      <family val="2"/>
      <scheme val="minor"/>
    </font>
    <font>
      <b/>
      <sz val="10"/>
      <name val="Arial"/>
      <family val="2"/>
    </font>
    <font>
      <b/>
      <sz val="7"/>
      <color indexed="8"/>
      <name val="Tahoma"/>
      <family val="1"/>
    </font>
    <font>
      <sz val="7"/>
      <color indexed="8"/>
      <name val="Tahoma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44" fontId="15" fillId="0" borderId="0" applyFont="0" applyFill="0" applyBorder="0" applyAlignment="0" applyProtection="0"/>
  </cellStyleXfs>
  <cellXfs count="78">
    <xf numFmtId="0" fontId="0" fillId="0" borderId="0" xfId="0"/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/>
    <xf numFmtId="0" fontId="4" fillId="0" borderId="1" xfId="0" applyFont="1" applyBorder="1"/>
    <xf numFmtId="164" fontId="4" fillId="0" borderId="0" xfId="0" applyNumberFormat="1" applyFont="1"/>
    <xf numFmtId="0" fontId="4" fillId="0" borderId="0" xfId="0" applyFont="1"/>
    <xf numFmtId="0" fontId="5" fillId="0" borderId="2" xfId="0" applyFont="1" applyBorder="1"/>
    <xf numFmtId="0" fontId="0" fillId="0" borderId="2" xfId="0" applyBorder="1"/>
    <xf numFmtId="0" fontId="3" fillId="0" borderId="0" xfId="0" applyFont="1"/>
    <xf numFmtId="0" fontId="3" fillId="0" borderId="2" xfId="0" applyFont="1" applyBorder="1"/>
    <xf numFmtId="49" fontId="6" fillId="0" borderId="0" xfId="0" applyNumberFormat="1" applyFont="1" applyAlignment="1">
      <alignment horizontal="right" vertical="top" wrapText="1"/>
    </xf>
    <xf numFmtId="166" fontId="7" fillId="0" borderId="0" xfId="0" applyNumberFormat="1" applyFont="1" applyAlignment="1">
      <alignment horizontal="right" vertical="top"/>
    </xf>
    <xf numFmtId="167" fontId="7" fillId="0" borderId="0" xfId="0" applyNumberFormat="1" applyFont="1" applyAlignment="1">
      <alignment horizontal="right" vertical="top"/>
    </xf>
    <xf numFmtId="49" fontId="6" fillId="0" borderId="0" xfId="0" applyNumberFormat="1" applyFont="1" applyAlignment="1">
      <alignment horizontal="center" vertical="top" wrapText="1"/>
    </xf>
    <xf numFmtId="49" fontId="8" fillId="0" borderId="0" xfId="0" applyNumberFormat="1" applyFont="1" applyAlignment="1">
      <alignment vertical="top" wrapText="1"/>
    </xf>
    <xf numFmtId="49" fontId="6" fillId="0" borderId="0" xfId="0" applyNumberFormat="1" applyFont="1" applyAlignment="1">
      <alignment vertical="top" wrapText="1"/>
    </xf>
    <xf numFmtId="4" fontId="7" fillId="0" borderId="0" xfId="0" applyNumberFormat="1" applyFont="1" applyAlignment="1">
      <alignment vertical="top"/>
    </xf>
    <xf numFmtId="166" fontId="7" fillId="0" borderId="0" xfId="0" applyNumberFormat="1" applyFont="1" applyAlignment="1">
      <alignment vertical="top"/>
    </xf>
    <xf numFmtId="49" fontId="7" fillId="0" borderId="0" xfId="0" applyNumberFormat="1" applyFont="1" applyAlignment="1">
      <alignment vertical="top" wrapText="1"/>
    </xf>
    <xf numFmtId="4" fontId="6" fillId="0" borderId="0" xfId="0" applyNumberFormat="1" applyFont="1" applyAlignment="1">
      <alignment vertical="top"/>
    </xf>
    <xf numFmtId="0" fontId="0" fillId="0" borderId="0" xfId="0" applyAlignment="1"/>
    <xf numFmtId="167" fontId="7" fillId="0" borderId="0" xfId="0" applyNumberFormat="1" applyFont="1" applyAlignment="1">
      <alignment vertical="top"/>
    </xf>
    <xf numFmtId="165" fontId="7" fillId="0" borderId="0" xfId="0" applyNumberFormat="1" applyFont="1" applyAlignment="1">
      <alignment vertical="top"/>
    </xf>
    <xf numFmtId="21" fontId="7" fillId="0" borderId="0" xfId="0" applyNumberFormat="1" applyFont="1" applyAlignment="1">
      <alignment vertical="top"/>
    </xf>
    <xf numFmtId="0" fontId="9" fillId="0" borderId="0" xfId="1"/>
    <xf numFmtId="166" fontId="10" fillId="0" borderId="0" xfId="1" applyNumberFormat="1" applyFont="1" applyAlignment="1">
      <alignment vertical="top"/>
    </xf>
    <xf numFmtId="49" fontId="10" fillId="0" borderId="0" xfId="1" applyNumberFormat="1" applyFont="1" applyAlignment="1">
      <alignment vertical="top" wrapText="1"/>
    </xf>
    <xf numFmtId="166" fontId="8" fillId="0" borderId="0" xfId="1" applyNumberFormat="1" applyFont="1" applyAlignment="1">
      <alignment vertical="top"/>
    </xf>
    <xf numFmtId="49" fontId="8" fillId="0" borderId="0" xfId="1" applyNumberFormat="1" applyFont="1" applyAlignment="1">
      <alignment vertical="top" wrapText="1"/>
    </xf>
    <xf numFmtId="166" fontId="10" fillId="0" borderId="0" xfId="1" applyNumberFormat="1" applyFont="1" applyFill="1" applyAlignment="1">
      <alignment vertical="top"/>
    </xf>
    <xf numFmtId="0" fontId="12" fillId="0" borderId="0" xfId="1" applyFont="1"/>
    <xf numFmtId="0" fontId="0" fillId="0" borderId="0" xfId="0" applyAlignment="1">
      <alignment horizontal="center"/>
    </xf>
    <xf numFmtId="168" fontId="13" fillId="0" borderId="0" xfId="0" applyNumberFormat="1" applyFont="1" applyAlignment="1">
      <alignment horizontal="center" vertical="top"/>
    </xf>
    <xf numFmtId="0" fontId="10" fillId="0" borderId="0" xfId="0" applyFont="1" applyAlignment="1">
      <alignment horizontal="center" vertical="top" wrapText="1"/>
    </xf>
    <xf numFmtId="169" fontId="13" fillId="0" borderId="0" xfId="0" applyNumberFormat="1" applyFont="1" applyAlignment="1">
      <alignment horizontal="center" vertical="top"/>
    </xf>
    <xf numFmtId="168" fontId="14" fillId="0" borderId="0" xfId="0" applyNumberFormat="1" applyFont="1" applyAlignment="1">
      <alignment horizontal="center" vertical="top"/>
    </xf>
    <xf numFmtId="0" fontId="8" fillId="0" borderId="0" xfId="0" applyFont="1" applyAlignment="1">
      <alignment horizontal="center" vertical="top" wrapText="1"/>
    </xf>
    <xf numFmtId="169" fontId="14" fillId="0" borderId="0" xfId="0" applyNumberFormat="1" applyFont="1" applyAlignment="1">
      <alignment horizontal="center" vertical="top"/>
    </xf>
    <xf numFmtId="49" fontId="8" fillId="2" borderId="0" xfId="0" applyNumberFormat="1" applyFont="1" applyFill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2" xfId="2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44" fontId="0" fillId="3" borderId="2" xfId="2" applyFont="1" applyFill="1" applyBorder="1" applyAlignment="1">
      <alignment horizontal="center"/>
    </xf>
    <xf numFmtId="44" fontId="3" fillId="0" borderId="0" xfId="2" applyFont="1"/>
    <xf numFmtId="44" fontId="0" fillId="0" borderId="0" xfId="2" applyFont="1"/>
    <xf numFmtId="0" fontId="1" fillId="0" borderId="0" xfId="0" applyFont="1"/>
    <xf numFmtId="49" fontId="7" fillId="0" borderId="0" xfId="0" applyNumberFormat="1" applyFont="1" applyAlignment="1">
      <alignment horizontal="left" vertical="top" wrapText="1"/>
    </xf>
    <xf numFmtId="170" fontId="7" fillId="0" borderId="0" xfId="0" applyNumberFormat="1" applyFont="1" applyAlignment="1">
      <alignment vertical="top"/>
    </xf>
    <xf numFmtId="49" fontId="7" fillId="0" borderId="0" xfId="0" applyNumberFormat="1" applyFont="1" applyAlignment="1">
      <alignment horizontal="left" vertical="top"/>
    </xf>
    <xf numFmtId="14" fontId="7" fillId="0" borderId="0" xfId="0" applyNumberFormat="1" applyFont="1" applyAlignment="1">
      <alignment vertical="top"/>
    </xf>
    <xf numFmtId="20" fontId="7" fillId="0" borderId="0" xfId="0" applyNumberFormat="1" applyFont="1" applyAlignment="1">
      <alignment vertical="top"/>
    </xf>
    <xf numFmtId="49" fontId="6" fillId="0" borderId="0" xfId="0" applyNumberFormat="1" applyFont="1" applyAlignment="1">
      <alignment horizontal="left" vertical="top" wrapText="1"/>
    </xf>
    <xf numFmtId="49" fontId="8" fillId="0" borderId="0" xfId="0" applyNumberFormat="1" applyFont="1" applyAlignment="1">
      <alignment horizontal="right" vertical="top"/>
    </xf>
    <xf numFmtId="14" fontId="8" fillId="0" borderId="0" xfId="0" applyNumberFormat="1" applyFont="1" applyAlignment="1">
      <alignment horizontal="right" vertical="top"/>
    </xf>
    <xf numFmtId="0" fontId="8" fillId="0" borderId="0" xfId="0" applyFont="1" applyAlignment="1">
      <alignment horizontal="right" vertical="top" wrapText="1"/>
    </xf>
    <xf numFmtId="49" fontId="8" fillId="0" borderId="0" xfId="0" applyNumberFormat="1" applyFont="1" applyAlignment="1">
      <alignment horizontal="left" vertical="top" wrapText="1"/>
    </xf>
    <xf numFmtId="171" fontId="8" fillId="0" borderId="0" xfId="0" applyNumberFormat="1" applyFont="1" applyAlignment="1">
      <alignment horizontal="right" vertical="top"/>
    </xf>
    <xf numFmtId="172" fontId="8" fillId="0" borderId="0" xfId="0" applyNumberFormat="1" applyFont="1" applyAlignment="1">
      <alignment vertical="top"/>
    </xf>
    <xf numFmtId="172" fontId="8" fillId="0" borderId="0" xfId="0" applyNumberFormat="1" applyFont="1" applyAlignment="1">
      <alignment horizontal="right" vertical="top"/>
    </xf>
    <xf numFmtId="173" fontId="8" fillId="0" borderId="0" xfId="0" applyNumberFormat="1" applyFont="1" applyAlignment="1">
      <alignment horizontal="right" vertical="top"/>
    </xf>
    <xf numFmtId="49" fontId="7" fillId="2" borderId="0" xfId="0" applyNumberFormat="1" applyFont="1" applyFill="1" applyAlignment="1">
      <alignment vertical="top" wrapText="1"/>
    </xf>
    <xf numFmtId="49" fontId="8" fillId="0" borderId="0" xfId="0" applyNumberFormat="1" applyFont="1" applyAlignment="1">
      <alignment horizontal="left" vertical="top"/>
    </xf>
    <xf numFmtId="49" fontId="10" fillId="0" borderId="0" xfId="0" applyNumberFormat="1" applyFont="1" applyAlignment="1">
      <alignment horizontal="right" vertical="top" wrapText="1"/>
    </xf>
    <xf numFmtId="49" fontId="10" fillId="0" borderId="0" xfId="0" applyNumberFormat="1" applyFont="1" applyAlignment="1">
      <alignment horizontal="left" vertical="top" wrapText="1"/>
    </xf>
    <xf numFmtId="14" fontId="8" fillId="0" borderId="0" xfId="0" applyNumberFormat="1" applyFont="1" applyAlignment="1">
      <alignment horizontal="center" vertical="top"/>
    </xf>
    <xf numFmtId="174" fontId="8" fillId="0" borderId="0" xfId="0" applyNumberFormat="1" applyFont="1" applyAlignment="1">
      <alignment horizontal="right" vertical="top"/>
    </xf>
    <xf numFmtId="49" fontId="8" fillId="2" borderId="0" xfId="0" applyNumberFormat="1" applyFont="1" applyFill="1" applyAlignment="1">
      <alignment vertical="top" wrapText="1"/>
    </xf>
    <xf numFmtId="0" fontId="10" fillId="0" borderId="0" xfId="0" applyFont="1" applyAlignment="1">
      <alignment vertical="top" wrapText="1"/>
    </xf>
    <xf numFmtId="14" fontId="8" fillId="0" borderId="0" xfId="0" applyNumberFormat="1" applyFont="1" applyAlignment="1">
      <alignment vertical="top"/>
    </xf>
    <xf numFmtId="49" fontId="8" fillId="0" borderId="0" xfId="0" applyNumberFormat="1" applyFont="1" applyAlignment="1">
      <alignment vertical="top"/>
    </xf>
    <xf numFmtId="0" fontId="8" fillId="0" borderId="0" xfId="0" applyFont="1" applyAlignment="1">
      <alignment vertical="top" wrapText="1"/>
    </xf>
    <xf numFmtId="49" fontId="10" fillId="0" borderId="0" xfId="0" applyNumberFormat="1" applyFont="1" applyAlignment="1">
      <alignment vertical="top" wrapText="1"/>
    </xf>
    <xf numFmtId="170" fontId="8" fillId="0" borderId="0" xfId="0" applyNumberFormat="1" applyFont="1" applyAlignment="1">
      <alignment vertical="top"/>
    </xf>
    <xf numFmtId="20" fontId="8" fillId="0" borderId="0" xfId="0" applyNumberFormat="1" applyFont="1" applyAlignment="1">
      <alignment vertical="top"/>
    </xf>
  </cellXfs>
  <cellStyles count="3">
    <cellStyle name="Moeda" xfId="2" builtinId="4"/>
    <cellStyle name="Normal" xfId="0" builtinId="0"/>
    <cellStyle name="Normal 2" xfId="1" xr:uid="{A6E16576-736F-4DCD-8230-5666B848CA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DCD20-5A81-4ADE-9DA8-370D8C2686CF}">
  <dimension ref="A1:AN32"/>
  <sheetViews>
    <sheetView workbookViewId="0">
      <selection activeCell="E24" sqref="E24"/>
    </sheetView>
  </sheetViews>
  <sheetFormatPr defaultRowHeight="15" x14ac:dyDescent="0.25"/>
  <cols>
    <col min="1" max="1" width="31.28515625" bestFit="1" customWidth="1"/>
    <col min="2" max="2" width="10.42578125" customWidth="1"/>
    <col min="3" max="3" width="3.42578125" bestFit="1" customWidth="1"/>
    <col min="4" max="4" width="3.7109375" customWidth="1"/>
    <col min="6" max="6" width="3.42578125" bestFit="1" customWidth="1"/>
    <col min="7" max="7" width="3.7109375" customWidth="1"/>
    <col min="9" max="9" width="3.42578125" bestFit="1" customWidth="1"/>
    <col min="10" max="10" width="3.7109375" customWidth="1"/>
    <col min="12" max="12" width="3.42578125" bestFit="1" customWidth="1"/>
    <col min="13" max="13" width="3.7109375" customWidth="1"/>
    <col min="15" max="15" width="3.42578125" bestFit="1" customWidth="1"/>
    <col min="16" max="16" width="3.7109375" customWidth="1"/>
    <col min="18" max="18" width="3.42578125" bestFit="1" customWidth="1"/>
    <col min="19" max="19" width="3.7109375" customWidth="1"/>
    <col min="21" max="21" width="3.42578125" bestFit="1" customWidth="1"/>
    <col min="22" max="22" width="3.7109375" customWidth="1"/>
    <col min="24" max="24" width="3.42578125" bestFit="1" customWidth="1"/>
    <col min="25" max="25" width="3.7109375" customWidth="1"/>
    <col min="27" max="27" width="3.42578125" bestFit="1" customWidth="1"/>
    <col min="28" max="28" width="3.7109375" customWidth="1"/>
    <col min="30" max="30" width="3.42578125" bestFit="1" customWidth="1"/>
    <col min="31" max="31" width="4.42578125" customWidth="1"/>
    <col min="33" max="33" width="3.42578125" bestFit="1" customWidth="1"/>
    <col min="34" max="34" width="4.42578125" customWidth="1"/>
    <col min="36" max="36" width="3.42578125" bestFit="1" customWidth="1"/>
    <col min="37" max="37" width="4.42578125" customWidth="1"/>
    <col min="39" max="39" width="3.42578125" bestFit="1" customWidth="1"/>
    <col min="40" max="40" width="4.42578125" customWidth="1"/>
  </cols>
  <sheetData>
    <row r="1" spans="1:40" x14ac:dyDescent="0.25">
      <c r="A1" s="26" t="s">
        <v>138</v>
      </c>
      <c r="B1" s="30" t="s">
        <v>170</v>
      </c>
      <c r="C1" s="25" t="s">
        <v>171</v>
      </c>
      <c r="D1" s="25" t="s">
        <v>172</v>
      </c>
      <c r="E1" s="25" t="s">
        <v>173</v>
      </c>
      <c r="F1" s="25" t="s">
        <v>171</v>
      </c>
      <c r="G1" s="25" t="s">
        <v>172</v>
      </c>
      <c r="H1" s="25" t="s">
        <v>174</v>
      </c>
      <c r="I1" s="25" t="s">
        <v>171</v>
      </c>
      <c r="J1" s="25" t="s">
        <v>172</v>
      </c>
      <c r="K1" s="25" t="s">
        <v>175</v>
      </c>
      <c r="L1" s="25" t="s">
        <v>171</v>
      </c>
      <c r="M1" s="25" t="s">
        <v>172</v>
      </c>
      <c r="N1" s="25" t="s">
        <v>176</v>
      </c>
      <c r="O1" s="25" t="s">
        <v>171</v>
      </c>
      <c r="P1" s="25" t="s">
        <v>172</v>
      </c>
      <c r="Q1" s="25" t="s">
        <v>177</v>
      </c>
      <c r="R1" s="25" t="s">
        <v>171</v>
      </c>
      <c r="S1" s="25" t="s">
        <v>172</v>
      </c>
      <c r="T1" s="25" t="s">
        <v>178</v>
      </c>
      <c r="U1" s="25" t="s">
        <v>171</v>
      </c>
      <c r="V1" s="25" t="s">
        <v>172</v>
      </c>
      <c r="W1" s="25" t="s">
        <v>179</v>
      </c>
      <c r="X1" s="25" t="s">
        <v>171</v>
      </c>
      <c r="Y1" s="25" t="s">
        <v>172</v>
      </c>
      <c r="Z1" s="25" t="s">
        <v>180</v>
      </c>
      <c r="AA1" s="25" t="s">
        <v>171</v>
      </c>
      <c r="AB1" s="25" t="s">
        <v>172</v>
      </c>
      <c r="AC1" s="25" t="s">
        <v>181</v>
      </c>
      <c r="AD1" s="25" t="s">
        <v>171</v>
      </c>
      <c r="AE1" s="25" t="s">
        <v>172</v>
      </c>
      <c r="AF1" s="25" t="s">
        <v>182</v>
      </c>
      <c r="AG1" s="25" t="s">
        <v>171</v>
      </c>
      <c r="AH1" s="25" t="s">
        <v>172</v>
      </c>
      <c r="AI1" s="25" t="s">
        <v>183</v>
      </c>
      <c r="AJ1" s="25" t="s">
        <v>171</v>
      </c>
      <c r="AK1" s="25" t="s">
        <v>172</v>
      </c>
      <c r="AL1" s="29" t="s">
        <v>2</v>
      </c>
      <c r="AM1" s="25" t="s">
        <v>171</v>
      </c>
      <c r="AN1" s="25" t="s">
        <v>172</v>
      </c>
    </row>
    <row r="2" spans="1:40" x14ac:dyDescent="0.25">
      <c r="A2" s="28" t="s">
        <v>139</v>
      </c>
      <c r="B2" s="27">
        <v>691952.4</v>
      </c>
      <c r="C2" s="24"/>
      <c r="D2" s="24"/>
      <c r="E2" s="24"/>
      <c r="F2" s="24"/>
      <c r="G2" s="24"/>
      <c r="H2" s="24"/>
      <c r="I2" s="24"/>
      <c r="J2" s="24"/>
      <c r="L2" s="24"/>
      <c r="M2" s="24"/>
      <c r="O2" s="24"/>
      <c r="P2" s="24"/>
      <c r="R2" s="24"/>
      <c r="S2" s="24"/>
      <c r="U2" s="24"/>
      <c r="V2" s="24"/>
      <c r="X2" s="24"/>
      <c r="Y2" s="24"/>
      <c r="AA2" s="24"/>
      <c r="AB2" s="24"/>
      <c r="AD2" s="24"/>
      <c r="AE2" s="24"/>
      <c r="AG2" s="24"/>
      <c r="AH2" s="24"/>
      <c r="AJ2" s="24"/>
      <c r="AK2" s="24"/>
      <c r="AM2" s="24"/>
      <c r="AN2" s="24"/>
    </row>
    <row r="3" spans="1:40" x14ac:dyDescent="0.25">
      <c r="A3" s="26" t="s">
        <v>140</v>
      </c>
      <c r="B3" s="24"/>
      <c r="C3" s="25"/>
      <c r="D3" s="25"/>
      <c r="E3" s="25"/>
      <c r="F3" s="25"/>
      <c r="G3" s="25"/>
      <c r="H3" s="25"/>
      <c r="I3" s="25"/>
      <c r="J3" s="25"/>
      <c r="L3" s="25"/>
      <c r="M3" s="25"/>
      <c r="O3" s="25"/>
      <c r="P3" s="25"/>
      <c r="R3" s="25"/>
      <c r="S3" s="25"/>
      <c r="U3" s="25"/>
      <c r="V3" s="25"/>
      <c r="X3" s="25"/>
      <c r="Y3" s="25"/>
      <c r="AA3" s="25"/>
      <c r="AB3" s="25"/>
      <c r="AD3" s="25"/>
      <c r="AE3" s="25"/>
      <c r="AG3" s="25"/>
      <c r="AH3" s="25"/>
      <c r="AJ3" s="25"/>
      <c r="AK3" s="25"/>
      <c r="AM3" s="25"/>
      <c r="AN3" s="25"/>
    </row>
    <row r="4" spans="1:40" x14ac:dyDescent="0.25">
      <c r="A4" s="28" t="s">
        <v>141</v>
      </c>
      <c r="B4" s="27">
        <v>-12774.35</v>
      </c>
      <c r="C4" s="24"/>
      <c r="D4" s="24"/>
      <c r="E4" s="24"/>
      <c r="F4" s="24"/>
      <c r="G4" s="24"/>
      <c r="H4" s="24"/>
      <c r="I4" s="24"/>
      <c r="J4" s="24"/>
      <c r="L4" s="24"/>
      <c r="M4" s="24"/>
      <c r="O4" s="24"/>
      <c r="P4" s="24"/>
      <c r="R4" s="24"/>
      <c r="S4" s="24"/>
      <c r="U4" s="24"/>
      <c r="V4" s="24"/>
      <c r="X4" s="24"/>
      <c r="Y4" s="24"/>
      <c r="AA4" s="24"/>
      <c r="AB4" s="24"/>
      <c r="AD4" s="24"/>
      <c r="AE4" s="24"/>
      <c r="AG4" s="24"/>
      <c r="AH4" s="24"/>
      <c r="AJ4" s="24"/>
      <c r="AK4" s="24"/>
      <c r="AM4" s="24"/>
      <c r="AN4" s="24"/>
    </row>
    <row r="5" spans="1:40" x14ac:dyDescent="0.25">
      <c r="A5" s="28" t="s">
        <v>142</v>
      </c>
      <c r="B5" s="27">
        <v>-80791.039999999994</v>
      </c>
      <c r="C5" s="24"/>
      <c r="D5" s="24"/>
      <c r="E5" s="24"/>
      <c r="F5" s="24"/>
      <c r="G5" s="24"/>
      <c r="H5" s="24"/>
      <c r="I5" s="24"/>
      <c r="J5" s="24"/>
      <c r="L5" s="24"/>
      <c r="M5" s="24"/>
      <c r="O5" s="24"/>
      <c r="P5" s="24"/>
      <c r="R5" s="24"/>
      <c r="S5" s="24"/>
      <c r="U5" s="24"/>
      <c r="V5" s="24"/>
      <c r="X5" s="24"/>
      <c r="Y5" s="24"/>
      <c r="AA5" s="24"/>
      <c r="AB5" s="24"/>
      <c r="AD5" s="24"/>
      <c r="AE5" s="24"/>
      <c r="AG5" s="24"/>
      <c r="AH5" s="24"/>
      <c r="AJ5" s="24"/>
      <c r="AK5" s="24"/>
      <c r="AM5" s="24"/>
      <c r="AN5" s="24"/>
    </row>
    <row r="6" spans="1:40" x14ac:dyDescent="0.25">
      <c r="A6" s="28" t="s">
        <v>143</v>
      </c>
      <c r="B6" s="27">
        <v>-42842.47</v>
      </c>
      <c r="C6" s="24"/>
      <c r="D6" s="24"/>
      <c r="E6" s="24"/>
      <c r="F6" s="24"/>
      <c r="G6" s="24"/>
      <c r="H6" s="24"/>
      <c r="I6" s="24"/>
      <c r="J6" s="24"/>
      <c r="L6" s="24"/>
      <c r="M6" s="24"/>
      <c r="O6" s="24"/>
      <c r="P6" s="24"/>
      <c r="R6" s="24"/>
      <c r="S6" s="24"/>
      <c r="U6" s="24"/>
      <c r="V6" s="24"/>
      <c r="X6" s="24"/>
      <c r="Y6" s="24"/>
      <c r="AA6" s="24"/>
      <c r="AB6" s="24"/>
      <c r="AD6" s="24"/>
      <c r="AE6" s="24"/>
      <c r="AG6" s="24"/>
      <c r="AH6" s="24"/>
      <c r="AJ6" s="24"/>
      <c r="AK6" s="24"/>
      <c r="AM6" s="24"/>
      <c r="AN6" s="24"/>
    </row>
    <row r="7" spans="1:40" x14ac:dyDescent="0.25">
      <c r="A7" s="28" t="s">
        <v>144</v>
      </c>
      <c r="B7" s="27">
        <v>-9301.33</v>
      </c>
      <c r="C7" s="24"/>
      <c r="D7" s="24"/>
      <c r="E7" s="24"/>
      <c r="F7" s="24"/>
      <c r="G7" s="24"/>
      <c r="H7" s="24"/>
      <c r="I7" s="24"/>
      <c r="J7" s="24"/>
      <c r="L7" s="24"/>
      <c r="M7" s="24"/>
      <c r="O7" s="24"/>
      <c r="P7" s="24"/>
      <c r="R7" s="24"/>
      <c r="S7" s="24"/>
      <c r="U7" s="24"/>
      <c r="V7" s="24"/>
      <c r="X7" s="24"/>
      <c r="Y7" s="24"/>
      <c r="AA7" s="24"/>
      <c r="AB7" s="24"/>
      <c r="AD7" s="24"/>
      <c r="AE7" s="24"/>
      <c r="AG7" s="24"/>
      <c r="AH7" s="24"/>
      <c r="AJ7" s="24"/>
      <c r="AK7" s="24"/>
      <c r="AM7" s="24"/>
      <c r="AN7" s="24"/>
    </row>
    <row r="8" spans="1:40" x14ac:dyDescent="0.25">
      <c r="A8" s="28" t="s">
        <v>145</v>
      </c>
      <c r="B8" s="27">
        <v>-81.99</v>
      </c>
      <c r="C8" s="24"/>
      <c r="D8" s="24"/>
      <c r="E8" s="24"/>
      <c r="F8" s="24"/>
      <c r="G8" s="24"/>
      <c r="H8" s="24"/>
      <c r="I8" s="24"/>
      <c r="J8" s="24"/>
      <c r="L8" s="24"/>
      <c r="M8" s="24"/>
      <c r="O8" s="24"/>
      <c r="P8" s="24"/>
      <c r="R8" s="24"/>
      <c r="S8" s="24"/>
      <c r="U8" s="24"/>
      <c r="V8" s="24"/>
      <c r="X8" s="24"/>
      <c r="Y8" s="24"/>
      <c r="AA8" s="24"/>
      <c r="AB8" s="24"/>
      <c r="AD8" s="24"/>
      <c r="AE8" s="24"/>
      <c r="AG8" s="24"/>
      <c r="AH8" s="24"/>
      <c r="AJ8" s="24"/>
      <c r="AK8" s="24"/>
      <c r="AM8" s="24"/>
      <c r="AN8" s="24"/>
    </row>
    <row r="9" spans="1:40" x14ac:dyDescent="0.25">
      <c r="A9" s="26" t="s">
        <v>146</v>
      </c>
      <c r="B9" s="24"/>
      <c r="C9" s="25"/>
      <c r="D9" s="25"/>
      <c r="E9" s="25"/>
      <c r="F9" s="25"/>
      <c r="G9" s="25"/>
      <c r="H9" s="25"/>
      <c r="I9" s="25"/>
      <c r="J9" s="25"/>
      <c r="L9" s="25"/>
      <c r="M9" s="25"/>
      <c r="O9" s="25"/>
      <c r="P9" s="25"/>
      <c r="R9" s="25"/>
      <c r="S9" s="25"/>
      <c r="U9" s="25"/>
      <c r="V9" s="25"/>
      <c r="X9" s="25"/>
      <c r="Y9" s="25"/>
      <c r="AA9" s="25"/>
      <c r="AB9" s="25"/>
      <c r="AD9" s="25"/>
      <c r="AE9" s="25"/>
      <c r="AG9" s="25"/>
      <c r="AH9" s="25"/>
      <c r="AJ9" s="25"/>
      <c r="AK9" s="25"/>
      <c r="AM9" s="25"/>
      <c r="AN9" s="25"/>
    </row>
    <row r="10" spans="1:40" x14ac:dyDescent="0.25">
      <c r="A10" s="26" t="s">
        <v>147</v>
      </c>
      <c r="B10" s="24"/>
      <c r="C10" s="25"/>
      <c r="D10" s="25"/>
      <c r="E10" s="25"/>
      <c r="F10" s="25"/>
      <c r="G10" s="25"/>
      <c r="H10" s="25"/>
      <c r="I10" s="25"/>
      <c r="J10" s="25"/>
      <c r="L10" s="25"/>
      <c r="M10" s="25"/>
      <c r="O10" s="25"/>
      <c r="P10" s="25"/>
      <c r="R10" s="25"/>
      <c r="S10" s="25"/>
      <c r="U10" s="25"/>
      <c r="V10" s="25"/>
      <c r="X10" s="25"/>
      <c r="Y10" s="25"/>
      <c r="AA10" s="25"/>
      <c r="AB10" s="25"/>
      <c r="AD10" s="25"/>
      <c r="AE10" s="25"/>
      <c r="AG10" s="25"/>
      <c r="AH10" s="25"/>
      <c r="AJ10" s="25"/>
      <c r="AK10" s="25"/>
      <c r="AM10" s="25"/>
      <c r="AN10" s="25"/>
    </row>
    <row r="11" spans="1:40" x14ac:dyDescent="0.25">
      <c r="A11" s="28" t="s">
        <v>148</v>
      </c>
      <c r="B11" s="27">
        <v>-551974.79</v>
      </c>
      <c r="C11" s="24"/>
      <c r="D11" s="24"/>
      <c r="E11" s="24"/>
      <c r="F11" s="24"/>
      <c r="G11" s="24"/>
      <c r="H11" s="24"/>
      <c r="I11" s="24"/>
      <c r="J11" s="24"/>
      <c r="L11" s="24"/>
      <c r="M11" s="24"/>
      <c r="O11" s="24"/>
      <c r="P11" s="24"/>
      <c r="R11" s="24"/>
      <c r="S11" s="24"/>
      <c r="U11" s="24"/>
      <c r="V11" s="24"/>
      <c r="X11" s="24"/>
      <c r="Y11" s="24"/>
      <c r="AA11" s="24"/>
      <c r="AB11" s="24"/>
      <c r="AD11" s="24"/>
      <c r="AE11" s="24"/>
      <c r="AG11" s="24"/>
      <c r="AH11" s="24"/>
      <c r="AJ11" s="24"/>
      <c r="AK11" s="24"/>
      <c r="AM11" s="24"/>
      <c r="AN11" s="24"/>
    </row>
    <row r="12" spans="1:40" x14ac:dyDescent="0.25">
      <c r="A12" s="26" t="s">
        <v>149</v>
      </c>
      <c r="B12" s="24"/>
      <c r="C12" s="25"/>
      <c r="D12" s="25"/>
      <c r="E12" s="25"/>
      <c r="F12" s="25"/>
      <c r="G12" s="25"/>
      <c r="H12" s="25"/>
      <c r="I12" s="25"/>
      <c r="J12" s="25"/>
      <c r="L12" s="25"/>
      <c r="M12" s="25"/>
      <c r="O12" s="25"/>
      <c r="P12" s="25"/>
      <c r="R12" s="25"/>
      <c r="S12" s="25"/>
      <c r="U12" s="25"/>
      <c r="V12" s="25"/>
      <c r="X12" s="25"/>
      <c r="Y12" s="25"/>
      <c r="AA12" s="25"/>
      <c r="AB12" s="25"/>
      <c r="AD12" s="25"/>
      <c r="AE12" s="25"/>
      <c r="AG12" s="25"/>
      <c r="AH12" s="25"/>
      <c r="AJ12" s="25"/>
      <c r="AK12" s="25"/>
      <c r="AM12" s="25"/>
      <c r="AN12" s="25"/>
    </row>
    <row r="13" spans="1:40" x14ac:dyDescent="0.25">
      <c r="A13" s="26" t="s">
        <v>150</v>
      </c>
      <c r="B13" s="24"/>
      <c r="C13" s="25"/>
      <c r="D13" s="25"/>
      <c r="E13" s="25"/>
      <c r="F13" s="25"/>
      <c r="G13" s="25"/>
      <c r="H13" s="25"/>
      <c r="I13" s="25"/>
      <c r="J13" s="25"/>
      <c r="L13" s="25"/>
      <c r="M13" s="25"/>
      <c r="O13" s="25"/>
      <c r="P13" s="25"/>
      <c r="R13" s="25"/>
      <c r="S13" s="25"/>
      <c r="U13" s="25"/>
      <c r="V13" s="25"/>
      <c r="X13" s="25"/>
      <c r="Y13" s="25"/>
      <c r="AA13" s="25"/>
      <c r="AB13" s="25"/>
      <c r="AD13" s="25"/>
      <c r="AE13" s="25"/>
      <c r="AG13" s="25"/>
      <c r="AH13" s="25"/>
      <c r="AJ13" s="25"/>
      <c r="AK13" s="25"/>
      <c r="AM13" s="25"/>
      <c r="AN13" s="25"/>
    </row>
    <row r="14" spans="1:40" x14ac:dyDescent="0.25">
      <c r="A14" s="26" t="s">
        <v>151</v>
      </c>
      <c r="B14" s="24"/>
      <c r="C14" s="24"/>
      <c r="D14" s="24"/>
      <c r="E14" s="24"/>
      <c r="F14" s="24"/>
      <c r="G14" s="24"/>
      <c r="H14" s="24"/>
      <c r="I14" s="24"/>
      <c r="J14" s="24"/>
      <c r="L14" s="24"/>
      <c r="M14" s="24"/>
      <c r="O14" s="24"/>
      <c r="P14" s="24"/>
      <c r="R14" s="24"/>
      <c r="S14" s="24"/>
      <c r="U14" s="24"/>
      <c r="V14" s="24"/>
      <c r="X14" s="24"/>
      <c r="Y14" s="24"/>
      <c r="AA14" s="24"/>
      <c r="AB14" s="24"/>
      <c r="AD14" s="24"/>
      <c r="AE14" s="24"/>
      <c r="AG14" s="24"/>
      <c r="AH14" s="24"/>
      <c r="AJ14" s="24"/>
      <c r="AK14" s="24"/>
      <c r="AM14" s="24"/>
      <c r="AN14" s="24"/>
    </row>
    <row r="15" spans="1:40" x14ac:dyDescent="0.25">
      <c r="A15" s="28" t="s">
        <v>152</v>
      </c>
      <c r="B15" s="27">
        <v>-4477</v>
      </c>
      <c r="C15" s="24"/>
      <c r="D15" s="24"/>
      <c r="E15" s="24"/>
      <c r="F15" s="24"/>
      <c r="G15" s="24"/>
      <c r="H15" s="24"/>
      <c r="I15" s="24"/>
      <c r="J15" s="24"/>
      <c r="L15" s="24"/>
      <c r="M15" s="24"/>
      <c r="O15" s="24"/>
      <c r="P15" s="24"/>
      <c r="R15" s="24"/>
      <c r="S15" s="24"/>
      <c r="U15" s="24"/>
      <c r="V15" s="24"/>
      <c r="X15" s="24"/>
      <c r="Y15" s="24"/>
      <c r="AA15" s="24"/>
      <c r="AB15" s="24"/>
      <c r="AD15" s="24"/>
      <c r="AE15" s="24"/>
      <c r="AG15" s="24"/>
      <c r="AH15" s="24"/>
      <c r="AJ15" s="24"/>
      <c r="AK15" s="24"/>
      <c r="AM15" s="24"/>
      <c r="AN15" s="24"/>
    </row>
    <row r="16" spans="1:40" x14ac:dyDescent="0.25">
      <c r="A16" s="26" t="s">
        <v>153</v>
      </c>
      <c r="B16" s="24"/>
      <c r="C16" s="24"/>
      <c r="D16" s="24"/>
      <c r="E16" s="24"/>
      <c r="F16" s="24"/>
      <c r="G16" s="24"/>
      <c r="H16" s="24"/>
      <c r="I16" s="24"/>
      <c r="J16" s="24"/>
      <c r="L16" s="24"/>
      <c r="M16" s="24"/>
      <c r="O16" s="24"/>
      <c r="P16" s="24"/>
      <c r="R16" s="24"/>
      <c r="S16" s="24"/>
      <c r="U16" s="24"/>
      <c r="V16" s="24"/>
      <c r="X16" s="24"/>
      <c r="Y16" s="24"/>
      <c r="AA16" s="24"/>
      <c r="AB16" s="24"/>
      <c r="AD16" s="24"/>
      <c r="AE16" s="24"/>
      <c r="AG16" s="24"/>
      <c r="AH16" s="24"/>
      <c r="AJ16" s="24"/>
      <c r="AK16" s="24"/>
      <c r="AM16" s="24"/>
      <c r="AN16" s="24"/>
    </row>
    <row r="17" spans="1:40" x14ac:dyDescent="0.25">
      <c r="A17" s="28" t="s">
        <v>154</v>
      </c>
      <c r="B17" s="27">
        <v>-4292.5</v>
      </c>
      <c r="C17" s="24"/>
      <c r="D17" s="24"/>
      <c r="E17" s="24"/>
      <c r="F17" s="24"/>
      <c r="G17" s="24"/>
      <c r="H17" s="24"/>
      <c r="I17" s="24"/>
      <c r="J17" s="24"/>
      <c r="L17" s="24"/>
      <c r="M17" s="24"/>
      <c r="O17" s="24"/>
      <c r="P17" s="24"/>
      <c r="R17" s="24"/>
      <c r="S17" s="24"/>
      <c r="U17" s="24"/>
      <c r="V17" s="24"/>
      <c r="X17" s="24"/>
      <c r="Y17" s="24"/>
      <c r="AA17" s="24"/>
      <c r="AB17" s="24"/>
      <c r="AD17" s="24"/>
      <c r="AE17" s="24"/>
      <c r="AG17" s="24"/>
      <c r="AH17" s="24"/>
      <c r="AJ17" s="24"/>
      <c r="AK17" s="24"/>
      <c r="AM17" s="24"/>
      <c r="AN17" s="24"/>
    </row>
    <row r="18" spans="1:40" x14ac:dyDescent="0.25">
      <c r="A18" s="28" t="s">
        <v>155</v>
      </c>
      <c r="B18" s="27">
        <v>-1281.04</v>
      </c>
      <c r="C18" s="24"/>
      <c r="D18" s="24"/>
      <c r="E18" s="24"/>
      <c r="F18" s="24"/>
      <c r="G18" s="24"/>
      <c r="H18" s="24"/>
      <c r="I18" s="24"/>
      <c r="J18" s="24"/>
      <c r="L18" s="24"/>
      <c r="M18" s="24"/>
      <c r="O18" s="24"/>
      <c r="P18" s="24"/>
      <c r="R18" s="24"/>
      <c r="S18" s="24"/>
      <c r="U18" s="24"/>
      <c r="V18" s="24"/>
      <c r="X18" s="24"/>
      <c r="Y18" s="24"/>
      <c r="AA18" s="24"/>
      <c r="AB18" s="24"/>
      <c r="AD18" s="24"/>
      <c r="AE18" s="24"/>
      <c r="AG18" s="24"/>
      <c r="AH18" s="24"/>
      <c r="AJ18" s="24"/>
      <c r="AK18" s="24"/>
      <c r="AM18" s="24"/>
      <c r="AN18" s="24"/>
    </row>
    <row r="19" spans="1:40" x14ac:dyDescent="0.25">
      <c r="A19" s="28" t="s">
        <v>156</v>
      </c>
      <c r="B19" s="27">
        <v>-355.85</v>
      </c>
      <c r="C19" s="24"/>
      <c r="D19" s="24"/>
      <c r="E19" s="24"/>
      <c r="F19" s="24"/>
      <c r="G19" s="24"/>
      <c r="H19" s="24"/>
      <c r="I19" s="24"/>
      <c r="J19" s="24"/>
      <c r="L19" s="24"/>
      <c r="M19" s="24"/>
      <c r="O19" s="24"/>
      <c r="P19" s="24"/>
      <c r="R19" s="24"/>
      <c r="S19" s="24"/>
      <c r="U19" s="24"/>
      <c r="V19" s="24"/>
      <c r="X19" s="24"/>
      <c r="Y19" s="24"/>
      <c r="AA19" s="24"/>
      <c r="AB19" s="24"/>
      <c r="AD19" s="24"/>
      <c r="AE19" s="24"/>
      <c r="AG19" s="24"/>
      <c r="AH19" s="24"/>
      <c r="AJ19" s="24"/>
      <c r="AK19" s="24"/>
      <c r="AM19" s="24"/>
      <c r="AN19" s="24"/>
    </row>
    <row r="20" spans="1:40" x14ac:dyDescent="0.25">
      <c r="A20" s="28" t="s">
        <v>157</v>
      </c>
      <c r="B20" s="27">
        <v>-1430.36</v>
      </c>
      <c r="C20" s="24"/>
      <c r="D20" s="24"/>
      <c r="E20" s="24"/>
      <c r="F20" s="24"/>
      <c r="G20" s="24"/>
      <c r="H20" s="24"/>
      <c r="I20" s="24"/>
      <c r="J20" s="24"/>
      <c r="L20" s="24"/>
      <c r="M20" s="24"/>
      <c r="O20" s="24"/>
      <c r="P20" s="24"/>
      <c r="R20" s="24"/>
      <c r="S20" s="24"/>
      <c r="U20" s="24"/>
      <c r="V20" s="24"/>
      <c r="X20" s="24"/>
      <c r="Y20" s="24"/>
      <c r="AA20" s="24"/>
      <c r="AB20" s="24"/>
      <c r="AD20" s="24"/>
      <c r="AE20" s="24"/>
      <c r="AG20" s="24"/>
      <c r="AH20" s="24"/>
      <c r="AJ20" s="24"/>
      <c r="AK20" s="24"/>
      <c r="AM20" s="24"/>
      <c r="AN20" s="24"/>
    </row>
    <row r="21" spans="1:40" x14ac:dyDescent="0.25">
      <c r="A21" s="28" t="s">
        <v>158</v>
      </c>
      <c r="B21" s="27">
        <v>-93.04</v>
      </c>
      <c r="C21" s="24"/>
      <c r="D21" s="24"/>
      <c r="E21" s="24"/>
      <c r="F21" s="24"/>
      <c r="G21" s="24"/>
      <c r="H21" s="24"/>
      <c r="I21" s="24"/>
      <c r="J21" s="24"/>
      <c r="L21" s="24"/>
      <c r="M21" s="24"/>
      <c r="O21" s="24"/>
      <c r="P21" s="24"/>
      <c r="R21" s="24"/>
      <c r="S21" s="24"/>
      <c r="U21" s="24"/>
      <c r="V21" s="24"/>
      <c r="X21" s="24"/>
      <c r="Y21" s="24"/>
      <c r="AA21" s="24"/>
      <c r="AB21" s="24"/>
      <c r="AD21" s="24"/>
      <c r="AE21" s="24"/>
      <c r="AG21" s="24"/>
      <c r="AH21" s="24"/>
      <c r="AJ21" s="24"/>
      <c r="AK21" s="24"/>
      <c r="AM21" s="24"/>
      <c r="AN21" s="24"/>
    </row>
    <row r="22" spans="1:40" x14ac:dyDescent="0.25">
      <c r="A22" s="28" t="s">
        <v>159</v>
      </c>
      <c r="B22" s="27">
        <v>-496.91</v>
      </c>
      <c r="C22" s="24"/>
      <c r="D22" s="24"/>
      <c r="E22" s="24"/>
      <c r="F22" s="24"/>
      <c r="G22" s="24"/>
      <c r="H22" s="24"/>
      <c r="I22" s="24"/>
      <c r="J22" s="24"/>
      <c r="L22" s="24"/>
      <c r="M22" s="24"/>
      <c r="O22" s="24"/>
      <c r="P22" s="24"/>
      <c r="R22" s="24"/>
      <c r="S22" s="24"/>
      <c r="U22" s="24"/>
      <c r="V22" s="24"/>
      <c r="X22" s="24"/>
      <c r="Y22" s="24"/>
      <c r="AA22" s="24"/>
      <c r="AB22" s="24"/>
      <c r="AD22" s="24"/>
      <c r="AE22" s="24"/>
      <c r="AG22" s="24"/>
      <c r="AH22" s="24"/>
      <c r="AJ22" s="24"/>
      <c r="AK22" s="24"/>
      <c r="AM22" s="24"/>
      <c r="AN22" s="24"/>
    </row>
    <row r="23" spans="1:40" x14ac:dyDescent="0.25">
      <c r="A23" s="28" t="s">
        <v>160</v>
      </c>
      <c r="B23" s="27">
        <v>-1900</v>
      </c>
      <c r="C23" s="24"/>
      <c r="D23" s="24"/>
      <c r="E23" s="24"/>
      <c r="F23" s="24"/>
      <c r="G23" s="24"/>
      <c r="H23" s="24"/>
      <c r="I23" s="24"/>
      <c r="J23" s="24"/>
      <c r="L23" s="24"/>
      <c r="M23" s="24"/>
      <c r="O23" s="24"/>
      <c r="P23" s="24"/>
      <c r="R23" s="24"/>
      <c r="S23" s="24"/>
      <c r="U23" s="24"/>
      <c r="V23" s="24"/>
      <c r="X23" s="24"/>
      <c r="Y23" s="24"/>
      <c r="AA23" s="24"/>
      <c r="AB23" s="24"/>
      <c r="AD23" s="24"/>
      <c r="AE23" s="24"/>
      <c r="AG23" s="24"/>
      <c r="AH23" s="24"/>
      <c r="AJ23" s="24"/>
      <c r="AK23" s="24"/>
      <c r="AM23" s="24"/>
      <c r="AN23" s="24"/>
    </row>
    <row r="24" spans="1:40" x14ac:dyDescent="0.25">
      <c r="A24" s="28" t="s">
        <v>161</v>
      </c>
      <c r="B24" s="27">
        <v>-650</v>
      </c>
      <c r="C24" s="24"/>
      <c r="D24" s="24"/>
      <c r="E24" s="24"/>
      <c r="F24" s="24"/>
      <c r="G24" s="24"/>
      <c r="H24" s="24"/>
      <c r="I24" s="24"/>
      <c r="J24" s="24"/>
      <c r="L24" s="24"/>
      <c r="M24" s="24"/>
      <c r="O24" s="24"/>
      <c r="P24" s="24"/>
      <c r="R24" s="24"/>
      <c r="S24" s="24"/>
      <c r="U24" s="24"/>
      <c r="V24" s="24"/>
      <c r="X24" s="24"/>
      <c r="Y24" s="24"/>
      <c r="AA24" s="24"/>
      <c r="AB24" s="24"/>
      <c r="AD24" s="24"/>
      <c r="AE24" s="24"/>
      <c r="AG24" s="24"/>
      <c r="AH24" s="24"/>
      <c r="AJ24" s="24"/>
      <c r="AK24" s="24"/>
      <c r="AM24" s="24"/>
      <c r="AN24" s="24"/>
    </row>
    <row r="25" spans="1:40" x14ac:dyDescent="0.25">
      <c r="A25" s="28" t="s">
        <v>162</v>
      </c>
      <c r="B25" s="27">
        <v>-400</v>
      </c>
      <c r="C25" s="24"/>
      <c r="D25" s="24"/>
      <c r="E25" s="24"/>
      <c r="F25" s="24"/>
      <c r="G25" s="24"/>
      <c r="H25" s="24"/>
      <c r="I25" s="24"/>
      <c r="J25" s="24"/>
      <c r="L25" s="24"/>
      <c r="M25" s="24"/>
      <c r="O25" s="24"/>
      <c r="P25" s="24"/>
      <c r="R25" s="24"/>
      <c r="S25" s="24"/>
      <c r="U25" s="24"/>
      <c r="V25" s="24"/>
      <c r="X25" s="24"/>
      <c r="Y25" s="24"/>
      <c r="AA25" s="24"/>
      <c r="AB25" s="24"/>
      <c r="AD25" s="24"/>
      <c r="AE25" s="24"/>
      <c r="AG25" s="24"/>
      <c r="AH25" s="24"/>
      <c r="AJ25" s="24"/>
      <c r="AK25" s="24"/>
      <c r="AM25" s="24"/>
      <c r="AN25" s="24"/>
    </row>
    <row r="26" spans="1:40" x14ac:dyDescent="0.25">
      <c r="A26" s="28" t="s">
        <v>163</v>
      </c>
      <c r="B26" s="27">
        <v>-53.45</v>
      </c>
      <c r="C26" s="24"/>
      <c r="D26" s="24"/>
      <c r="E26" s="24"/>
      <c r="F26" s="24"/>
      <c r="G26" s="24"/>
      <c r="H26" s="24"/>
      <c r="I26" s="24"/>
      <c r="J26" s="24"/>
      <c r="L26" s="24"/>
      <c r="M26" s="24"/>
      <c r="O26" s="24"/>
      <c r="P26" s="24"/>
      <c r="R26" s="24"/>
      <c r="S26" s="24"/>
      <c r="U26" s="24"/>
      <c r="V26" s="24"/>
      <c r="X26" s="24"/>
      <c r="Y26" s="24"/>
      <c r="AA26" s="24"/>
      <c r="AB26" s="24"/>
      <c r="AD26" s="24"/>
      <c r="AE26" s="24"/>
      <c r="AG26" s="24"/>
      <c r="AH26" s="24"/>
      <c r="AJ26" s="24"/>
      <c r="AK26" s="24"/>
      <c r="AM26" s="24"/>
      <c r="AN26" s="24"/>
    </row>
    <row r="27" spans="1:40" x14ac:dyDescent="0.25">
      <c r="A27" s="26" t="s">
        <v>164</v>
      </c>
      <c r="B27" s="24"/>
      <c r="C27" s="25"/>
      <c r="D27" s="25"/>
      <c r="E27" s="25"/>
      <c r="F27" s="25"/>
      <c r="G27" s="25"/>
      <c r="H27" s="25"/>
      <c r="I27" s="25"/>
      <c r="J27" s="25"/>
      <c r="L27" s="25"/>
      <c r="M27" s="25"/>
      <c r="O27" s="25"/>
      <c r="P27" s="25"/>
      <c r="R27" s="25"/>
      <c r="S27" s="25"/>
      <c r="U27" s="25"/>
      <c r="V27" s="25"/>
      <c r="X27" s="25"/>
      <c r="Y27" s="25"/>
      <c r="AA27" s="25"/>
      <c r="AB27" s="25"/>
      <c r="AD27" s="25"/>
      <c r="AE27" s="25"/>
      <c r="AG27" s="25"/>
      <c r="AH27" s="25"/>
      <c r="AJ27" s="25"/>
      <c r="AK27" s="25"/>
      <c r="AM27" s="25"/>
      <c r="AN27" s="25"/>
    </row>
    <row r="28" spans="1:40" x14ac:dyDescent="0.25">
      <c r="A28" s="28" t="s">
        <v>165</v>
      </c>
      <c r="B28" s="27">
        <v>-1064.05</v>
      </c>
      <c r="C28" s="24"/>
      <c r="D28" s="24"/>
      <c r="E28" s="24"/>
      <c r="F28" s="24"/>
      <c r="G28" s="24"/>
      <c r="H28" s="24"/>
      <c r="I28" s="24"/>
      <c r="J28" s="24"/>
      <c r="L28" s="24"/>
      <c r="M28" s="24"/>
      <c r="O28" s="24"/>
      <c r="P28" s="24"/>
      <c r="R28" s="24"/>
      <c r="S28" s="24"/>
      <c r="U28" s="24"/>
      <c r="V28" s="24"/>
      <c r="X28" s="24"/>
      <c r="Y28" s="24"/>
      <c r="AA28" s="24"/>
      <c r="AB28" s="24"/>
      <c r="AD28" s="24"/>
      <c r="AE28" s="24"/>
      <c r="AG28" s="24"/>
      <c r="AH28" s="24"/>
      <c r="AJ28" s="24"/>
      <c r="AK28" s="24"/>
      <c r="AM28" s="24"/>
      <c r="AN28" s="24"/>
    </row>
    <row r="29" spans="1:40" x14ac:dyDescent="0.25">
      <c r="A29" s="26" t="s">
        <v>166</v>
      </c>
      <c r="B29" s="24"/>
      <c r="C29" s="25"/>
      <c r="D29" s="25"/>
      <c r="E29" s="25"/>
      <c r="F29" s="25"/>
      <c r="G29" s="25"/>
      <c r="H29" s="25"/>
      <c r="I29" s="25"/>
      <c r="J29" s="25"/>
      <c r="L29" s="25"/>
      <c r="M29" s="25"/>
      <c r="O29" s="25"/>
      <c r="P29" s="25"/>
      <c r="R29" s="25"/>
      <c r="S29" s="25"/>
      <c r="U29" s="25"/>
      <c r="V29" s="25"/>
      <c r="X29" s="25"/>
      <c r="Y29" s="25"/>
      <c r="AA29" s="25"/>
      <c r="AB29" s="25"/>
      <c r="AD29" s="25"/>
      <c r="AE29" s="25"/>
      <c r="AG29" s="25"/>
      <c r="AH29" s="25"/>
      <c r="AJ29" s="25"/>
      <c r="AK29" s="25"/>
      <c r="AM29" s="25"/>
      <c r="AN29" s="25"/>
    </row>
    <row r="30" spans="1:40" x14ac:dyDescent="0.25">
      <c r="A30" s="28" t="s">
        <v>167</v>
      </c>
      <c r="B30" s="27">
        <v>9511.65</v>
      </c>
      <c r="C30" s="24"/>
      <c r="D30" s="24"/>
      <c r="E30" s="24"/>
      <c r="F30" s="24"/>
      <c r="G30" s="24"/>
      <c r="H30" s="24"/>
      <c r="I30" s="24"/>
      <c r="J30" s="24"/>
      <c r="L30" s="24"/>
      <c r="M30" s="24"/>
      <c r="O30" s="24"/>
      <c r="P30" s="24"/>
      <c r="R30" s="24"/>
      <c r="S30" s="24"/>
      <c r="U30" s="24"/>
      <c r="V30" s="24"/>
      <c r="X30" s="24"/>
      <c r="Y30" s="24"/>
      <c r="AA30" s="24"/>
      <c r="AB30" s="24"/>
      <c r="AD30" s="24"/>
      <c r="AE30" s="24"/>
      <c r="AG30" s="24"/>
      <c r="AH30" s="24"/>
      <c r="AJ30" s="24"/>
      <c r="AK30" s="24"/>
      <c r="AM30" s="24"/>
      <c r="AN30" s="24"/>
    </row>
    <row r="31" spans="1:40" x14ac:dyDescent="0.25">
      <c r="A31" s="28" t="s">
        <v>168</v>
      </c>
      <c r="B31" s="27">
        <v>18777.439999999999</v>
      </c>
      <c r="C31" s="24"/>
      <c r="D31" s="24"/>
      <c r="E31" s="24"/>
      <c r="F31" s="24"/>
      <c r="G31" s="24"/>
      <c r="H31" s="24"/>
      <c r="I31" s="24"/>
      <c r="J31" s="24"/>
      <c r="L31" s="24"/>
      <c r="M31" s="24"/>
      <c r="O31" s="24"/>
      <c r="P31" s="24"/>
      <c r="R31" s="24"/>
      <c r="S31" s="24"/>
      <c r="U31" s="24"/>
      <c r="V31" s="24"/>
      <c r="X31" s="24"/>
      <c r="Y31" s="24"/>
      <c r="AA31" s="24"/>
      <c r="AB31" s="24"/>
      <c r="AD31" s="24"/>
      <c r="AE31" s="24"/>
      <c r="AG31" s="24"/>
      <c r="AH31" s="24"/>
      <c r="AJ31" s="24"/>
      <c r="AK31" s="24"/>
      <c r="AM31" s="24"/>
      <c r="AN31" s="24"/>
    </row>
    <row r="32" spans="1:40" x14ac:dyDescent="0.25">
      <c r="A32" s="26" t="s">
        <v>169</v>
      </c>
      <c r="B32" s="24"/>
      <c r="C32" s="25"/>
      <c r="D32" s="25"/>
      <c r="E32" s="25"/>
      <c r="F32" s="25"/>
      <c r="G32" s="25"/>
      <c r="H32" s="25"/>
      <c r="I32" s="25"/>
      <c r="J32" s="25"/>
      <c r="L32" s="25"/>
      <c r="M32" s="25"/>
      <c r="O32" s="25"/>
      <c r="P32" s="25"/>
      <c r="R32" s="25"/>
      <c r="S32" s="25"/>
      <c r="U32" s="25"/>
      <c r="V32" s="25"/>
      <c r="X32" s="25"/>
      <c r="Y32" s="25"/>
      <c r="AA32" s="25"/>
      <c r="AB32" s="25"/>
      <c r="AD32" s="25"/>
      <c r="AE32" s="25"/>
      <c r="AG32" s="25"/>
      <c r="AH32" s="25"/>
      <c r="AJ32" s="25"/>
      <c r="AK32" s="25"/>
      <c r="AM32" s="25"/>
      <c r="AN32" s="25"/>
    </row>
  </sheetData>
  <phoneticPr fontId="1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B3AB1-8DA4-46CE-A427-26425C5A5CBF}">
  <dimension ref="A1:AA53"/>
  <sheetViews>
    <sheetView workbookViewId="0">
      <selection activeCell="F5" sqref="F5"/>
    </sheetView>
  </sheetViews>
  <sheetFormatPr defaultRowHeight="15" x14ac:dyDescent="0.25"/>
  <cols>
    <col min="1" max="1" width="6.140625" style="31" customWidth="1"/>
    <col min="2" max="2" width="12.7109375" style="31" customWidth="1"/>
    <col min="3" max="3" width="21.28515625" style="31" customWidth="1"/>
    <col min="4" max="4" width="11.140625" style="31" bestFit="1" customWidth="1"/>
    <col min="5" max="5" width="9.85546875" style="31" customWidth="1"/>
    <col min="6" max="6" width="3.140625" style="31" bestFit="1" customWidth="1"/>
    <col min="7" max="7" width="9.140625" style="31"/>
    <col min="8" max="8" width="3.140625" style="31" bestFit="1" customWidth="1"/>
    <col min="9" max="9" width="9.140625" style="31"/>
    <col min="10" max="10" width="3.140625" style="31" bestFit="1" customWidth="1"/>
    <col min="11" max="11" width="5.42578125" style="31" bestFit="1" customWidth="1"/>
    <col min="12" max="12" width="3.140625" style="31" bestFit="1" customWidth="1"/>
    <col min="13" max="13" width="9.140625" style="31"/>
    <col min="14" max="14" width="3.140625" style="31" bestFit="1" customWidth="1"/>
    <col min="15" max="15" width="6.140625" style="31" bestFit="1" customWidth="1"/>
    <col min="16" max="16" width="3.140625" style="31" bestFit="1" customWidth="1"/>
    <col min="17" max="17" width="7.5703125" style="31" bestFit="1" customWidth="1"/>
    <col min="18" max="18" width="3.140625" style="31" bestFit="1" customWidth="1"/>
    <col min="19" max="19" width="12.42578125" style="31" customWidth="1"/>
    <col min="20" max="20" width="3.140625" style="31" bestFit="1" customWidth="1"/>
    <col min="21" max="21" width="8.7109375" style="31" bestFit="1" customWidth="1"/>
    <col min="22" max="22" width="3.140625" style="31" bestFit="1" customWidth="1"/>
    <col min="23" max="23" width="9.7109375" style="31" bestFit="1" customWidth="1"/>
    <col min="24" max="24" width="3.140625" style="31" bestFit="1" customWidth="1"/>
    <col min="25" max="25" width="9.5703125" style="31" bestFit="1" customWidth="1"/>
    <col min="26" max="26" width="3.140625" style="31" bestFit="1" customWidth="1"/>
    <col min="27" max="27" width="6.140625" style="31" bestFit="1" customWidth="1"/>
    <col min="28" max="259" width="9.140625" style="31"/>
    <col min="260" max="260" width="6.140625" style="31" customWidth="1"/>
    <col min="261" max="261" width="12.7109375" style="31" customWidth="1"/>
    <col min="262" max="262" width="6.28515625" style="31" customWidth="1"/>
    <col min="263" max="263" width="21.28515625" style="31" customWidth="1"/>
    <col min="264" max="264" width="14.7109375" style="31" customWidth="1"/>
    <col min="265" max="265" width="5.28515625" style="31" customWidth="1"/>
    <col min="266" max="266" width="17" style="31" customWidth="1"/>
    <col min="267" max="267" width="9.7109375" style="31" customWidth="1"/>
    <col min="268" max="268" width="6.28515625" style="31" customWidth="1"/>
    <col min="269" max="269" width="11.140625" style="31" customWidth="1"/>
    <col min="270" max="270" width="5" style="31" customWidth="1"/>
    <col min="271" max="271" width="8.140625" style="31" customWidth="1"/>
    <col min="272" max="272" width="6.5703125" style="31" customWidth="1"/>
    <col min="273" max="515" width="9.140625" style="31"/>
    <col min="516" max="516" width="6.140625" style="31" customWidth="1"/>
    <col min="517" max="517" width="12.7109375" style="31" customWidth="1"/>
    <col min="518" max="518" width="6.28515625" style="31" customWidth="1"/>
    <col min="519" max="519" width="21.28515625" style="31" customWidth="1"/>
    <col min="520" max="520" width="14.7109375" style="31" customWidth="1"/>
    <col min="521" max="521" width="5.28515625" style="31" customWidth="1"/>
    <col min="522" max="522" width="17" style="31" customWidth="1"/>
    <col min="523" max="523" width="9.7109375" style="31" customWidth="1"/>
    <col min="524" max="524" width="6.28515625" style="31" customWidth="1"/>
    <col min="525" max="525" width="11.140625" style="31" customWidth="1"/>
    <col min="526" max="526" width="5" style="31" customWidth="1"/>
    <col min="527" max="527" width="8.140625" style="31" customWidth="1"/>
    <col min="528" max="528" width="6.5703125" style="31" customWidth="1"/>
    <col min="529" max="771" width="9.140625" style="31"/>
    <col min="772" max="772" width="6.140625" style="31" customWidth="1"/>
    <col min="773" max="773" width="12.7109375" style="31" customWidth="1"/>
    <col min="774" max="774" width="6.28515625" style="31" customWidth="1"/>
    <col min="775" max="775" width="21.28515625" style="31" customWidth="1"/>
    <col min="776" max="776" width="14.7109375" style="31" customWidth="1"/>
    <col min="777" max="777" width="5.28515625" style="31" customWidth="1"/>
    <col min="778" max="778" width="17" style="31" customWidth="1"/>
    <col min="779" max="779" width="9.7109375" style="31" customWidth="1"/>
    <col min="780" max="780" width="6.28515625" style="31" customWidth="1"/>
    <col min="781" max="781" width="11.140625" style="31" customWidth="1"/>
    <col min="782" max="782" width="5" style="31" customWidth="1"/>
    <col min="783" max="783" width="8.140625" style="31" customWidth="1"/>
    <col min="784" max="784" width="6.5703125" style="31" customWidth="1"/>
    <col min="785" max="1027" width="9.140625" style="31"/>
    <col min="1028" max="1028" width="6.140625" style="31" customWidth="1"/>
    <col min="1029" max="1029" width="12.7109375" style="31" customWidth="1"/>
    <col min="1030" max="1030" width="6.28515625" style="31" customWidth="1"/>
    <col min="1031" max="1031" width="21.28515625" style="31" customWidth="1"/>
    <col min="1032" max="1032" width="14.7109375" style="31" customWidth="1"/>
    <col min="1033" max="1033" width="5.28515625" style="31" customWidth="1"/>
    <col min="1034" max="1034" width="17" style="31" customWidth="1"/>
    <col min="1035" max="1035" width="9.7109375" style="31" customWidth="1"/>
    <col min="1036" max="1036" width="6.28515625" style="31" customWidth="1"/>
    <col min="1037" max="1037" width="11.140625" style="31" customWidth="1"/>
    <col min="1038" max="1038" width="5" style="31" customWidth="1"/>
    <col min="1039" max="1039" width="8.140625" style="31" customWidth="1"/>
    <col min="1040" max="1040" width="6.5703125" style="31" customWidth="1"/>
    <col min="1041" max="1283" width="9.140625" style="31"/>
    <col min="1284" max="1284" width="6.140625" style="31" customWidth="1"/>
    <col min="1285" max="1285" width="12.7109375" style="31" customWidth="1"/>
    <col min="1286" max="1286" width="6.28515625" style="31" customWidth="1"/>
    <col min="1287" max="1287" width="21.28515625" style="31" customWidth="1"/>
    <col min="1288" max="1288" width="14.7109375" style="31" customWidth="1"/>
    <col min="1289" max="1289" width="5.28515625" style="31" customWidth="1"/>
    <col min="1290" max="1290" width="17" style="31" customWidth="1"/>
    <col min="1291" max="1291" width="9.7109375" style="31" customWidth="1"/>
    <col min="1292" max="1292" width="6.28515625" style="31" customWidth="1"/>
    <col min="1293" max="1293" width="11.140625" style="31" customWidth="1"/>
    <col min="1294" max="1294" width="5" style="31" customWidth="1"/>
    <col min="1295" max="1295" width="8.140625" style="31" customWidth="1"/>
    <col min="1296" max="1296" width="6.5703125" style="31" customWidth="1"/>
    <col min="1297" max="1539" width="9.140625" style="31"/>
    <col min="1540" max="1540" width="6.140625" style="31" customWidth="1"/>
    <col min="1541" max="1541" width="12.7109375" style="31" customWidth="1"/>
    <col min="1542" max="1542" width="6.28515625" style="31" customWidth="1"/>
    <col min="1543" max="1543" width="21.28515625" style="31" customWidth="1"/>
    <col min="1544" max="1544" width="14.7109375" style="31" customWidth="1"/>
    <col min="1545" max="1545" width="5.28515625" style="31" customWidth="1"/>
    <col min="1546" max="1546" width="17" style="31" customWidth="1"/>
    <col min="1547" max="1547" width="9.7109375" style="31" customWidth="1"/>
    <col min="1548" max="1548" width="6.28515625" style="31" customWidth="1"/>
    <col min="1549" max="1549" width="11.140625" style="31" customWidth="1"/>
    <col min="1550" max="1550" width="5" style="31" customWidth="1"/>
    <col min="1551" max="1551" width="8.140625" style="31" customWidth="1"/>
    <col min="1552" max="1552" width="6.5703125" style="31" customWidth="1"/>
    <col min="1553" max="1795" width="9.140625" style="31"/>
    <col min="1796" max="1796" width="6.140625" style="31" customWidth="1"/>
    <col min="1797" max="1797" width="12.7109375" style="31" customWidth="1"/>
    <col min="1798" max="1798" width="6.28515625" style="31" customWidth="1"/>
    <col min="1799" max="1799" width="21.28515625" style="31" customWidth="1"/>
    <col min="1800" max="1800" width="14.7109375" style="31" customWidth="1"/>
    <col min="1801" max="1801" width="5.28515625" style="31" customWidth="1"/>
    <col min="1802" max="1802" width="17" style="31" customWidth="1"/>
    <col min="1803" max="1803" width="9.7109375" style="31" customWidth="1"/>
    <col min="1804" max="1804" width="6.28515625" style="31" customWidth="1"/>
    <col min="1805" max="1805" width="11.140625" style="31" customWidth="1"/>
    <col min="1806" max="1806" width="5" style="31" customWidth="1"/>
    <col min="1807" max="1807" width="8.140625" style="31" customWidth="1"/>
    <col min="1808" max="1808" width="6.5703125" style="31" customWidth="1"/>
    <col min="1809" max="2051" width="9.140625" style="31"/>
    <col min="2052" max="2052" width="6.140625" style="31" customWidth="1"/>
    <col min="2053" max="2053" width="12.7109375" style="31" customWidth="1"/>
    <col min="2054" max="2054" width="6.28515625" style="31" customWidth="1"/>
    <col min="2055" max="2055" width="21.28515625" style="31" customWidth="1"/>
    <col min="2056" max="2056" width="14.7109375" style="31" customWidth="1"/>
    <col min="2057" max="2057" width="5.28515625" style="31" customWidth="1"/>
    <col min="2058" max="2058" width="17" style="31" customWidth="1"/>
    <col min="2059" max="2059" width="9.7109375" style="31" customWidth="1"/>
    <col min="2060" max="2060" width="6.28515625" style="31" customWidth="1"/>
    <col min="2061" max="2061" width="11.140625" style="31" customWidth="1"/>
    <col min="2062" max="2062" width="5" style="31" customWidth="1"/>
    <col min="2063" max="2063" width="8.140625" style="31" customWidth="1"/>
    <col min="2064" max="2064" width="6.5703125" style="31" customWidth="1"/>
    <col min="2065" max="2307" width="9.140625" style="31"/>
    <col min="2308" max="2308" width="6.140625" style="31" customWidth="1"/>
    <col min="2309" max="2309" width="12.7109375" style="31" customWidth="1"/>
    <col min="2310" max="2310" width="6.28515625" style="31" customWidth="1"/>
    <col min="2311" max="2311" width="21.28515625" style="31" customWidth="1"/>
    <col min="2312" max="2312" width="14.7109375" style="31" customWidth="1"/>
    <col min="2313" max="2313" width="5.28515625" style="31" customWidth="1"/>
    <col min="2314" max="2314" width="17" style="31" customWidth="1"/>
    <col min="2315" max="2315" width="9.7109375" style="31" customWidth="1"/>
    <col min="2316" max="2316" width="6.28515625" style="31" customWidth="1"/>
    <col min="2317" max="2317" width="11.140625" style="31" customWidth="1"/>
    <col min="2318" max="2318" width="5" style="31" customWidth="1"/>
    <col min="2319" max="2319" width="8.140625" style="31" customWidth="1"/>
    <col min="2320" max="2320" width="6.5703125" style="31" customWidth="1"/>
    <col min="2321" max="2563" width="9.140625" style="31"/>
    <col min="2564" max="2564" width="6.140625" style="31" customWidth="1"/>
    <col min="2565" max="2565" width="12.7109375" style="31" customWidth="1"/>
    <col min="2566" max="2566" width="6.28515625" style="31" customWidth="1"/>
    <col min="2567" max="2567" width="21.28515625" style="31" customWidth="1"/>
    <col min="2568" max="2568" width="14.7109375" style="31" customWidth="1"/>
    <col min="2569" max="2569" width="5.28515625" style="31" customWidth="1"/>
    <col min="2570" max="2570" width="17" style="31" customWidth="1"/>
    <col min="2571" max="2571" width="9.7109375" style="31" customWidth="1"/>
    <col min="2572" max="2572" width="6.28515625" style="31" customWidth="1"/>
    <col min="2573" max="2573" width="11.140625" style="31" customWidth="1"/>
    <col min="2574" max="2574" width="5" style="31" customWidth="1"/>
    <col min="2575" max="2575" width="8.140625" style="31" customWidth="1"/>
    <col min="2576" max="2576" width="6.5703125" style="31" customWidth="1"/>
    <col min="2577" max="2819" width="9.140625" style="31"/>
    <col min="2820" max="2820" width="6.140625" style="31" customWidth="1"/>
    <col min="2821" max="2821" width="12.7109375" style="31" customWidth="1"/>
    <col min="2822" max="2822" width="6.28515625" style="31" customWidth="1"/>
    <col min="2823" max="2823" width="21.28515625" style="31" customWidth="1"/>
    <col min="2824" max="2824" width="14.7109375" style="31" customWidth="1"/>
    <col min="2825" max="2825" width="5.28515625" style="31" customWidth="1"/>
    <col min="2826" max="2826" width="17" style="31" customWidth="1"/>
    <col min="2827" max="2827" width="9.7109375" style="31" customWidth="1"/>
    <col min="2828" max="2828" width="6.28515625" style="31" customWidth="1"/>
    <col min="2829" max="2829" width="11.140625" style="31" customWidth="1"/>
    <col min="2830" max="2830" width="5" style="31" customWidth="1"/>
    <col min="2831" max="2831" width="8.140625" style="31" customWidth="1"/>
    <col min="2832" max="2832" width="6.5703125" style="31" customWidth="1"/>
    <col min="2833" max="3075" width="9.140625" style="31"/>
    <col min="3076" max="3076" width="6.140625" style="31" customWidth="1"/>
    <col min="3077" max="3077" width="12.7109375" style="31" customWidth="1"/>
    <col min="3078" max="3078" width="6.28515625" style="31" customWidth="1"/>
    <col min="3079" max="3079" width="21.28515625" style="31" customWidth="1"/>
    <col min="3080" max="3080" width="14.7109375" style="31" customWidth="1"/>
    <col min="3081" max="3081" width="5.28515625" style="31" customWidth="1"/>
    <col min="3082" max="3082" width="17" style="31" customWidth="1"/>
    <col min="3083" max="3083" width="9.7109375" style="31" customWidth="1"/>
    <col min="3084" max="3084" width="6.28515625" style="31" customWidth="1"/>
    <col min="3085" max="3085" width="11.140625" style="31" customWidth="1"/>
    <col min="3086" max="3086" width="5" style="31" customWidth="1"/>
    <col min="3087" max="3087" width="8.140625" style="31" customWidth="1"/>
    <col min="3088" max="3088" width="6.5703125" style="31" customWidth="1"/>
    <col min="3089" max="3331" width="9.140625" style="31"/>
    <col min="3332" max="3332" width="6.140625" style="31" customWidth="1"/>
    <col min="3333" max="3333" width="12.7109375" style="31" customWidth="1"/>
    <col min="3334" max="3334" width="6.28515625" style="31" customWidth="1"/>
    <col min="3335" max="3335" width="21.28515625" style="31" customWidth="1"/>
    <col min="3336" max="3336" width="14.7109375" style="31" customWidth="1"/>
    <col min="3337" max="3337" width="5.28515625" style="31" customWidth="1"/>
    <col min="3338" max="3338" width="17" style="31" customWidth="1"/>
    <col min="3339" max="3339" width="9.7109375" style="31" customWidth="1"/>
    <col min="3340" max="3340" width="6.28515625" style="31" customWidth="1"/>
    <col min="3341" max="3341" width="11.140625" style="31" customWidth="1"/>
    <col min="3342" max="3342" width="5" style="31" customWidth="1"/>
    <col min="3343" max="3343" width="8.140625" style="31" customWidth="1"/>
    <col min="3344" max="3344" width="6.5703125" style="31" customWidth="1"/>
    <col min="3345" max="3587" width="9.140625" style="31"/>
    <col min="3588" max="3588" width="6.140625" style="31" customWidth="1"/>
    <col min="3589" max="3589" width="12.7109375" style="31" customWidth="1"/>
    <col min="3590" max="3590" width="6.28515625" style="31" customWidth="1"/>
    <col min="3591" max="3591" width="21.28515625" style="31" customWidth="1"/>
    <col min="3592" max="3592" width="14.7109375" style="31" customWidth="1"/>
    <col min="3593" max="3593" width="5.28515625" style="31" customWidth="1"/>
    <col min="3594" max="3594" width="17" style="31" customWidth="1"/>
    <col min="3595" max="3595" width="9.7109375" style="31" customWidth="1"/>
    <col min="3596" max="3596" width="6.28515625" style="31" customWidth="1"/>
    <col min="3597" max="3597" width="11.140625" style="31" customWidth="1"/>
    <col min="3598" max="3598" width="5" style="31" customWidth="1"/>
    <col min="3599" max="3599" width="8.140625" style="31" customWidth="1"/>
    <col min="3600" max="3600" width="6.5703125" style="31" customWidth="1"/>
    <col min="3601" max="3843" width="9.140625" style="31"/>
    <col min="3844" max="3844" width="6.140625" style="31" customWidth="1"/>
    <col min="3845" max="3845" width="12.7109375" style="31" customWidth="1"/>
    <col min="3846" max="3846" width="6.28515625" style="31" customWidth="1"/>
    <col min="3847" max="3847" width="21.28515625" style="31" customWidth="1"/>
    <col min="3848" max="3848" width="14.7109375" style="31" customWidth="1"/>
    <col min="3849" max="3849" width="5.28515625" style="31" customWidth="1"/>
    <col min="3850" max="3850" width="17" style="31" customWidth="1"/>
    <col min="3851" max="3851" width="9.7109375" style="31" customWidth="1"/>
    <col min="3852" max="3852" width="6.28515625" style="31" customWidth="1"/>
    <col min="3853" max="3853" width="11.140625" style="31" customWidth="1"/>
    <col min="3854" max="3854" width="5" style="31" customWidth="1"/>
    <col min="3855" max="3855" width="8.140625" style="31" customWidth="1"/>
    <col min="3856" max="3856" width="6.5703125" style="31" customWidth="1"/>
    <col min="3857" max="4099" width="9.140625" style="31"/>
    <col min="4100" max="4100" width="6.140625" style="31" customWidth="1"/>
    <col min="4101" max="4101" width="12.7109375" style="31" customWidth="1"/>
    <col min="4102" max="4102" width="6.28515625" style="31" customWidth="1"/>
    <col min="4103" max="4103" width="21.28515625" style="31" customWidth="1"/>
    <col min="4104" max="4104" width="14.7109375" style="31" customWidth="1"/>
    <col min="4105" max="4105" width="5.28515625" style="31" customWidth="1"/>
    <col min="4106" max="4106" width="17" style="31" customWidth="1"/>
    <col min="4107" max="4107" width="9.7109375" style="31" customWidth="1"/>
    <col min="4108" max="4108" width="6.28515625" style="31" customWidth="1"/>
    <col min="4109" max="4109" width="11.140625" style="31" customWidth="1"/>
    <col min="4110" max="4110" width="5" style="31" customWidth="1"/>
    <col min="4111" max="4111" width="8.140625" style="31" customWidth="1"/>
    <col min="4112" max="4112" width="6.5703125" style="31" customWidth="1"/>
    <col min="4113" max="4355" width="9.140625" style="31"/>
    <col min="4356" max="4356" width="6.140625" style="31" customWidth="1"/>
    <col min="4357" max="4357" width="12.7109375" style="31" customWidth="1"/>
    <col min="4358" max="4358" width="6.28515625" style="31" customWidth="1"/>
    <col min="4359" max="4359" width="21.28515625" style="31" customWidth="1"/>
    <col min="4360" max="4360" width="14.7109375" style="31" customWidth="1"/>
    <col min="4361" max="4361" width="5.28515625" style="31" customWidth="1"/>
    <col min="4362" max="4362" width="17" style="31" customWidth="1"/>
    <col min="4363" max="4363" width="9.7109375" style="31" customWidth="1"/>
    <col min="4364" max="4364" width="6.28515625" style="31" customWidth="1"/>
    <col min="4365" max="4365" width="11.140625" style="31" customWidth="1"/>
    <col min="4366" max="4366" width="5" style="31" customWidth="1"/>
    <col min="4367" max="4367" width="8.140625" style="31" customWidth="1"/>
    <col min="4368" max="4368" width="6.5703125" style="31" customWidth="1"/>
    <col min="4369" max="4611" width="9.140625" style="31"/>
    <col min="4612" max="4612" width="6.140625" style="31" customWidth="1"/>
    <col min="4613" max="4613" width="12.7109375" style="31" customWidth="1"/>
    <col min="4614" max="4614" width="6.28515625" style="31" customWidth="1"/>
    <col min="4615" max="4615" width="21.28515625" style="31" customWidth="1"/>
    <col min="4616" max="4616" width="14.7109375" style="31" customWidth="1"/>
    <col min="4617" max="4617" width="5.28515625" style="31" customWidth="1"/>
    <col min="4618" max="4618" width="17" style="31" customWidth="1"/>
    <col min="4619" max="4619" width="9.7109375" style="31" customWidth="1"/>
    <col min="4620" max="4620" width="6.28515625" style="31" customWidth="1"/>
    <col min="4621" max="4621" width="11.140625" style="31" customWidth="1"/>
    <col min="4622" max="4622" width="5" style="31" customWidth="1"/>
    <col min="4623" max="4623" width="8.140625" style="31" customWidth="1"/>
    <col min="4624" max="4624" width="6.5703125" style="31" customWidth="1"/>
    <col min="4625" max="4867" width="9.140625" style="31"/>
    <col min="4868" max="4868" width="6.140625" style="31" customWidth="1"/>
    <col min="4869" max="4869" width="12.7109375" style="31" customWidth="1"/>
    <col min="4870" max="4870" width="6.28515625" style="31" customWidth="1"/>
    <col min="4871" max="4871" width="21.28515625" style="31" customWidth="1"/>
    <col min="4872" max="4872" width="14.7109375" style="31" customWidth="1"/>
    <col min="4873" max="4873" width="5.28515625" style="31" customWidth="1"/>
    <col min="4874" max="4874" width="17" style="31" customWidth="1"/>
    <col min="4875" max="4875" width="9.7109375" style="31" customWidth="1"/>
    <col min="4876" max="4876" width="6.28515625" style="31" customWidth="1"/>
    <col min="4877" max="4877" width="11.140625" style="31" customWidth="1"/>
    <col min="4878" max="4878" width="5" style="31" customWidth="1"/>
    <col min="4879" max="4879" width="8.140625" style="31" customWidth="1"/>
    <col min="4880" max="4880" width="6.5703125" style="31" customWidth="1"/>
    <col min="4881" max="5123" width="9.140625" style="31"/>
    <col min="5124" max="5124" width="6.140625" style="31" customWidth="1"/>
    <col min="5125" max="5125" width="12.7109375" style="31" customWidth="1"/>
    <col min="5126" max="5126" width="6.28515625" style="31" customWidth="1"/>
    <col min="5127" max="5127" width="21.28515625" style="31" customWidth="1"/>
    <col min="5128" max="5128" width="14.7109375" style="31" customWidth="1"/>
    <col min="5129" max="5129" width="5.28515625" style="31" customWidth="1"/>
    <col min="5130" max="5130" width="17" style="31" customWidth="1"/>
    <col min="5131" max="5131" width="9.7109375" style="31" customWidth="1"/>
    <col min="5132" max="5132" width="6.28515625" style="31" customWidth="1"/>
    <col min="5133" max="5133" width="11.140625" style="31" customWidth="1"/>
    <col min="5134" max="5134" width="5" style="31" customWidth="1"/>
    <col min="5135" max="5135" width="8.140625" style="31" customWidth="1"/>
    <col min="5136" max="5136" width="6.5703125" style="31" customWidth="1"/>
    <col min="5137" max="5379" width="9.140625" style="31"/>
    <col min="5380" max="5380" width="6.140625" style="31" customWidth="1"/>
    <col min="5381" max="5381" width="12.7109375" style="31" customWidth="1"/>
    <col min="5382" max="5382" width="6.28515625" style="31" customWidth="1"/>
    <col min="5383" max="5383" width="21.28515625" style="31" customWidth="1"/>
    <col min="5384" max="5384" width="14.7109375" style="31" customWidth="1"/>
    <col min="5385" max="5385" width="5.28515625" style="31" customWidth="1"/>
    <col min="5386" max="5386" width="17" style="31" customWidth="1"/>
    <col min="5387" max="5387" width="9.7109375" style="31" customWidth="1"/>
    <col min="5388" max="5388" width="6.28515625" style="31" customWidth="1"/>
    <col min="5389" max="5389" width="11.140625" style="31" customWidth="1"/>
    <col min="5390" max="5390" width="5" style="31" customWidth="1"/>
    <col min="5391" max="5391" width="8.140625" style="31" customWidth="1"/>
    <col min="5392" max="5392" width="6.5703125" style="31" customWidth="1"/>
    <col min="5393" max="5635" width="9.140625" style="31"/>
    <col min="5636" max="5636" width="6.140625" style="31" customWidth="1"/>
    <col min="5637" max="5637" width="12.7109375" style="31" customWidth="1"/>
    <col min="5638" max="5638" width="6.28515625" style="31" customWidth="1"/>
    <col min="5639" max="5639" width="21.28515625" style="31" customWidth="1"/>
    <col min="5640" max="5640" width="14.7109375" style="31" customWidth="1"/>
    <col min="5641" max="5641" width="5.28515625" style="31" customWidth="1"/>
    <col min="5642" max="5642" width="17" style="31" customWidth="1"/>
    <col min="5643" max="5643" width="9.7109375" style="31" customWidth="1"/>
    <col min="5644" max="5644" width="6.28515625" style="31" customWidth="1"/>
    <col min="5645" max="5645" width="11.140625" style="31" customWidth="1"/>
    <col min="5646" max="5646" width="5" style="31" customWidth="1"/>
    <col min="5647" max="5647" width="8.140625" style="31" customWidth="1"/>
    <col min="5648" max="5648" width="6.5703125" style="31" customWidth="1"/>
    <col min="5649" max="5891" width="9.140625" style="31"/>
    <col min="5892" max="5892" width="6.140625" style="31" customWidth="1"/>
    <col min="5893" max="5893" width="12.7109375" style="31" customWidth="1"/>
    <col min="5894" max="5894" width="6.28515625" style="31" customWidth="1"/>
    <col min="5895" max="5895" width="21.28515625" style="31" customWidth="1"/>
    <col min="5896" max="5896" width="14.7109375" style="31" customWidth="1"/>
    <col min="5897" max="5897" width="5.28515625" style="31" customWidth="1"/>
    <col min="5898" max="5898" width="17" style="31" customWidth="1"/>
    <col min="5899" max="5899" width="9.7109375" style="31" customWidth="1"/>
    <col min="5900" max="5900" width="6.28515625" style="31" customWidth="1"/>
    <col min="5901" max="5901" width="11.140625" style="31" customWidth="1"/>
    <col min="5902" max="5902" width="5" style="31" customWidth="1"/>
    <col min="5903" max="5903" width="8.140625" style="31" customWidth="1"/>
    <col min="5904" max="5904" width="6.5703125" style="31" customWidth="1"/>
    <col min="5905" max="6147" width="9.140625" style="31"/>
    <col min="6148" max="6148" width="6.140625" style="31" customWidth="1"/>
    <col min="6149" max="6149" width="12.7109375" style="31" customWidth="1"/>
    <col min="6150" max="6150" width="6.28515625" style="31" customWidth="1"/>
    <col min="6151" max="6151" width="21.28515625" style="31" customWidth="1"/>
    <col min="6152" max="6152" width="14.7109375" style="31" customWidth="1"/>
    <col min="6153" max="6153" width="5.28515625" style="31" customWidth="1"/>
    <col min="6154" max="6154" width="17" style="31" customWidth="1"/>
    <col min="6155" max="6155" width="9.7109375" style="31" customWidth="1"/>
    <col min="6156" max="6156" width="6.28515625" style="31" customWidth="1"/>
    <col min="6157" max="6157" width="11.140625" style="31" customWidth="1"/>
    <col min="6158" max="6158" width="5" style="31" customWidth="1"/>
    <col min="6159" max="6159" width="8.140625" style="31" customWidth="1"/>
    <col min="6160" max="6160" width="6.5703125" style="31" customWidth="1"/>
    <col min="6161" max="6403" width="9.140625" style="31"/>
    <col min="6404" max="6404" width="6.140625" style="31" customWidth="1"/>
    <col min="6405" max="6405" width="12.7109375" style="31" customWidth="1"/>
    <col min="6406" max="6406" width="6.28515625" style="31" customWidth="1"/>
    <col min="6407" max="6407" width="21.28515625" style="31" customWidth="1"/>
    <col min="6408" max="6408" width="14.7109375" style="31" customWidth="1"/>
    <col min="6409" max="6409" width="5.28515625" style="31" customWidth="1"/>
    <col min="6410" max="6410" width="17" style="31" customWidth="1"/>
    <col min="6411" max="6411" width="9.7109375" style="31" customWidth="1"/>
    <col min="6412" max="6412" width="6.28515625" style="31" customWidth="1"/>
    <col min="6413" max="6413" width="11.140625" style="31" customWidth="1"/>
    <col min="6414" max="6414" width="5" style="31" customWidth="1"/>
    <col min="6415" max="6415" width="8.140625" style="31" customWidth="1"/>
    <col min="6416" max="6416" width="6.5703125" style="31" customWidth="1"/>
    <col min="6417" max="6659" width="9.140625" style="31"/>
    <col min="6660" max="6660" width="6.140625" style="31" customWidth="1"/>
    <col min="6661" max="6661" width="12.7109375" style="31" customWidth="1"/>
    <col min="6662" max="6662" width="6.28515625" style="31" customWidth="1"/>
    <col min="6663" max="6663" width="21.28515625" style="31" customWidth="1"/>
    <col min="6664" max="6664" width="14.7109375" style="31" customWidth="1"/>
    <col min="6665" max="6665" width="5.28515625" style="31" customWidth="1"/>
    <col min="6666" max="6666" width="17" style="31" customWidth="1"/>
    <col min="6667" max="6667" width="9.7109375" style="31" customWidth="1"/>
    <col min="6668" max="6668" width="6.28515625" style="31" customWidth="1"/>
    <col min="6669" max="6669" width="11.140625" style="31" customWidth="1"/>
    <col min="6670" max="6670" width="5" style="31" customWidth="1"/>
    <col min="6671" max="6671" width="8.140625" style="31" customWidth="1"/>
    <col min="6672" max="6672" width="6.5703125" style="31" customWidth="1"/>
    <col min="6673" max="6915" width="9.140625" style="31"/>
    <col min="6916" max="6916" width="6.140625" style="31" customWidth="1"/>
    <col min="6917" max="6917" width="12.7109375" style="31" customWidth="1"/>
    <col min="6918" max="6918" width="6.28515625" style="31" customWidth="1"/>
    <col min="6919" max="6919" width="21.28515625" style="31" customWidth="1"/>
    <col min="6920" max="6920" width="14.7109375" style="31" customWidth="1"/>
    <col min="6921" max="6921" width="5.28515625" style="31" customWidth="1"/>
    <col min="6922" max="6922" width="17" style="31" customWidth="1"/>
    <col min="6923" max="6923" width="9.7109375" style="31" customWidth="1"/>
    <col min="6924" max="6924" width="6.28515625" style="31" customWidth="1"/>
    <col min="6925" max="6925" width="11.140625" style="31" customWidth="1"/>
    <col min="6926" max="6926" width="5" style="31" customWidth="1"/>
    <col min="6927" max="6927" width="8.140625" style="31" customWidth="1"/>
    <col min="6928" max="6928" width="6.5703125" style="31" customWidth="1"/>
    <col min="6929" max="7171" width="9.140625" style="31"/>
    <col min="7172" max="7172" width="6.140625" style="31" customWidth="1"/>
    <col min="7173" max="7173" width="12.7109375" style="31" customWidth="1"/>
    <col min="7174" max="7174" width="6.28515625" style="31" customWidth="1"/>
    <col min="7175" max="7175" width="21.28515625" style="31" customWidth="1"/>
    <col min="7176" max="7176" width="14.7109375" style="31" customWidth="1"/>
    <col min="7177" max="7177" width="5.28515625" style="31" customWidth="1"/>
    <col min="7178" max="7178" width="17" style="31" customWidth="1"/>
    <col min="7179" max="7179" width="9.7109375" style="31" customWidth="1"/>
    <col min="7180" max="7180" width="6.28515625" style="31" customWidth="1"/>
    <col min="7181" max="7181" width="11.140625" style="31" customWidth="1"/>
    <col min="7182" max="7182" width="5" style="31" customWidth="1"/>
    <col min="7183" max="7183" width="8.140625" style="31" customWidth="1"/>
    <col min="7184" max="7184" width="6.5703125" style="31" customWidth="1"/>
    <col min="7185" max="7427" width="9.140625" style="31"/>
    <col min="7428" max="7428" width="6.140625" style="31" customWidth="1"/>
    <col min="7429" max="7429" width="12.7109375" style="31" customWidth="1"/>
    <col min="7430" max="7430" width="6.28515625" style="31" customWidth="1"/>
    <col min="7431" max="7431" width="21.28515625" style="31" customWidth="1"/>
    <col min="7432" max="7432" width="14.7109375" style="31" customWidth="1"/>
    <col min="7433" max="7433" width="5.28515625" style="31" customWidth="1"/>
    <col min="7434" max="7434" width="17" style="31" customWidth="1"/>
    <col min="7435" max="7435" width="9.7109375" style="31" customWidth="1"/>
    <col min="7436" max="7436" width="6.28515625" style="31" customWidth="1"/>
    <col min="7437" max="7437" width="11.140625" style="31" customWidth="1"/>
    <col min="7438" max="7438" width="5" style="31" customWidth="1"/>
    <col min="7439" max="7439" width="8.140625" style="31" customWidth="1"/>
    <col min="7440" max="7440" width="6.5703125" style="31" customWidth="1"/>
    <col min="7441" max="7683" width="9.140625" style="31"/>
    <col min="7684" max="7684" width="6.140625" style="31" customWidth="1"/>
    <col min="7685" max="7685" width="12.7109375" style="31" customWidth="1"/>
    <col min="7686" max="7686" width="6.28515625" style="31" customWidth="1"/>
    <col min="7687" max="7687" width="21.28515625" style="31" customWidth="1"/>
    <col min="7688" max="7688" width="14.7109375" style="31" customWidth="1"/>
    <col min="7689" max="7689" width="5.28515625" style="31" customWidth="1"/>
    <col min="7690" max="7690" width="17" style="31" customWidth="1"/>
    <col min="7691" max="7691" width="9.7109375" style="31" customWidth="1"/>
    <col min="7692" max="7692" width="6.28515625" style="31" customWidth="1"/>
    <col min="7693" max="7693" width="11.140625" style="31" customWidth="1"/>
    <col min="7694" max="7694" width="5" style="31" customWidth="1"/>
    <col min="7695" max="7695" width="8.140625" style="31" customWidth="1"/>
    <col min="7696" max="7696" width="6.5703125" style="31" customWidth="1"/>
    <col min="7697" max="7939" width="9.140625" style="31"/>
    <col min="7940" max="7940" width="6.140625" style="31" customWidth="1"/>
    <col min="7941" max="7941" width="12.7109375" style="31" customWidth="1"/>
    <col min="7942" max="7942" width="6.28515625" style="31" customWidth="1"/>
    <col min="7943" max="7943" width="21.28515625" style="31" customWidth="1"/>
    <col min="7944" max="7944" width="14.7109375" style="31" customWidth="1"/>
    <col min="7945" max="7945" width="5.28515625" style="31" customWidth="1"/>
    <col min="7946" max="7946" width="17" style="31" customWidth="1"/>
    <col min="7947" max="7947" width="9.7109375" style="31" customWidth="1"/>
    <col min="7948" max="7948" width="6.28515625" style="31" customWidth="1"/>
    <col min="7949" max="7949" width="11.140625" style="31" customWidth="1"/>
    <col min="7950" max="7950" width="5" style="31" customWidth="1"/>
    <col min="7951" max="7951" width="8.140625" style="31" customWidth="1"/>
    <col min="7952" max="7952" width="6.5703125" style="31" customWidth="1"/>
    <col min="7953" max="8195" width="9.140625" style="31"/>
    <col min="8196" max="8196" width="6.140625" style="31" customWidth="1"/>
    <col min="8197" max="8197" width="12.7109375" style="31" customWidth="1"/>
    <col min="8198" max="8198" width="6.28515625" style="31" customWidth="1"/>
    <col min="8199" max="8199" width="21.28515625" style="31" customWidth="1"/>
    <col min="8200" max="8200" width="14.7109375" style="31" customWidth="1"/>
    <col min="8201" max="8201" width="5.28515625" style="31" customWidth="1"/>
    <col min="8202" max="8202" width="17" style="31" customWidth="1"/>
    <col min="8203" max="8203" width="9.7109375" style="31" customWidth="1"/>
    <col min="8204" max="8204" width="6.28515625" style="31" customWidth="1"/>
    <col min="8205" max="8205" width="11.140625" style="31" customWidth="1"/>
    <col min="8206" max="8206" width="5" style="31" customWidth="1"/>
    <col min="8207" max="8207" width="8.140625" style="31" customWidth="1"/>
    <col min="8208" max="8208" width="6.5703125" style="31" customWidth="1"/>
    <col min="8209" max="8451" width="9.140625" style="31"/>
    <col min="8452" max="8452" width="6.140625" style="31" customWidth="1"/>
    <col min="8453" max="8453" width="12.7109375" style="31" customWidth="1"/>
    <col min="8454" max="8454" width="6.28515625" style="31" customWidth="1"/>
    <col min="8455" max="8455" width="21.28515625" style="31" customWidth="1"/>
    <col min="8456" max="8456" width="14.7109375" style="31" customWidth="1"/>
    <col min="8457" max="8457" width="5.28515625" style="31" customWidth="1"/>
    <col min="8458" max="8458" width="17" style="31" customWidth="1"/>
    <col min="8459" max="8459" width="9.7109375" style="31" customWidth="1"/>
    <col min="8460" max="8460" width="6.28515625" style="31" customWidth="1"/>
    <col min="8461" max="8461" width="11.140625" style="31" customWidth="1"/>
    <col min="8462" max="8462" width="5" style="31" customWidth="1"/>
    <col min="8463" max="8463" width="8.140625" style="31" customWidth="1"/>
    <col min="8464" max="8464" width="6.5703125" style="31" customWidth="1"/>
    <col min="8465" max="8707" width="9.140625" style="31"/>
    <col min="8708" max="8708" width="6.140625" style="31" customWidth="1"/>
    <col min="8709" max="8709" width="12.7109375" style="31" customWidth="1"/>
    <col min="8710" max="8710" width="6.28515625" style="31" customWidth="1"/>
    <col min="8711" max="8711" width="21.28515625" style="31" customWidth="1"/>
    <col min="8712" max="8712" width="14.7109375" style="31" customWidth="1"/>
    <col min="8713" max="8713" width="5.28515625" style="31" customWidth="1"/>
    <col min="8714" max="8714" width="17" style="31" customWidth="1"/>
    <col min="8715" max="8715" width="9.7109375" style="31" customWidth="1"/>
    <col min="8716" max="8716" width="6.28515625" style="31" customWidth="1"/>
    <col min="8717" max="8717" width="11.140625" style="31" customWidth="1"/>
    <col min="8718" max="8718" width="5" style="31" customWidth="1"/>
    <col min="8719" max="8719" width="8.140625" style="31" customWidth="1"/>
    <col min="8720" max="8720" width="6.5703125" style="31" customWidth="1"/>
    <col min="8721" max="8963" width="9.140625" style="31"/>
    <col min="8964" max="8964" width="6.140625" style="31" customWidth="1"/>
    <col min="8965" max="8965" width="12.7109375" style="31" customWidth="1"/>
    <col min="8966" max="8966" width="6.28515625" style="31" customWidth="1"/>
    <col min="8967" max="8967" width="21.28515625" style="31" customWidth="1"/>
    <col min="8968" max="8968" width="14.7109375" style="31" customWidth="1"/>
    <col min="8969" max="8969" width="5.28515625" style="31" customWidth="1"/>
    <col min="8970" max="8970" width="17" style="31" customWidth="1"/>
    <col min="8971" max="8971" width="9.7109375" style="31" customWidth="1"/>
    <col min="8972" max="8972" width="6.28515625" style="31" customWidth="1"/>
    <col min="8973" max="8973" width="11.140625" style="31" customWidth="1"/>
    <col min="8974" max="8974" width="5" style="31" customWidth="1"/>
    <col min="8975" max="8975" width="8.140625" style="31" customWidth="1"/>
    <col min="8976" max="8976" width="6.5703125" style="31" customWidth="1"/>
    <col min="8977" max="9219" width="9.140625" style="31"/>
    <col min="9220" max="9220" width="6.140625" style="31" customWidth="1"/>
    <col min="9221" max="9221" width="12.7109375" style="31" customWidth="1"/>
    <col min="9222" max="9222" width="6.28515625" style="31" customWidth="1"/>
    <col min="9223" max="9223" width="21.28515625" style="31" customWidth="1"/>
    <col min="9224" max="9224" width="14.7109375" style="31" customWidth="1"/>
    <col min="9225" max="9225" width="5.28515625" style="31" customWidth="1"/>
    <col min="9226" max="9226" width="17" style="31" customWidth="1"/>
    <col min="9227" max="9227" width="9.7109375" style="31" customWidth="1"/>
    <col min="9228" max="9228" width="6.28515625" style="31" customWidth="1"/>
    <col min="9229" max="9229" width="11.140625" style="31" customWidth="1"/>
    <col min="9230" max="9230" width="5" style="31" customWidth="1"/>
    <col min="9231" max="9231" width="8.140625" style="31" customWidth="1"/>
    <col min="9232" max="9232" width="6.5703125" style="31" customWidth="1"/>
    <col min="9233" max="9475" width="9.140625" style="31"/>
    <col min="9476" max="9476" width="6.140625" style="31" customWidth="1"/>
    <col min="9477" max="9477" width="12.7109375" style="31" customWidth="1"/>
    <col min="9478" max="9478" width="6.28515625" style="31" customWidth="1"/>
    <col min="9479" max="9479" width="21.28515625" style="31" customWidth="1"/>
    <col min="9480" max="9480" width="14.7109375" style="31" customWidth="1"/>
    <col min="9481" max="9481" width="5.28515625" style="31" customWidth="1"/>
    <col min="9482" max="9482" width="17" style="31" customWidth="1"/>
    <col min="9483" max="9483" width="9.7109375" style="31" customWidth="1"/>
    <col min="9484" max="9484" width="6.28515625" style="31" customWidth="1"/>
    <col min="9485" max="9485" width="11.140625" style="31" customWidth="1"/>
    <col min="9486" max="9486" width="5" style="31" customWidth="1"/>
    <col min="9487" max="9487" width="8.140625" style="31" customWidth="1"/>
    <col min="9488" max="9488" width="6.5703125" style="31" customWidth="1"/>
    <col min="9489" max="9731" width="9.140625" style="31"/>
    <col min="9732" max="9732" width="6.140625" style="31" customWidth="1"/>
    <col min="9733" max="9733" width="12.7109375" style="31" customWidth="1"/>
    <col min="9734" max="9734" width="6.28515625" style="31" customWidth="1"/>
    <col min="9735" max="9735" width="21.28515625" style="31" customWidth="1"/>
    <col min="9736" max="9736" width="14.7109375" style="31" customWidth="1"/>
    <col min="9737" max="9737" width="5.28515625" style="31" customWidth="1"/>
    <col min="9738" max="9738" width="17" style="31" customWidth="1"/>
    <col min="9739" max="9739" width="9.7109375" style="31" customWidth="1"/>
    <col min="9740" max="9740" width="6.28515625" style="31" customWidth="1"/>
    <col min="9741" max="9741" width="11.140625" style="31" customWidth="1"/>
    <col min="9742" max="9742" width="5" style="31" customWidth="1"/>
    <col min="9743" max="9743" width="8.140625" style="31" customWidth="1"/>
    <col min="9744" max="9744" width="6.5703125" style="31" customWidth="1"/>
    <col min="9745" max="9987" width="9.140625" style="31"/>
    <col min="9988" max="9988" width="6.140625" style="31" customWidth="1"/>
    <col min="9989" max="9989" width="12.7109375" style="31" customWidth="1"/>
    <col min="9990" max="9990" width="6.28515625" style="31" customWidth="1"/>
    <col min="9991" max="9991" width="21.28515625" style="31" customWidth="1"/>
    <col min="9992" max="9992" width="14.7109375" style="31" customWidth="1"/>
    <col min="9993" max="9993" width="5.28515625" style="31" customWidth="1"/>
    <col min="9994" max="9994" width="17" style="31" customWidth="1"/>
    <col min="9995" max="9995" width="9.7109375" style="31" customWidth="1"/>
    <col min="9996" max="9996" width="6.28515625" style="31" customWidth="1"/>
    <col min="9997" max="9997" width="11.140625" style="31" customWidth="1"/>
    <col min="9998" max="9998" width="5" style="31" customWidth="1"/>
    <col min="9999" max="9999" width="8.140625" style="31" customWidth="1"/>
    <col min="10000" max="10000" width="6.5703125" style="31" customWidth="1"/>
    <col min="10001" max="10243" width="9.140625" style="31"/>
    <col min="10244" max="10244" width="6.140625" style="31" customWidth="1"/>
    <col min="10245" max="10245" width="12.7109375" style="31" customWidth="1"/>
    <col min="10246" max="10246" width="6.28515625" style="31" customWidth="1"/>
    <col min="10247" max="10247" width="21.28515625" style="31" customWidth="1"/>
    <col min="10248" max="10248" width="14.7109375" style="31" customWidth="1"/>
    <col min="10249" max="10249" width="5.28515625" style="31" customWidth="1"/>
    <col min="10250" max="10250" width="17" style="31" customWidth="1"/>
    <col min="10251" max="10251" width="9.7109375" style="31" customWidth="1"/>
    <col min="10252" max="10252" width="6.28515625" style="31" customWidth="1"/>
    <col min="10253" max="10253" width="11.140625" style="31" customWidth="1"/>
    <col min="10254" max="10254" width="5" style="31" customWidth="1"/>
    <col min="10255" max="10255" width="8.140625" style="31" customWidth="1"/>
    <col min="10256" max="10256" width="6.5703125" style="31" customWidth="1"/>
    <col min="10257" max="10499" width="9.140625" style="31"/>
    <col min="10500" max="10500" width="6.140625" style="31" customWidth="1"/>
    <col min="10501" max="10501" width="12.7109375" style="31" customWidth="1"/>
    <col min="10502" max="10502" width="6.28515625" style="31" customWidth="1"/>
    <col min="10503" max="10503" width="21.28515625" style="31" customWidth="1"/>
    <col min="10504" max="10504" width="14.7109375" style="31" customWidth="1"/>
    <col min="10505" max="10505" width="5.28515625" style="31" customWidth="1"/>
    <col min="10506" max="10506" width="17" style="31" customWidth="1"/>
    <col min="10507" max="10507" width="9.7109375" style="31" customWidth="1"/>
    <col min="10508" max="10508" width="6.28515625" style="31" customWidth="1"/>
    <col min="10509" max="10509" width="11.140625" style="31" customWidth="1"/>
    <col min="10510" max="10510" width="5" style="31" customWidth="1"/>
    <col min="10511" max="10511" width="8.140625" style="31" customWidth="1"/>
    <col min="10512" max="10512" width="6.5703125" style="31" customWidth="1"/>
    <col min="10513" max="10755" width="9.140625" style="31"/>
    <col min="10756" max="10756" width="6.140625" style="31" customWidth="1"/>
    <col min="10757" max="10757" width="12.7109375" style="31" customWidth="1"/>
    <col min="10758" max="10758" width="6.28515625" style="31" customWidth="1"/>
    <col min="10759" max="10759" width="21.28515625" style="31" customWidth="1"/>
    <col min="10760" max="10760" width="14.7109375" style="31" customWidth="1"/>
    <col min="10761" max="10761" width="5.28515625" style="31" customWidth="1"/>
    <col min="10762" max="10762" width="17" style="31" customWidth="1"/>
    <col min="10763" max="10763" width="9.7109375" style="31" customWidth="1"/>
    <col min="10764" max="10764" width="6.28515625" style="31" customWidth="1"/>
    <col min="10765" max="10765" width="11.140625" style="31" customWidth="1"/>
    <col min="10766" max="10766" width="5" style="31" customWidth="1"/>
    <col min="10767" max="10767" width="8.140625" style="31" customWidth="1"/>
    <col min="10768" max="10768" width="6.5703125" style="31" customWidth="1"/>
    <col min="10769" max="11011" width="9.140625" style="31"/>
    <col min="11012" max="11012" width="6.140625" style="31" customWidth="1"/>
    <col min="11013" max="11013" width="12.7109375" style="31" customWidth="1"/>
    <col min="11014" max="11014" width="6.28515625" style="31" customWidth="1"/>
    <col min="11015" max="11015" width="21.28515625" style="31" customWidth="1"/>
    <col min="11016" max="11016" width="14.7109375" style="31" customWidth="1"/>
    <col min="11017" max="11017" width="5.28515625" style="31" customWidth="1"/>
    <col min="11018" max="11018" width="17" style="31" customWidth="1"/>
    <col min="11019" max="11019" width="9.7109375" style="31" customWidth="1"/>
    <col min="11020" max="11020" width="6.28515625" style="31" customWidth="1"/>
    <col min="11021" max="11021" width="11.140625" style="31" customWidth="1"/>
    <col min="11022" max="11022" width="5" style="31" customWidth="1"/>
    <col min="11023" max="11023" width="8.140625" style="31" customWidth="1"/>
    <col min="11024" max="11024" width="6.5703125" style="31" customWidth="1"/>
    <col min="11025" max="11267" width="9.140625" style="31"/>
    <col min="11268" max="11268" width="6.140625" style="31" customWidth="1"/>
    <col min="11269" max="11269" width="12.7109375" style="31" customWidth="1"/>
    <col min="11270" max="11270" width="6.28515625" style="31" customWidth="1"/>
    <col min="11271" max="11271" width="21.28515625" style="31" customWidth="1"/>
    <col min="11272" max="11272" width="14.7109375" style="31" customWidth="1"/>
    <col min="11273" max="11273" width="5.28515625" style="31" customWidth="1"/>
    <col min="11274" max="11274" width="17" style="31" customWidth="1"/>
    <col min="11275" max="11275" width="9.7109375" style="31" customWidth="1"/>
    <col min="11276" max="11276" width="6.28515625" style="31" customWidth="1"/>
    <col min="11277" max="11277" width="11.140625" style="31" customWidth="1"/>
    <col min="11278" max="11278" width="5" style="31" customWidth="1"/>
    <col min="11279" max="11279" width="8.140625" style="31" customWidth="1"/>
    <col min="11280" max="11280" width="6.5703125" style="31" customWidth="1"/>
    <col min="11281" max="11523" width="9.140625" style="31"/>
    <col min="11524" max="11524" width="6.140625" style="31" customWidth="1"/>
    <col min="11525" max="11525" width="12.7109375" style="31" customWidth="1"/>
    <col min="11526" max="11526" width="6.28515625" style="31" customWidth="1"/>
    <col min="11527" max="11527" width="21.28515625" style="31" customWidth="1"/>
    <col min="11528" max="11528" width="14.7109375" style="31" customWidth="1"/>
    <col min="11529" max="11529" width="5.28515625" style="31" customWidth="1"/>
    <col min="11530" max="11530" width="17" style="31" customWidth="1"/>
    <col min="11531" max="11531" width="9.7109375" style="31" customWidth="1"/>
    <col min="11532" max="11532" width="6.28515625" style="31" customWidth="1"/>
    <col min="11533" max="11533" width="11.140625" style="31" customWidth="1"/>
    <col min="11534" max="11534" width="5" style="31" customWidth="1"/>
    <col min="11535" max="11535" width="8.140625" style="31" customWidth="1"/>
    <col min="11536" max="11536" width="6.5703125" style="31" customWidth="1"/>
    <col min="11537" max="11779" width="9.140625" style="31"/>
    <col min="11780" max="11780" width="6.140625" style="31" customWidth="1"/>
    <col min="11781" max="11781" width="12.7109375" style="31" customWidth="1"/>
    <col min="11782" max="11782" width="6.28515625" style="31" customWidth="1"/>
    <col min="11783" max="11783" width="21.28515625" style="31" customWidth="1"/>
    <col min="11784" max="11784" width="14.7109375" style="31" customWidth="1"/>
    <col min="11785" max="11785" width="5.28515625" style="31" customWidth="1"/>
    <col min="11786" max="11786" width="17" style="31" customWidth="1"/>
    <col min="11787" max="11787" width="9.7109375" style="31" customWidth="1"/>
    <col min="11788" max="11788" width="6.28515625" style="31" customWidth="1"/>
    <col min="11789" max="11789" width="11.140625" style="31" customWidth="1"/>
    <col min="11790" max="11790" width="5" style="31" customWidth="1"/>
    <col min="11791" max="11791" width="8.140625" style="31" customWidth="1"/>
    <col min="11792" max="11792" width="6.5703125" style="31" customWidth="1"/>
    <col min="11793" max="12035" width="9.140625" style="31"/>
    <col min="12036" max="12036" width="6.140625" style="31" customWidth="1"/>
    <col min="12037" max="12037" width="12.7109375" style="31" customWidth="1"/>
    <col min="12038" max="12038" width="6.28515625" style="31" customWidth="1"/>
    <col min="12039" max="12039" width="21.28515625" style="31" customWidth="1"/>
    <col min="12040" max="12040" width="14.7109375" style="31" customWidth="1"/>
    <col min="12041" max="12041" width="5.28515625" style="31" customWidth="1"/>
    <col min="12042" max="12042" width="17" style="31" customWidth="1"/>
    <col min="12043" max="12043" width="9.7109375" style="31" customWidth="1"/>
    <col min="12044" max="12044" width="6.28515625" style="31" customWidth="1"/>
    <col min="12045" max="12045" width="11.140625" style="31" customWidth="1"/>
    <col min="12046" max="12046" width="5" style="31" customWidth="1"/>
    <col min="12047" max="12047" width="8.140625" style="31" customWidth="1"/>
    <col min="12048" max="12048" width="6.5703125" style="31" customWidth="1"/>
    <col min="12049" max="12291" width="9.140625" style="31"/>
    <col min="12292" max="12292" width="6.140625" style="31" customWidth="1"/>
    <col min="12293" max="12293" width="12.7109375" style="31" customWidth="1"/>
    <col min="12294" max="12294" width="6.28515625" style="31" customWidth="1"/>
    <col min="12295" max="12295" width="21.28515625" style="31" customWidth="1"/>
    <col min="12296" max="12296" width="14.7109375" style="31" customWidth="1"/>
    <col min="12297" max="12297" width="5.28515625" style="31" customWidth="1"/>
    <col min="12298" max="12298" width="17" style="31" customWidth="1"/>
    <col min="12299" max="12299" width="9.7109375" style="31" customWidth="1"/>
    <col min="12300" max="12300" width="6.28515625" style="31" customWidth="1"/>
    <col min="12301" max="12301" width="11.140625" style="31" customWidth="1"/>
    <col min="12302" max="12302" width="5" style="31" customWidth="1"/>
    <col min="12303" max="12303" width="8.140625" style="31" customWidth="1"/>
    <col min="12304" max="12304" width="6.5703125" style="31" customWidth="1"/>
    <col min="12305" max="12547" width="9.140625" style="31"/>
    <col min="12548" max="12548" width="6.140625" style="31" customWidth="1"/>
    <col min="12549" max="12549" width="12.7109375" style="31" customWidth="1"/>
    <col min="12550" max="12550" width="6.28515625" style="31" customWidth="1"/>
    <col min="12551" max="12551" width="21.28515625" style="31" customWidth="1"/>
    <col min="12552" max="12552" width="14.7109375" style="31" customWidth="1"/>
    <col min="12553" max="12553" width="5.28515625" style="31" customWidth="1"/>
    <col min="12554" max="12554" width="17" style="31" customWidth="1"/>
    <col min="12555" max="12555" width="9.7109375" style="31" customWidth="1"/>
    <col min="12556" max="12556" width="6.28515625" style="31" customWidth="1"/>
    <col min="12557" max="12557" width="11.140625" style="31" customWidth="1"/>
    <col min="12558" max="12558" width="5" style="31" customWidth="1"/>
    <col min="12559" max="12559" width="8.140625" style="31" customWidth="1"/>
    <col min="12560" max="12560" width="6.5703125" style="31" customWidth="1"/>
    <col min="12561" max="12803" width="9.140625" style="31"/>
    <col min="12804" max="12804" width="6.140625" style="31" customWidth="1"/>
    <col min="12805" max="12805" width="12.7109375" style="31" customWidth="1"/>
    <col min="12806" max="12806" width="6.28515625" style="31" customWidth="1"/>
    <col min="12807" max="12807" width="21.28515625" style="31" customWidth="1"/>
    <col min="12808" max="12808" width="14.7109375" style="31" customWidth="1"/>
    <col min="12809" max="12809" width="5.28515625" style="31" customWidth="1"/>
    <col min="12810" max="12810" width="17" style="31" customWidth="1"/>
    <col min="12811" max="12811" width="9.7109375" style="31" customWidth="1"/>
    <col min="12812" max="12812" width="6.28515625" style="31" customWidth="1"/>
    <col min="12813" max="12813" width="11.140625" style="31" customWidth="1"/>
    <col min="12814" max="12814" width="5" style="31" customWidth="1"/>
    <col min="12815" max="12815" width="8.140625" style="31" customWidth="1"/>
    <col min="12816" max="12816" width="6.5703125" style="31" customWidth="1"/>
    <col min="12817" max="13059" width="9.140625" style="31"/>
    <col min="13060" max="13060" width="6.140625" style="31" customWidth="1"/>
    <col min="13061" max="13061" width="12.7109375" style="31" customWidth="1"/>
    <col min="13062" max="13062" width="6.28515625" style="31" customWidth="1"/>
    <col min="13063" max="13063" width="21.28515625" style="31" customWidth="1"/>
    <col min="13064" max="13064" width="14.7109375" style="31" customWidth="1"/>
    <col min="13065" max="13065" width="5.28515625" style="31" customWidth="1"/>
    <col min="13066" max="13066" width="17" style="31" customWidth="1"/>
    <col min="13067" max="13067" width="9.7109375" style="31" customWidth="1"/>
    <col min="13068" max="13068" width="6.28515625" style="31" customWidth="1"/>
    <col min="13069" max="13069" width="11.140625" style="31" customWidth="1"/>
    <col min="13070" max="13070" width="5" style="31" customWidth="1"/>
    <col min="13071" max="13071" width="8.140625" style="31" customWidth="1"/>
    <col min="13072" max="13072" width="6.5703125" style="31" customWidth="1"/>
    <col min="13073" max="13315" width="9.140625" style="31"/>
    <col min="13316" max="13316" width="6.140625" style="31" customWidth="1"/>
    <col min="13317" max="13317" width="12.7109375" style="31" customWidth="1"/>
    <col min="13318" max="13318" width="6.28515625" style="31" customWidth="1"/>
    <col min="13319" max="13319" width="21.28515625" style="31" customWidth="1"/>
    <col min="13320" max="13320" width="14.7109375" style="31" customWidth="1"/>
    <col min="13321" max="13321" width="5.28515625" style="31" customWidth="1"/>
    <col min="13322" max="13322" width="17" style="31" customWidth="1"/>
    <col min="13323" max="13323" width="9.7109375" style="31" customWidth="1"/>
    <col min="13324" max="13324" width="6.28515625" style="31" customWidth="1"/>
    <col min="13325" max="13325" width="11.140625" style="31" customWidth="1"/>
    <col min="13326" max="13326" width="5" style="31" customWidth="1"/>
    <col min="13327" max="13327" width="8.140625" style="31" customWidth="1"/>
    <col min="13328" max="13328" width="6.5703125" style="31" customWidth="1"/>
    <col min="13329" max="13571" width="9.140625" style="31"/>
    <col min="13572" max="13572" width="6.140625" style="31" customWidth="1"/>
    <col min="13573" max="13573" width="12.7109375" style="31" customWidth="1"/>
    <col min="13574" max="13574" width="6.28515625" style="31" customWidth="1"/>
    <col min="13575" max="13575" width="21.28515625" style="31" customWidth="1"/>
    <col min="13576" max="13576" width="14.7109375" style="31" customWidth="1"/>
    <col min="13577" max="13577" width="5.28515625" style="31" customWidth="1"/>
    <col min="13578" max="13578" width="17" style="31" customWidth="1"/>
    <col min="13579" max="13579" width="9.7109375" style="31" customWidth="1"/>
    <col min="13580" max="13580" width="6.28515625" style="31" customWidth="1"/>
    <col min="13581" max="13581" width="11.140625" style="31" customWidth="1"/>
    <col min="13582" max="13582" width="5" style="31" customWidth="1"/>
    <col min="13583" max="13583" width="8.140625" style="31" customWidth="1"/>
    <col min="13584" max="13584" width="6.5703125" style="31" customWidth="1"/>
    <col min="13585" max="13827" width="9.140625" style="31"/>
    <col min="13828" max="13828" width="6.140625" style="31" customWidth="1"/>
    <col min="13829" max="13829" width="12.7109375" style="31" customWidth="1"/>
    <col min="13830" max="13830" width="6.28515625" style="31" customWidth="1"/>
    <col min="13831" max="13831" width="21.28515625" style="31" customWidth="1"/>
    <col min="13832" max="13832" width="14.7109375" style="31" customWidth="1"/>
    <col min="13833" max="13833" width="5.28515625" style="31" customWidth="1"/>
    <col min="13834" max="13834" width="17" style="31" customWidth="1"/>
    <col min="13835" max="13835" width="9.7109375" style="31" customWidth="1"/>
    <col min="13836" max="13836" width="6.28515625" style="31" customWidth="1"/>
    <col min="13837" max="13837" width="11.140625" style="31" customWidth="1"/>
    <col min="13838" max="13838" width="5" style="31" customWidth="1"/>
    <col min="13839" max="13839" width="8.140625" style="31" customWidth="1"/>
    <col min="13840" max="13840" width="6.5703125" style="31" customWidth="1"/>
    <col min="13841" max="14083" width="9.140625" style="31"/>
    <col min="14084" max="14084" width="6.140625" style="31" customWidth="1"/>
    <col min="14085" max="14085" width="12.7109375" style="31" customWidth="1"/>
    <col min="14086" max="14086" width="6.28515625" style="31" customWidth="1"/>
    <col min="14087" max="14087" width="21.28515625" style="31" customWidth="1"/>
    <col min="14088" max="14088" width="14.7109375" style="31" customWidth="1"/>
    <col min="14089" max="14089" width="5.28515625" style="31" customWidth="1"/>
    <col min="14090" max="14090" width="17" style="31" customWidth="1"/>
    <col min="14091" max="14091" width="9.7109375" style="31" customWidth="1"/>
    <col min="14092" max="14092" width="6.28515625" style="31" customWidth="1"/>
    <col min="14093" max="14093" width="11.140625" style="31" customWidth="1"/>
    <col min="14094" max="14094" width="5" style="31" customWidth="1"/>
    <col min="14095" max="14095" width="8.140625" style="31" customWidth="1"/>
    <col min="14096" max="14096" width="6.5703125" style="31" customWidth="1"/>
    <col min="14097" max="14339" width="9.140625" style="31"/>
    <col min="14340" max="14340" width="6.140625" style="31" customWidth="1"/>
    <col min="14341" max="14341" width="12.7109375" style="31" customWidth="1"/>
    <col min="14342" max="14342" width="6.28515625" style="31" customWidth="1"/>
    <col min="14343" max="14343" width="21.28515625" style="31" customWidth="1"/>
    <col min="14344" max="14344" width="14.7109375" style="31" customWidth="1"/>
    <col min="14345" max="14345" width="5.28515625" style="31" customWidth="1"/>
    <col min="14346" max="14346" width="17" style="31" customWidth="1"/>
    <col min="14347" max="14347" width="9.7109375" style="31" customWidth="1"/>
    <col min="14348" max="14348" width="6.28515625" style="31" customWidth="1"/>
    <col min="14349" max="14349" width="11.140625" style="31" customWidth="1"/>
    <col min="14350" max="14350" width="5" style="31" customWidth="1"/>
    <col min="14351" max="14351" width="8.140625" style="31" customWidth="1"/>
    <col min="14352" max="14352" width="6.5703125" style="31" customWidth="1"/>
    <col min="14353" max="14595" width="9.140625" style="31"/>
    <col min="14596" max="14596" width="6.140625" style="31" customWidth="1"/>
    <col min="14597" max="14597" width="12.7109375" style="31" customWidth="1"/>
    <col min="14598" max="14598" width="6.28515625" style="31" customWidth="1"/>
    <col min="14599" max="14599" width="21.28515625" style="31" customWidth="1"/>
    <col min="14600" max="14600" width="14.7109375" style="31" customWidth="1"/>
    <col min="14601" max="14601" width="5.28515625" style="31" customWidth="1"/>
    <col min="14602" max="14602" width="17" style="31" customWidth="1"/>
    <col min="14603" max="14603" width="9.7109375" style="31" customWidth="1"/>
    <col min="14604" max="14604" width="6.28515625" style="31" customWidth="1"/>
    <col min="14605" max="14605" width="11.140625" style="31" customWidth="1"/>
    <col min="14606" max="14606" width="5" style="31" customWidth="1"/>
    <col min="14607" max="14607" width="8.140625" style="31" customWidth="1"/>
    <col min="14608" max="14608" width="6.5703125" style="31" customWidth="1"/>
    <col min="14609" max="14851" width="9.140625" style="31"/>
    <col min="14852" max="14852" width="6.140625" style="31" customWidth="1"/>
    <col min="14853" max="14853" width="12.7109375" style="31" customWidth="1"/>
    <col min="14854" max="14854" width="6.28515625" style="31" customWidth="1"/>
    <col min="14855" max="14855" width="21.28515625" style="31" customWidth="1"/>
    <col min="14856" max="14856" width="14.7109375" style="31" customWidth="1"/>
    <col min="14857" max="14857" width="5.28515625" style="31" customWidth="1"/>
    <col min="14858" max="14858" width="17" style="31" customWidth="1"/>
    <col min="14859" max="14859" width="9.7109375" style="31" customWidth="1"/>
    <col min="14860" max="14860" width="6.28515625" style="31" customWidth="1"/>
    <col min="14861" max="14861" width="11.140625" style="31" customWidth="1"/>
    <col min="14862" max="14862" width="5" style="31" customWidth="1"/>
    <col min="14863" max="14863" width="8.140625" style="31" customWidth="1"/>
    <col min="14864" max="14864" width="6.5703125" style="31" customWidth="1"/>
    <col min="14865" max="15107" width="9.140625" style="31"/>
    <col min="15108" max="15108" width="6.140625" style="31" customWidth="1"/>
    <col min="15109" max="15109" width="12.7109375" style="31" customWidth="1"/>
    <col min="15110" max="15110" width="6.28515625" style="31" customWidth="1"/>
    <col min="15111" max="15111" width="21.28515625" style="31" customWidth="1"/>
    <col min="15112" max="15112" width="14.7109375" style="31" customWidth="1"/>
    <col min="15113" max="15113" width="5.28515625" style="31" customWidth="1"/>
    <col min="15114" max="15114" width="17" style="31" customWidth="1"/>
    <col min="15115" max="15115" width="9.7109375" style="31" customWidth="1"/>
    <col min="15116" max="15116" width="6.28515625" style="31" customWidth="1"/>
    <col min="15117" max="15117" width="11.140625" style="31" customWidth="1"/>
    <col min="15118" max="15118" width="5" style="31" customWidth="1"/>
    <col min="15119" max="15119" width="8.140625" style="31" customWidth="1"/>
    <col min="15120" max="15120" width="6.5703125" style="31" customWidth="1"/>
    <col min="15121" max="15363" width="9.140625" style="31"/>
    <col min="15364" max="15364" width="6.140625" style="31" customWidth="1"/>
    <col min="15365" max="15365" width="12.7109375" style="31" customWidth="1"/>
    <col min="15366" max="15366" width="6.28515625" style="31" customWidth="1"/>
    <col min="15367" max="15367" width="21.28515625" style="31" customWidth="1"/>
    <col min="15368" max="15368" width="14.7109375" style="31" customWidth="1"/>
    <col min="15369" max="15369" width="5.28515625" style="31" customWidth="1"/>
    <col min="15370" max="15370" width="17" style="31" customWidth="1"/>
    <col min="15371" max="15371" width="9.7109375" style="31" customWidth="1"/>
    <col min="15372" max="15372" width="6.28515625" style="31" customWidth="1"/>
    <col min="15373" max="15373" width="11.140625" style="31" customWidth="1"/>
    <col min="15374" max="15374" width="5" style="31" customWidth="1"/>
    <col min="15375" max="15375" width="8.140625" style="31" customWidth="1"/>
    <col min="15376" max="15376" width="6.5703125" style="31" customWidth="1"/>
    <col min="15377" max="15619" width="9.140625" style="31"/>
    <col min="15620" max="15620" width="6.140625" style="31" customWidth="1"/>
    <col min="15621" max="15621" width="12.7109375" style="31" customWidth="1"/>
    <col min="15622" max="15622" width="6.28515625" style="31" customWidth="1"/>
    <col min="15623" max="15623" width="21.28515625" style="31" customWidth="1"/>
    <col min="15624" max="15624" width="14.7109375" style="31" customWidth="1"/>
    <col min="15625" max="15625" width="5.28515625" style="31" customWidth="1"/>
    <col min="15626" max="15626" width="17" style="31" customWidth="1"/>
    <col min="15627" max="15627" width="9.7109375" style="31" customWidth="1"/>
    <col min="15628" max="15628" width="6.28515625" style="31" customWidth="1"/>
    <col min="15629" max="15629" width="11.140625" style="31" customWidth="1"/>
    <col min="15630" max="15630" width="5" style="31" customWidth="1"/>
    <col min="15631" max="15631" width="8.140625" style="31" customWidth="1"/>
    <col min="15632" max="15632" width="6.5703125" style="31" customWidth="1"/>
    <col min="15633" max="15875" width="9.140625" style="31"/>
    <col min="15876" max="15876" width="6.140625" style="31" customWidth="1"/>
    <col min="15877" max="15877" width="12.7109375" style="31" customWidth="1"/>
    <col min="15878" max="15878" width="6.28515625" style="31" customWidth="1"/>
    <col min="15879" max="15879" width="21.28515625" style="31" customWidth="1"/>
    <col min="15880" max="15880" width="14.7109375" style="31" customWidth="1"/>
    <col min="15881" max="15881" width="5.28515625" style="31" customWidth="1"/>
    <col min="15882" max="15882" width="17" style="31" customWidth="1"/>
    <col min="15883" max="15883" width="9.7109375" style="31" customWidth="1"/>
    <col min="15884" max="15884" width="6.28515625" style="31" customWidth="1"/>
    <col min="15885" max="15885" width="11.140625" style="31" customWidth="1"/>
    <col min="15886" max="15886" width="5" style="31" customWidth="1"/>
    <col min="15887" max="15887" width="8.140625" style="31" customWidth="1"/>
    <col min="15888" max="15888" width="6.5703125" style="31" customWidth="1"/>
    <col min="15889" max="16131" width="9.140625" style="31"/>
    <col min="16132" max="16132" width="6.140625" style="31" customWidth="1"/>
    <col min="16133" max="16133" width="12.7109375" style="31" customWidth="1"/>
    <col min="16134" max="16134" width="6.28515625" style="31" customWidth="1"/>
    <col min="16135" max="16135" width="21.28515625" style="31" customWidth="1"/>
    <col min="16136" max="16136" width="14.7109375" style="31" customWidth="1"/>
    <col min="16137" max="16137" width="5.28515625" style="31" customWidth="1"/>
    <col min="16138" max="16138" width="17" style="31" customWidth="1"/>
    <col min="16139" max="16139" width="9.7109375" style="31" customWidth="1"/>
    <col min="16140" max="16140" width="6.28515625" style="31" customWidth="1"/>
    <col min="16141" max="16141" width="11.140625" style="31" customWidth="1"/>
    <col min="16142" max="16142" width="5" style="31" customWidth="1"/>
    <col min="16143" max="16143" width="8.140625" style="31" customWidth="1"/>
    <col min="16144" max="16144" width="6.5703125" style="31" customWidth="1"/>
    <col min="16145" max="16384" width="9.140625" style="31"/>
  </cols>
  <sheetData>
    <row r="1" spans="1:27" ht="27.75" customHeight="1" x14ac:dyDescent="0.25">
      <c r="A1" s="13" t="s">
        <v>184</v>
      </c>
      <c r="B1" s="13" t="s">
        <v>185</v>
      </c>
      <c r="C1" s="13" t="s">
        <v>186</v>
      </c>
      <c r="D1" s="13" t="s">
        <v>170</v>
      </c>
      <c r="E1" s="13" t="s">
        <v>173</v>
      </c>
      <c r="F1" s="13" t="s">
        <v>171</v>
      </c>
      <c r="G1" s="13" t="s">
        <v>174</v>
      </c>
      <c r="H1" s="13" t="s">
        <v>171</v>
      </c>
      <c r="I1" s="13" t="s">
        <v>175</v>
      </c>
      <c r="J1" s="13" t="s">
        <v>171</v>
      </c>
      <c r="K1" s="13" t="s">
        <v>176</v>
      </c>
      <c r="L1" s="13" t="s">
        <v>171</v>
      </c>
      <c r="M1" s="13" t="s">
        <v>177</v>
      </c>
      <c r="N1" s="13" t="s">
        <v>171</v>
      </c>
      <c r="O1" s="13" t="s">
        <v>178</v>
      </c>
      <c r="P1" s="13" t="s">
        <v>171</v>
      </c>
      <c r="Q1" s="13" t="s">
        <v>179</v>
      </c>
      <c r="R1" s="13" t="s">
        <v>171</v>
      </c>
      <c r="S1" s="13" t="s">
        <v>180</v>
      </c>
      <c r="T1" s="13" t="s">
        <v>171</v>
      </c>
      <c r="U1" s="13" t="s">
        <v>181</v>
      </c>
      <c r="V1" s="13" t="s">
        <v>171</v>
      </c>
      <c r="W1" s="13" t="s">
        <v>182</v>
      </c>
      <c r="X1" s="13" t="s">
        <v>171</v>
      </c>
      <c r="Y1" s="13" t="s">
        <v>183</v>
      </c>
      <c r="Z1" s="13" t="s">
        <v>171</v>
      </c>
      <c r="AA1" s="13" t="s">
        <v>2</v>
      </c>
    </row>
    <row r="2" spans="1:27" ht="10.35" customHeight="1" x14ac:dyDescent="0.25">
      <c r="A2" s="32">
        <v>1</v>
      </c>
      <c r="B2" s="33">
        <v>1</v>
      </c>
      <c r="C2" s="33" t="s">
        <v>187</v>
      </c>
      <c r="D2" s="34">
        <v>3315866.01</v>
      </c>
      <c r="E2" s="34"/>
      <c r="F2" s="34"/>
    </row>
    <row r="3" spans="1:27" ht="10.35" customHeight="1" x14ac:dyDescent="0.25">
      <c r="A3" s="32">
        <v>2</v>
      </c>
      <c r="B3" s="33" t="s">
        <v>188</v>
      </c>
      <c r="C3" s="33" t="s">
        <v>189</v>
      </c>
      <c r="D3" s="34">
        <v>3315866.01</v>
      </c>
      <c r="E3" s="34"/>
      <c r="F3" s="34"/>
    </row>
    <row r="4" spans="1:27" ht="10.35" customHeight="1" x14ac:dyDescent="0.25">
      <c r="A4" s="32">
        <v>3</v>
      </c>
      <c r="B4" s="33" t="s">
        <v>190</v>
      </c>
      <c r="C4" s="33" t="s">
        <v>191</v>
      </c>
      <c r="D4" s="34">
        <v>34290.92</v>
      </c>
      <c r="E4" s="34"/>
      <c r="F4" s="34"/>
    </row>
    <row r="5" spans="1:27" ht="10.35" customHeight="1" x14ac:dyDescent="0.25">
      <c r="A5" s="32">
        <v>7</v>
      </c>
      <c r="B5" s="33" t="s">
        <v>192</v>
      </c>
      <c r="C5" s="33" t="s">
        <v>193</v>
      </c>
      <c r="D5" s="34">
        <v>34290.92</v>
      </c>
      <c r="E5" s="34"/>
      <c r="F5" s="34"/>
    </row>
    <row r="6" spans="1:27" ht="10.35" customHeight="1" x14ac:dyDescent="0.25">
      <c r="A6" s="35">
        <v>8</v>
      </c>
      <c r="B6" s="36" t="s">
        <v>194</v>
      </c>
      <c r="C6" s="36" t="s">
        <v>195</v>
      </c>
      <c r="D6" s="37">
        <v>1830.39</v>
      </c>
      <c r="E6" s="37"/>
      <c r="F6" s="37"/>
    </row>
    <row r="7" spans="1:27" ht="10.35" customHeight="1" x14ac:dyDescent="0.25">
      <c r="A7" s="35">
        <v>9</v>
      </c>
      <c r="B7" s="36" t="s">
        <v>196</v>
      </c>
      <c r="C7" s="36" t="s">
        <v>197</v>
      </c>
      <c r="D7" s="37">
        <v>32460.53</v>
      </c>
      <c r="E7" s="37"/>
      <c r="F7" s="37"/>
    </row>
    <row r="8" spans="1:27" ht="10.35" customHeight="1" x14ac:dyDescent="0.25">
      <c r="A8" s="32">
        <v>12</v>
      </c>
      <c r="B8" s="33" t="s">
        <v>198</v>
      </c>
      <c r="C8" s="33" t="s">
        <v>199</v>
      </c>
      <c r="D8" s="34">
        <v>3359214.69</v>
      </c>
      <c r="E8" s="34"/>
      <c r="F8" s="34"/>
    </row>
    <row r="9" spans="1:27" ht="10.35" customHeight="1" x14ac:dyDescent="0.25">
      <c r="A9" s="32">
        <v>13</v>
      </c>
      <c r="B9" s="33" t="s">
        <v>200</v>
      </c>
      <c r="C9" s="33" t="s">
        <v>201</v>
      </c>
      <c r="D9" s="34">
        <v>3359214.69</v>
      </c>
      <c r="E9" s="34"/>
      <c r="F9" s="34"/>
    </row>
    <row r="10" spans="1:27" ht="10.35" customHeight="1" x14ac:dyDescent="0.25">
      <c r="A10" s="35">
        <v>1000</v>
      </c>
      <c r="B10" s="36" t="s">
        <v>202</v>
      </c>
      <c r="C10" s="36" t="s">
        <v>203</v>
      </c>
      <c r="D10" s="37">
        <v>3359214.69</v>
      </c>
      <c r="E10" s="37"/>
      <c r="F10" s="37"/>
    </row>
    <row r="11" spans="1:27" ht="10.35" customHeight="1" x14ac:dyDescent="0.25">
      <c r="A11" s="32">
        <v>18</v>
      </c>
      <c r="B11" s="33" t="s">
        <v>204</v>
      </c>
      <c r="C11" s="33" t="s">
        <v>205</v>
      </c>
      <c r="D11" s="34">
        <v>130452.97</v>
      </c>
      <c r="E11" s="34"/>
      <c r="F11" s="34"/>
    </row>
    <row r="12" spans="1:27" ht="10.35" customHeight="1" x14ac:dyDescent="0.25">
      <c r="A12" s="32">
        <v>21</v>
      </c>
      <c r="B12" s="33" t="s">
        <v>206</v>
      </c>
      <c r="C12" s="33" t="s">
        <v>207</v>
      </c>
      <c r="D12" s="34">
        <v>84456.09</v>
      </c>
      <c r="E12" s="34"/>
      <c r="F12" s="34"/>
    </row>
    <row r="13" spans="1:27" ht="10.35" customHeight="1" x14ac:dyDescent="0.25">
      <c r="A13" s="35">
        <v>1029</v>
      </c>
      <c r="B13" s="36" t="s">
        <v>208</v>
      </c>
      <c r="C13" s="36" t="s">
        <v>209</v>
      </c>
      <c r="D13" s="37">
        <v>84456.09</v>
      </c>
      <c r="E13" s="37"/>
      <c r="F13" s="37"/>
    </row>
    <row r="14" spans="1:27" ht="10.35" customHeight="1" x14ac:dyDescent="0.25">
      <c r="A14" s="32">
        <v>28</v>
      </c>
      <c r="B14" s="33" t="s">
        <v>210</v>
      </c>
      <c r="C14" s="33" t="s">
        <v>211</v>
      </c>
      <c r="D14" s="34">
        <v>45996.88</v>
      </c>
      <c r="E14" s="34"/>
      <c r="F14" s="34"/>
    </row>
    <row r="15" spans="1:27" ht="10.35" customHeight="1" x14ac:dyDescent="0.25">
      <c r="A15" s="35">
        <v>30</v>
      </c>
      <c r="B15" s="36" t="s">
        <v>212</v>
      </c>
      <c r="C15" s="36" t="s">
        <v>213</v>
      </c>
      <c r="D15" s="37">
        <v>-29758.66</v>
      </c>
      <c r="E15" s="37"/>
      <c r="F15" s="37"/>
    </row>
    <row r="16" spans="1:27" ht="10.35" customHeight="1" x14ac:dyDescent="0.25">
      <c r="A16" s="35">
        <v>40</v>
      </c>
      <c r="B16" s="36" t="s">
        <v>214</v>
      </c>
      <c r="C16" s="36" t="s">
        <v>215</v>
      </c>
      <c r="D16" s="37">
        <v>55151.97</v>
      </c>
      <c r="E16" s="37"/>
      <c r="F16" s="37"/>
    </row>
    <row r="17" spans="1:6" ht="10.35" customHeight="1" x14ac:dyDescent="0.25">
      <c r="A17" s="35">
        <v>41</v>
      </c>
      <c r="B17" s="36" t="s">
        <v>216</v>
      </c>
      <c r="C17" s="36" t="s">
        <v>217</v>
      </c>
      <c r="D17" s="37">
        <v>20603.57</v>
      </c>
      <c r="E17" s="37"/>
      <c r="F17" s="37"/>
    </row>
    <row r="18" spans="1:6" ht="10.35" customHeight="1" x14ac:dyDescent="0.25">
      <c r="A18" s="32">
        <v>53</v>
      </c>
      <c r="B18" s="33" t="s">
        <v>218</v>
      </c>
      <c r="C18" s="33" t="s">
        <v>219</v>
      </c>
      <c r="D18" s="34">
        <v>-208092.57</v>
      </c>
      <c r="E18" s="34"/>
      <c r="F18" s="34"/>
    </row>
    <row r="19" spans="1:6" ht="10.35" customHeight="1" x14ac:dyDescent="0.25">
      <c r="A19" s="32">
        <v>54</v>
      </c>
      <c r="B19" s="33" t="s">
        <v>220</v>
      </c>
      <c r="C19" s="33" t="s">
        <v>221</v>
      </c>
      <c r="D19" s="34">
        <v>-208092.57</v>
      </c>
      <c r="E19" s="34"/>
      <c r="F19" s="34"/>
    </row>
    <row r="20" spans="1:6" ht="10.35" customHeight="1" x14ac:dyDescent="0.25">
      <c r="A20" s="35">
        <v>55</v>
      </c>
      <c r="B20" s="36" t="s">
        <v>222</v>
      </c>
      <c r="C20" s="36" t="s">
        <v>223</v>
      </c>
      <c r="D20" s="37">
        <v>-955963.2</v>
      </c>
      <c r="E20" s="37"/>
      <c r="F20" s="37"/>
    </row>
    <row r="21" spans="1:6" ht="10.35" customHeight="1" x14ac:dyDescent="0.25">
      <c r="A21" s="35">
        <v>56</v>
      </c>
      <c r="B21" s="36" t="s">
        <v>224</v>
      </c>
      <c r="C21" s="36" t="s">
        <v>225</v>
      </c>
      <c r="D21" s="37">
        <v>747870.63</v>
      </c>
      <c r="E21" s="37"/>
      <c r="F21" s="37"/>
    </row>
    <row r="22" spans="1:6" ht="10.35" customHeight="1" x14ac:dyDescent="0.25">
      <c r="A22" s="32">
        <v>149</v>
      </c>
      <c r="B22" s="33">
        <v>2</v>
      </c>
      <c r="C22" s="33" t="s">
        <v>226</v>
      </c>
      <c r="D22" s="34">
        <v>-3203632.39</v>
      </c>
      <c r="E22" s="34"/>
      <c r="F22" s="34"/>
    </row>
    <row r="23" spans="1:6" ht="10.35" customHeight="1" x14ac:dyDescent="0.25">
      <c r="A23" s="32">
        <v>150</v>
      </c>
      <c r="B23" s="33" t="s">
        <v>227</v>
      </c>
      <c r="C23" s="33" t="s">
        <v>228</v>
      </c>
      <c r="D23" s="34">
        <v>-3262314.89</v>
      </c>
      <c r="E23" s="34"/>
      <c r="F23" s="34"/>
    </row>
    <row r="24" spans="1:6" ht="10.35" customHeight="1" x14ac:dyDescent="0.25">
      <c r="A24" s="32">
        <v>164</v>
      </c>
      <c r="B24" s="33" t="s">
        <v>229</v>
      </c>
      <c r="C24" s="33" t="s">
        <v>230</v>
      </c>
      <c r="D24" s="34">
        <v>-3076212.38</v>
      </c>
      <c r="E24" s="34"/>
      <c r="F24" s="34"/>
    </row>
    <row r="25" spans="1:6" ht="10.35" customHeight="1" x14ac:dyDescent="0.25">
      <c r="A25" s="32">
        <v>165</v>
      </c>
      <c r="B25" s="33" t="s">
        <v>231</v>
      </c>
      <c r="C25" s="33" t="s">
        <v>232</v>
      </c>
      <c r="D25" s="34">
        <v>-3076212.38</v>
      </c>
      <c r="E25" s="34"/>
      <c r="F25" s="34"/>
    </row>
    <row r="26" spans="1:6" ht="10.35" customHeight="1" x14ac:dyDescent="0.25">
      <c r="A26" s="35">
        <v>1004</v>
      </c>
      <c r="B26" s="36" t="s">
        <v>233</v>
      </c>
      <c r="C26" s="36" t="s">
        <v>234</v>
      </c>
      <c r="D26" s="37">
        <v>-3076212.38</v>
      </c>
      <c r="E26" s="37"/>
      <c r="F26" s="37"/>
    </row>
    <row r="27" spans="1:6" ht="10.35" customHeight="1" x14ac:dyDescent="0.25">
      <c r="A27" s="32">
        <v>169</v>
      </c>
      <c r="B27" s="33" t="s">
        <v>235</v>
      </c>
      <c r="C27" s="33" t="s">
        <v>236</v>
      </c>
      <c r="D27" s="34">
        <v>-18591.560000000001</v>
      </c>
      <c r="E27" s="34"/>
      <c r="F27" s="34"/>
    </row>
    <row r="28" spans="1:6" ht="10.35" customHeight="1" x14ac:dyDescent="0.25">
      <c r="A28" s="32">
        <v>170</v>
      </c>
      <c r="B28" s="33" t="s">
        <v>237</v>
      </c>
      <c r="C28" s="33" t="s">
        <v>238</v>
      </c>
      <c r="D28" s="34">
        <v>-18591.560000000001</v>
      </c>
      <c r="E28" s="34"/>
      <c r="F28" s="34"/>
    </row>
    <row r="29" spans="1:6" ht="10.35" customHeight="1" x14ac:dyDescent="0.25">
      <c r="A29" s="35">
        <v>172</v>
      </c>
      <c r="B29" s="36" t="s">
        <v>239</v>
      </c>
      <c r="C29" s="36" t="s">
        <v>240</v>
      </c>
      <c r="D29" s="37">
        <v>-18055.650000000001</v>
      </c>
      <c r="E29" s="37"/>
      <c r="F29" s="37"/>
    </row>
    <row r="30" spans="1:6" ht="10.35" customHeight="1" x14ac:dyDescent="0.25">
      <c r="A30" s="35">
        <v>179</v>
      </c>
      <c r="B30" s="36" t="s">
        <v>241</v>
      </c>
      <c r="C30" s="36" t="s">
        <v>242</v>
      </c>
      <c r="D30" s="37">
        <v>0</v>
      </c>
      <c r="E30" s="37"/>
      <c r="F30" s="37"/>
    </row>
    <row r="31" spans="1:6" ht="10.35" customHeight="1" x14ac:dyDescent="0.25">
      <c r="A31" s="35">
        <v>180</v>
      </c>
      <c r="B31" s="36" t="s">
        <v>243</v>
      </c>
      <c r="C31" s="36" t="s">
        <v>244</v>
      </c>
      <c r="D31" s="37">
        <v>0</v>
      </c>
      <c r="E31" s="37"/>
      <c r="F31" s="37"/>
    </row>
    <row r="32" spans="1:6" ht="10.35" customHeight="1" x14ac:dyDescent="0.25">
      <c r="A32" s="35">
        <v>481</v>
      </c>
      <c r="B32" s="36" t="s">
        <v>245</v>
      </c>
      <c r="C32" s="36" t="s">
        <v>246</v>
      </c>
      <c r="D32" s="37">
        <v>-535.91</v>
      </c>
      <c r="E32" s="37"/>
      <c r="F32" s="37"/>
    </row>
    <row r="33" spans="1:6" ht="10.35" customHeight="1" x14ac:dyDescent="0.25">
      <c r="A33" s="32">
        <v>185</v>
      </c>
      <c r="B33" s="33" t="s">
        <v>247</v>
      </c>
      <c r="C33" s="33" t="s">
        <v>248</v>
      </c>
      <c r="D33" s="34">
        <v>-7575.3</v>
      </c>
      <c r="E33" s="34"/>
      <c r="F33" s="34"/>
    </row>
    <row r="34" spans="1:6" ht="10.35" customHeight="1" x14ac:dyDescent="0.25">
      <c r="A34" s="32">
        <v>186</v>
      </c>
      <c r="B34" s="33" t="s">
        <v>249</v>
      </c>
      <c r="C34" s="33" t="s">
        <v>250</v>
      </c>
      <c r="D34" s="34">
        <v>-3067.9</v>
      </c>
      <c r="E34" s="34"/>
      <c r="F34" s="34"/>
    </row>
    <row r="35" spans="1:6" ht="10.35" customHeight="1" x14ac:dyDescent="0.25">
      <c r="A35" s="35">
        <v>187</v>
      </c>
      <c r="B35" s="36" t="s">
        <v>251</v>
      </c>
      <c r="C35" s="36" t="s">
        <v>252</v>
      </c>
      <c r="D35" s="37">
        <v>-4148.46</v>
      </c>
      <c r="E35" s="37"/>
      <c r="F35" s="37"/>
    </row>
    <row r="36" spans="1:6" ht="10.35" customHeight="1" x14ac:dyDescent="0.25">
      <c r="A36" s="35">
        <v>167</v>
      </c>
      <c r="B36" s="36" t="s">
        <v>253</v>
      </c>
      <c r="C36" s="36" t="s">
        <v>254</v>
      </c>
      <c r="D36" s="37">
        <v>1080.56</v>
      </c>
      <c r="E36" s="37"/>
      <c r="F36" s="37"/>
    </row>
    <row r="37" spans="1:6" ht="10.35" customHeight="1" x14ac:dyDescent="0.25">
      <c r="A37" s="32">
        <v>190</v>
      </c>
      <c r="B37" s="33" t="s">
        <v>255</v>
      </c>
      <c r="C37" s="33" t="s">
        <v>256</v>
      </c>
      <c r="D37" s="34">
        <v>-4507.3999999999996</v>
      </c>
      <c r="E37" s="34"/>
      <c r="F37" s="34"/>
    </row>
    <row r="38" spans="1:6" ht="10.35" customHeight="1" x14ac:dyDescent="0.25">
      <c r="A38" s="35">
        <v>191</v>
      </c>
      <c r="B38" s="36" t="s">
        <v>257</v>
      </c>
      <c r="C38" s="36" t="s">
        <v>258</v>
      </c>
      <c r="D38" s="37">
        <v>-3725.75</v>
      </c>
      <c r="E38" s="37"/>
      <c r="F38" s="37"/>
    </row>
    <row r="39" spans="1:6" ht="10.35" customHeight="1" x14ac:dyDescent="0.25">
      <c r="A39" s="35">
        <v>192</v>
      </c>
      <c r="B39" s="36" t="s">
        <v>259</v>
      </c>
      <c r="C39" s="36" t="s">
        <v>260</v>
      </c>
      <c r="D39" s="37">
        <v>-781.65</v>
      </c>
      <c r="E39" s="37"/>
      <c r="F39" s="37"/>
    </row>
    <row r="40" spans="1:6" ht="10.35" customHeight="1" x14ac:dyDescent="0.25">
      <c r="A40" s="32">
        <v>200</v>
      </c>
      <c r="B40" s="33" t="s">
        <v>261</v>
      </c>
      <c r="C40" s="33" t="s">
        <v>262</v>
      </c>
      <c r="D40" s="34">
        <v>-159935.65</v>
      </c>
      <c r="E40" s="34"/>
      <c r="F40" s="34"/>
    </row>
    <row r="41" spans="1:6" ht="10.35" customHeight="1" x14ac:dyDescent="0.25">
      <c r="A41" s="32">
        <v>202</v>
      </c>
      <c r="B41" s="33" t="s">
        <v>263</v>
      </c>
      <c r="C41" s="33" t="s">
        <v>264</v>
      </c>
      <c r="D41" s="34">
        <v>-159935.65</v>
      </c>
      <c r="E41" s="34"/>
      <c r="F41" s="34"/>
    </row>
    <row r="42" spans="1:6" ht="10.35" customHeight="1" x14ac:dyDescent="0.25">
      <c r="A42" s="35">
        <v>1026</v>
      </c>
      <c r="B42" s="36" t="s">
        <v>265</v>
      </c>
      <c r="C42" s="36" t="s">
        <v>266</v>
      </c>
      <c r="D42" s="37">
        <v>-159935.65</v>
      </c>
      <c r="E42" s="37"/>
      <c r="F42" s="37"/>
    </row>
    <row r="43" spans="1:6" ht="10.35" customHeight="1" x14ac:dyDescent="0.25">
      <c r="A43" s="32">
        <v>242</v>
      </c>
      <c r="B43" s="33" t="s">
        <v>267</v>
      </c>
      <c r="C43" s="33" t="s">
        <v>268</v>
      </c>
      <c r="D43" s="34">
        <v>58682.5</v>
      </c>
      <c r="E43" s="34"/>
      <c r="F43" s="34"/>
    </row>
    <row r="44" spans="1:6" ht="10.35" customHeight="1" x14ac:dyDescent="0.25">
      <c r="A44" s="32">
        <v>243</v>
      </c>
      <c r="B44" s="33" t="s">
        <v>269</v>
      </c>
      <c r="C44" s="33" t="s">
        <v>270</v>
      </c>
      <c r="D44" s="34">
        <v>-50000</v>
      </c>
      <c r="E44" s="34"/>
      <c r="F44" s="34"/>
    </row>
    <row r="45" spans="1:6" ht="10.35" customHeight="1" x14ac:dyDescent="0.25">
      <c r="A45" s="32">
        <v>244</v>
      </c>
      <c r="B45" s="33" t="s">
        <v>271</v>
      </c>
      <c r="C45" s="33" t="s">
        <v>272</v>
      </c>
      <c r="D45" s="34">
        <v>-50000</v>
      </c>
      <c r="E45" s="34"/>
      <c r="F45" s="34"/>
    </row>
    <row r="46" spans="1:6" ht="10.35" customHeight="1" x14ac:dyDescent="0.25">
      <c r="A46" s="35">
        <v>245</v>
      </c>
      <c r="B46" s="36" t="s">
        <v>273</v>
      </c>
      <c r="C46" s="36" t="s">
        <v>274</v>
      </c>
      <c r="D46" s="37">
        <v>-50000</v>
      </c>
      <c r="E46" s="37"/>
      <c r="F46" s="37"/>
    </row>
    <row r="47" spans="1:6" ht="10.35" customHeight="1" x14ac:dyDescent="0.25">
      <c r="A47" s="32">
        <v>264</v>
      </c>
      <c r="B47" s="33" t="s">
        <v>275</v>
      </c>
      <c r="C47" s="33" t="s">
        <v>276</v>
      </c>
      <c r="D47" s="34">
        <v>108682.5</v>
      </c>
      <c r="E47" s="34"/>
      <c r="F47" s="34"/>
    </row>
    <row r="48" spans="1:6" ht="10.35" customHeight="1" x14ac:dyDescent="0.25">
      <c r="A48" s="32">
        <v>265</v>
      </c>
      <c r="B48" s="33" t="s">
        <v>277</v>
      </c>
      <c r="C48" s="33" t="s">
        <v>278</v>
      </c>
      <c r="D48" s="34">
        <v>108682.5</v>
      </c>
      <c r="E48" s="34"/>
      <c r="F48" s="34"/>
    </row>
    <row r="49" spans="1:6" ht="10.35" customHeight="1" x14ac:dyDescent="0.25">
      <c r="A49" s="35">
        <v>267</v>
      </c>
      <c r="B49" s="36" t="s">
        <v>279</v>
      </c>
      <c r="C49" s="36" t="s">
        <v>280</v>
      </c>
      <c r="D49" s="37">
        <v>86063.91</v>
      </c>
      <c r="E49" s="37"/>
      <c r="F49" s="37"/>
    </row>
    <row r="50" spans="1:6" ht="10.35" customHeight="1" x14ac:dyDescent="0.25">
      <c r="A50" s="35">
        <v>522</v>
      </c>
      <c r="B50" s="36" t="s">
        <v>281</v>
      </c>
      <c r="C50" s="36" t="s">
        <v>282</v>
      </c>
      <c r="D50" s="37">
        <v>-62779.15</v>
      </c>
      <c r="E50" s="37"/>
      <c r="F50" s="37"/>
    </row>
    <row r="51" spans="1:6" ht="10.35" customHeight="1" x14ac:dyDescent="0.25">
      <c r="A51" s="35">
        <v>523</v>
      </c>
      <c r="B51" s="36" t="s">
        <v>283</v>
      </c>
      <c r="C51" s="36" t="s">
        <v>284</v>
      </c>
      <c r="D51" s="37">
        <v>76492.02</v>
      </c>
      <c r="E51" s="37"/>
      <c r="F51" s="37"/>
    </row>
    <row r="52" spans="1:6" ht="10.35" customHeight="1" x14ac:dyDescent="0.25">
      <c r="A52" s="35">
        <v>563</v>
      </c>
      <c r="B52" s="36" t="s">
        <v>285</v>
      </c>
      <c r="C52" s="36" t="s">
        <v>286</v>
      </c>
      <c r="D52" s="37">
        <v>8905.7199999999993</v>
      </c>
      <c r="E52" s="37"/>
      <c r="F52" s="37"/>
    </row>
    <row r="53" spans="1:6" ht="12.6" customHeight="1" x14ac:dyDescent="0.25">
      <c r="A53" s="38" t="s">
        <v>103</v>
      </c>
      <c r="B53" s="38"/>
      <c r="C53" s="38"/>
    </row>
  </sheetData>
  <phoneticPr fontId="11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2"/>
  <sheetViews>
    <sheetView workbookViewId="0">
      <selection activeCell="D21" sqref="D21"/>
    </sheetView>
  </sheetViews>
  <sheetFormatPr defaultColWidth="14.42578125" defaultRowHeight="15" customHeight="1" x14ac:dyDescent="0.25"/>
  <cols>
    <col min="1" max="1" width="30.140625" customWidth="1"/>
    <col min="2" max="2" width="24.85546875" customWidth="1"/>
    <col min="3" max="26" width="8.7109375" customWidth="1"/>
  </cols>
  <sheetData>
    <row r="1" spans="1:2" x14ac:dyDescent="0.25">
      <c r="A1" s="1" t="s">
        <v>0</v>
      </c>
      <c r="B1" s="2">
        <v>315470.8</v>
      </c>
    </row>
    <row r="2" spans="1:2" x14ac:dyDescent="0.25">
      <c r="A2" s="1" t="s">
        <v>1</v>
      </c>
      <c r="B2" s="2">
        <v>107911.76</v>
      </c>
    </row>
    <row r="3" spans="1:2" x14ac:dyDescent="0.25">
      <c r="A3" s="3" t="s">
        <v>2</v>
      </c>
      <c r="B3" s="2">
        <f>B1-B2</f>
        <v>207559.03999999998</v>
      </c>
    </row>
    <row r="4" spans="1:2" x14ac:dyDescent="0.25">
      <c r="B4" s="4"/>
    </row>
    <row r="5" spans="1:2" x14ac:dyDescent="0.25">
      <c r="A5" s="3" t="s">
        <v>3</v>
      </c>
      <c r="B5" s="2">
        <f>166854.7+58825.09</f>
        <v>225679.79</v>
      </c>
    </row>
    <row r="6" spans="1:2" x14ac:dyDescent="0.25">
      <c r="A6" s="3" t="s">
        <v>4</v>
      </c>
      <c r="B6" s="2">
        <f>128854.18+28830.14</f>
        <v>157684.32</v>
      </c>
    </row>
    <row r="7" spans="1:2" x14ac:dyDescent="0.25">
      <c r="A7" s="3" t="s">
        <v>2</v>
      </c>
      <c r="B7" s="2">
        <f>B5-B6</f>
        <v>67995.47</v>
      </c>
    </row>
    <row r="8" spans="1:2" x14ac:dyDescent="0.25">
      <c r="B8" s="4"/>
    </row>
    <row r="9" spans="1:2" x14ac:dyDescent="0.25">
      <c r="A9" s="49" t="s">
        <v>288</v>
      </c>
      <c r="B9" s="4">
        <v>2407.46</v>
      </c>
    </row>
    <row r="10" spans="1:2" x14ac:dyDescent="0.25">
      <c r="A10" s="3" t="s">
        <v>5</v>
      </c>
      <c r="B10" s="2">
        <v>212.92</v>
      </c>
    </row>
    <row r="11" spans="1:2" x14ac:dyDescent="0.25">
      <c r="A11" s="3" t="s">
        <v>6</v>
      </c>
      <c r="B11" s="2">
        <v>2968.3</v>
      </c>
    </row>
    <row r="12" spans="1:2" x14ac:dyDescent="0.25">
      <c r="A12" s="3" t="s">
        <v>7</v>
      </c>
      <c r="B12" s="2">
        <v>14706.16</v>
      </c>
    </row>
    <row r="13" spans="1:2" x14ac:dyDescent="0.25">
      <c r="A13" s="3" t="s">
        <v>21</v>
      </c>
      <c r="B13" s="2">
        <v>34776.519999999997</v>
      </c>
    </row>
    <row r="14" spans="1:2" x14ac:dyDescent="0.25">
      <c r="A14" s="3" t="s">
        <v>2</v>
      </c>
      <c r="B14" s="2">
        <f>(B9+B10)-(B11+B12+B13)</f>
        <v>-49830.6</v>
      </c>
    </row>
    <row r="16" spans="1:2" x14ac:dyDescent="0.25">
      <c r="A16" s="3" t="s">
        <v>8</v>
      </c>
      <c r="B16" s="2">
        <f>B7+B14</f>
        <v>18164.870000000003</v>
      </c>
    </row>
    <row r="17" spans="1:2" x14ac:dyDescent="0.25">
      <c r="B17" s="4"/>
    </row>
    <row r="18" spans="1:2" x14ac:dyDescent="0.25">
      <c r="A18" s="5" t="s">
        <v>9</v>
      </c>
      <c r="B18" s="4">
        <f>B1-B5+(B6-B2)</f>
        <v>139563.57</v>
      </c>
    </row>
    <row r="23" spans="1:2" ht="15.75" customHeight="1" x14ac:dyDescent="0.25"/>
    <row r="24" spans="1:2" ht="15.75" customHeight="1" x14ac:dyDescent="0.25"/>
    <row r="25" spans="1:2" ht="15.75" customHeight="1" x14ac:dyDescent="0.25">
      <c r="A25" s="48"/>
      <c r="B25" s="48"/>
    </row>
    <row r="26" spans="1:2" ht="15.75" customHeight="1" x14ac:dyDescent="0.25">
      <c r="A26" s="48"/>
      <c r="B26" s="48"/>
    </row>
    <row r="27" spans="1:2" ht="15.75" customHeight="1" x14ac:dyDescent="0.25">
      <c r="A27" s="48"/>
      <c r="B27" s="48"/>
    </row>
    <row r="28" spans="1:2" ht="15.75" customHeight="1" x14ac:dyDescent="0.25">
      <c r="A28" s="48"/>
      <c r="B28" s="48"/>
    </row>
    <row r="29" spans="1:2" ht="15.75" customHeight="1" x14ac:dyDescent="0.25">
      <c r="A29" s="48"/>
      <c r="B29" s="48"/>
    </row>
    <row r="30" spans="1:2" ht="15.75" customHeight="1" x14ac:dyDescent="0.25">
      <c r="A30" s="48"/>
      <c r="B30" s="48"/>
    </row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343D1-6611-4C31-8516-FD73071194FD}">
  <dimension ref="A1:H19"/>
  <sheetViews>
    <sheetView workbookViewId="0">
      <selection activeCell="E14" sqref="E14"/>
    </sheetView>
  </sheetViews>
  <sheetFormatPr defaultRowHeight="15" x14ac:dyDescent="0.25"/>
  <cols>
    <col min="1" max="1" width="9.140625" style="31"/>
    <col min="2" max="2" width="21" style="31" customWidth="1"/>
    <col min="3" max="3" width="20.5703125" style="31" customWidth="1"/>
    <col min="4" max="4" width="20.85546875" style="31" customWidth="1"/>
    <col min="5" max="5" width="26.5703125" style="31" bestFit="1" customWidth="1"/>
    <col min="6" max="6" width="17.7109375" style="31" customWidth="1"/>
    <col min="7" max="7" width="10.140625" style="31" bestFit="1" customWidth="1"/>
    <col min="8" max="8" width="15.85546875" style="31" bestFit="1" customWidth="1"/>
    <col min="9" max="16384" width="9.140625" style="31"/>
  </cols>
  <sheetData>
    <row r="1" spans="1:8" x14ac:dyDescent="0.25">
      <c r="B1" s="31" t="s">
        <v>17</v>
      </c>
    </row>
    <row r="2" spans="1:8" x14ac:dyDescent="0.25">
      <c r="A2" s="39"/>
      <c r="B2" s="39" t="s">
        <v>10</v>
      </c>
      <c r="C2" s="39" t="s">
        <v>11</v>
      </c>
      <c r="D2" s="39" t="s">
        <v>12</v>
      </c>
      <c r="E2" s="39" t="s">
        <v>13</v>
      </c>
      <c r="F2" s="39" t="s">
        <v>14</v>
      </c>
      <c r="G2" s="39" t="s">
        <v>15</v>
      </c>
      <c r="H2" s="39" t="s">
        <v>16</v>
      </c>
    </row>
    <row r="3" spans="1:8" x14ac:dyDescent="0.25">
      <c r="A3" s="39" t="s">
        <v>20</v>
      </c>
      <c r="B3" s="42">
        <v>1786687.2</v>
      </c>
      <c r="C3" s="42">
        <v>1853772.3</v>
      </c>
      <c r="D3" s="42">
        <v>1472231.31</v>
      </c>
      <c r="E3" s="42"/>
      <c r="F3" s="42">
        <v>1472231.31</v>
      </c>
      <c r="G3" s="41">
        <v>1.6500000000000001E-2</v>
      </c>
      <c r="H3" s="42">
        <f>F3*G3</f>
        <v>24291.816615000003</v>
      </c>
    </row>
    <row r="4" spans="1:8" x14ac:dyDescent="0.25">
      <c r="A4" s="39" t="s">
        <v>23</v>
      </c>
      <c r="B4" s="42">
        <v>1786687.2</v>
      </c>
      <c r="C4" s="42">
        <v>1853772.3</v>
      </c>
      <c r="D4" s="42">
        <v>1472231.31</v>
      </c>
      <c r="E4" s="42"/>
      <c r="F4" s="42">
        <v>1472231.31</v>
      </c>
      <c r="G4" s="41">
        <v>7.5999999999999998E-2</v>
      </c>
      <c r="H4" s="42">
        <f>F4*G4</f>
        <v>111889.57956</v>
      </c>
    </row>
    <row r="5" spans="1:8" x14ac:dyDescent="0.25">
      <c r="B5" s="43" t="s">
        <v>18</v>
      </c>
    </row>
    <row r="6" spans="1:8" x14ac:dyDescent="0.25">
      <c r="A6" s="39"/>
      <c r="B6" s="39" t="s">
        <v>10</v>
      </c>
      <c r="C6" s="39" t="s">
        <v>11</v>
      </c>
      <c r="D6" s="39" t="s">
        <v>12</v>
      </c>
      <c r="E6" s="39" t="s">
        <v>13</v>
      </c>
      <c r="F6" s="39" t="s">
        <v>14</v>
      </c>
      <c r="G6" s="39" t="s">
        <v>15</v>
      </c>
      <c r="H6" s="39" t="s">
        <v>16</v>
      </c>
    </row>
    <row r="7" spans="1:8" x14ac:dyDescent="0.25">
      <c r="A7" s="39" t="s">
        <v>20</v>
      </c>
      <c r="B7" s="42">
        <v>1578444.97</v>
      </c>
      <c r="C7" s="42">
        <v>1578444.97</v>
      </c>
      <c r="D7" s="42">
        <v>1481561.47</v>
      </c>
      <c r="E7" s="42"/>
      <c r="F7" s="42">
        <v>1481561.47</v>
      </c>
      <c r="G7" s="41">
        <v>1.6500000000000001E-2</v>
      </c>
      <c r="H7" s="42">
        <f>F7*G7</f>
        <v>24445.764255000002</v>
      </c>
    </row>
    <row r="8" spans="1:8" x14ac:dyDescent="0.25">
      <c r="A8" s="39" t="s">
        <v>23</v>
      </c>
      <c r="B8" s="42">
        <v>1578444.97</v>
      </c>
      <c r="C8" s="42">
        <v>1578444.97</v>
      </c>
      <c r="D8" s="42">
        <v>1481561.47</v>
      </c>
      <c r="E8" s="42"/>
      <c r="F8" s="42">
        <v>1481561.47</v>
      </c>
      <c r="G8" s="41">
        <v>7.5999999999999998E-2</v>
      </c>
      <c r="H8" s="42">
        <f>F8*G8</f>
        <v>112598.67172</v>
      </c>
    </row>
    <row r="9" spans="1:8" x14ac:dyDescent="0.25">
      <c r="B9" s="31" t="s">
        <v>19</v>
      </c>
    </row>
    <row r="11" spans="1:8" x14ac:dyDescent="0.25">
      <c r="B11" s="40" t="s">
        <v>287</v>
      </c>
      <c r="C11" s="40" t="s">
        <v>17</v>
      </c>
      <c r="D11" s="40" t="s">
        <v>18</v>
      </c>
      <c r="E11" s="40" t="s">
        <v>21</v>
      </c>
      <c r="F11" s="40" t="s">
        <v>22</v>
      </c>
    </row>
    <row r="12" spans="1:8" x14ac:dyDescent="0.25">
      <c r="B12" s="40"/>
      <c r="C12" s="40"/>
      <c r="D12" s="40"/>
      <c r="E12" s="40"/>
      <c r="F12" s="40"/>
    </row>
    <row r="13" spans="1:8" x14ac:dyDescent="0.25">
      <c r="B13" s="44" t="s">
        <v>23</v>
      </c>
      <c r="C13" s="45">
        <f>H4</f>
        <v>111889.57956</v>
      </c>
      <c r="D13" s="45">
        <f>H8</f>
        <v>112598.67172</v>
      </c>
      <c r="E13" s="42">
        <v>385870.36</v>
      </c>
      <c r="F13" s="46">
        <f>(C13-D13)-E13</f>
        <v>-386579.45215999999</v>
      </c>
    </row>
    <row r="14" spans="1:8" x14ac:dyDescent="0.25">
      <c r="B14" s="44" t="s">
        <v>20</v>
      </c>
      <c r="C14" s="45">
        <f>H3</f>
        <v>24291.816615000003</v>
      </c>
      <c r="D14" s="45">
        <f>H7</f>
        <v>24445.764255000002</v>
      </c>
      <c r="E14" s="42">
        <v>83782.38</v>
      </c>
      <c r="F14" s="46">
        <f>(C14-D14)-E14</f>
        <v>-83936.327640000003</v>
      </c>
    </row>
    <row r="19" spans="5:5" x14ac:dyDescent="0.25">
      <c r="E19" s="42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AC718-9947-4CD0-906B-56DC21BCC42F}">
  <dimension ref="A1:J55"/>
  <sheetViews>
    <sheetView topLeftCell="A14" workbookViewId="0">
      <selection activeCell="C49" sqref="C49"/>
    </sheetView>
  </sheetViews>
  <sheetFormatPr defaultRowHeight="15" x14ac:dyDescent="0.25"/>
  <cols>
    <col min="1" max="1" width="48.85546875" customWidth="1"/>
    <col min="2" max="2" width="15.140625" customWidth="1"/>
    <col min="3" max="3" width="13.5703125" customWidth="1"/>
    <col min="4" max="4" width="13.42578125" customWidth="1"/>
    <col min="5" max="5" width="10.5703125" customWidth="1"/>
    <col min="6" max="6" width="13" customWidth="1"/>
    <col min="7" max="7" width="12.28515625" customWidth="1"/>
    <col min="8" max="8" width="9.140625" customWidth="1"/>
    <col min="9" max="9" width="5.42578125" customWidth="1"/>
    <col min="10" max="10" width="9.42578125" customWidth="1"/>
    <col min="247" max="247" width="4.5703125" customWidth="1"/>
    <col min="248" max="248" width="6.42578125" customWidth="1"/>
    <col min="249" max="249" width="2.7109375" customWidth="1"/>
    <col min="250" max="250" width="6.28515625" customWidth="1"/>
    <col min="251" max="251" width="6.5703125" customWidth="1"/>
    <col min="252" max="252" width="28.5703125" customWidth="1"/>
    <col min="253" max="253" width="3.28515625" customWidth="1"/>
    <col min="254" max="254" width="1.5703125" customWidth="1"/>
    <col min="255" max="255" width="15.140625" customWidth="1"/>
    <col min="256" max="256" width="1.5703125" customWidth="1"/>
    <col min="257" max="257" width="13.5703125" customWidth="1"/>
    <col min="258" max="258" width="1.5703125" customWidth="1"/>
    <col min="259" max="259" width="4.7109375" customWidth="1"/>
    <col min="260" max="260" width="1.42578125" customWidth="1"/>
    <col min="261" max="261" width="3.28515625" customWidth="1"/>
    <col min="262" max="262" width="2" customWidth="1"/>
    <col min="263" max="263" width="5.5703125" customWidth="1"/>
    <col min="264" max="264" width="1.7109375" customWidth="1"/>
    <col min="265" max="265" width="1.5703125" customWidth="1"/>
    <col min="266" max="266" width="8.5703125" customWidth="1"/>
    <col min="503" max="503" width="4.5703125" customWidth="1"/>
    <col min="504" max="504" width="6.42578125" customWidth="1"/>
    <col min="505" max="505" width="2.7109375" customWidth="1"/>
    <col min="506" max="506" width="6.28515625" customWidth="1"/>
    <col min="507" max="507" width="6.5703125" customWidth="1"/>
    <col min="508" max="508" width="28.5703125" customWidth="1"/>
    <col min="509" max="509" width="3.28515625" customWidth="1"/>
    <col min="510" max="510" width="1.5703125" customWidth="1"/>
    <col min="511" max="511" width="15.140625" customWidth="1"/>
    <col min="512" max="512" width="1.5703125" customWidth="1"/>
    <col min="513" max="513" width="13.5703125" customWidth="1"/>
    <col min="514" max="514" width="1.5703125" customWidth="1"/>
    <col min="515" max="515" width="4.7109375" customWidth="1"/>
    <col min="516" max="516" width="1.42578125" customWidth="1"/>
    <col min="517" max="517" width="3.28515625" customWidth="1"/>
    <col min="518" max="518" width="2" customWidth="1"/>
    <col min="519" max="519" width="5.5703125" customWidth="1"/>
    <col min="520" max="520" width="1.7109375" customWidth="1"/>
    <col min="521" max="521" width="1.5703125" customWidth="1"/>
    <col min="522" max="522" width="8.5703125" customWidth="1"/>
    <col min="759" max="759" width="4.5703125" customWidth="1"/>
    <col min="760" max="760" width="6.42578125" customWidth="1"/>
    <col min="761" max="761" width="2.7109375" customWidth="1"/>
    <col min="762" max="762" width="6.28515625" customWidth="1"/>
    <col min="763" max="763" width="6.5703125" customWidth="1"/>
    <col min="764" max="764" width="28.5703125" customWidth="1"/>
    <col min="765" max="765" width="3.28515625" customWidth="1"/>
    <col min="766" max="766" width="1.5703125" customWidth="1"/>
    <col min="767" max="767" width="15.140625" customWidth="1"/>
    <col min="768" max="768" width="1.5703125" customWidth="1"/>
    <col min="769" max="769" width="13.5703125" customWidth="1"/>
    <col min="770" max="770" width="1.5703125" customWidth="1"/>
    <col min="771" max="771" width="4.7109375" customWidth="1"/>
    <col min="772" max="772" width="1.42578125" customWidth="1"/>
    <col min="773" max="773" width="3.28515625" customWidth="1"/>
    <col min="774" max="774" width="2" customWidth="1"/>
    <col min="775" max="775" width="5.5703125" customWidth="1"/>
    <col min="776" max="776" width="1.7109375" customWidth="1"/>
    <col min="777" max="777" width="1.5703125" customWidth="1"/>
    <col min="778" max="778" width="8.5703125" customWidth="1"/>
    <col min="1015" max="1015" width="4.5703125" customWidth="1"/>
    <col min="1016" max="1016" width="6.42578125" customWidth="1"/>
    <col min="1017" max="1017" width="2.7109375" customWidth="1"/>
    <col min="1018" max="1018" width="6.28515625" customWidth="1"/>
    <col min="1019" max="1019" width="6.5703125" customWidth="1"/>
    <col min="1020" max="1020" width="28.5703125" customWidth="1"/>
    <col min="1021" max="1021" width="3.28515625" customWidth="1"/>
    <col min="1022" max="1022" width="1.5703125" customWidth="1"/>
    <col min="1023" max="1023" width="15.140625" customWidth="1"/>
    <col min="1024" max="1024" width="1.5703125" customWidth="1"/>
    <col min="1025" max="1025" width="13.5703125" customWidth="1"/>
    <col min="1026" max="1026" width="1.5703125" customWidth="1"/>
    <col min="1027" max="1027" width="4.7109375" customWidth="1"/>
    <col min="1028" max="1028" width="1.42578125" customWidth="1"/>
    <col min="1029" max="1029" width="3.28515625" customWidth="1"/>
    <col min="1030" max="1030" width="2" customWidth="1"/>
    <col min="1031" max="1031" width="5.5703125" customWidth="1"/>
    <col min="1032" max="1032" width="1.7109375" customWidth="1"/>
    <col min="1033" max="1033" width="1.5703125" customWidth="1"/>
    <col min="1034" max="1034" width="8.5703125" customWidth="1"/>
    <col min="1271" max="1271" width="4.5703125" customWidth="1"/>
    <col min="1272" max="1272" width="6.42578125" customWidth="1"/>
    <col min="1273" max="1273" width="2.7109375" customWidth="1"/>
    <col min="1274" max="1274" width="6.28515625" customWidth="1"/>
    <col min="1275" max="1275" width="6.5703125" customWidth="1"/>
    <col min="1276" max="1276" width="28.5703125" customWidth="1"/>
    <col min="1277" max="1277" width="3.28515625" customWidth="1"/>
    <col min="1278" max="1278" width="1.5703125" customWidth="1"/>
    <col min="1279" max="1279" width="15.140625" customWidth="1"/>
    <col min="1280" max="1280" width="1.5703125" customWidth="1"/>
    <col min="1281" max="1281" width="13.5703125" customWidth="1"/>
    <col min="1282" max="1282" width="1.5703125" customWidth="1"/>
    <col min="1283" max="1283" width="4.7109375" customWidth="1"/>
    <col min="1284" max="1284" width="1.42578125" customWidth="1"/>
    <col min="1285" max="1285" width="3.28515625" customWidth="1"/>
    <col min="1286" max="1286" width="2" customWidth="1"/>
    <col min="1287" max="1287" width="5.5703125" customWidth="1"/>
    <col min="1288" max="1288" width="1.7109375" customWidth="1"/>
    <col min="1289" max="1289" width="1.5703125" customWidth="1"/>
    <col min="1290" max="1290" width="8.5703125" customWidth="1"/>
    <col min="1527" max="1527" width="4.5703125" customWidth="1"/>
    <col min="1528" max="1528" width="6.42578125" customWidth="1"/>
    <col min="1529" max="1529" width="2.7109375" customWidth="1"/>
    <col min="1530" max="1530" width="6.28515625" customWidth="1"/>
    <col min="1531" max="1531" width="6.5703125" customWidth="1"/>
    <col min="1532" max="1532" width="28.5703125" customWidth="1"/>
    <col min="1533" max="1533" width="3.28515625" customWidth="1"/>
    <col min="1534" max="1534" width="1.5703125" customWidth="1"/>
    <col min="1535" max="1535" width="15.140625" customWidth="1"/>
    <col min="1536" max="1536" width="1.5703125" customWidth="1"/>
    <col min="1537" max="1537" width="13.5703125" customWidth="1"/>
    <col min="1538" max="1538" width="1.5703125" customWidth="1"/>
    <col min="1539" max="1539" width="4.7109375" customWidth="1"/>
    <col min="1540" max="1540" width="1.42578125" customWidth="1"/>
    <col min="1541" max="1541" width="3.28515625" customWidth="1"/>
    <col min="1542" max="1542" width="2" customWidth="1"/>
    <col min="1543" max="1543" width="5.5703125" customWidth="1"/>
    <col min="1544" max="1544" width="1.7109375" customWidth="1"/>
    <col min="1545" max="1545" width="1.5703125" customWidth="1"/>
    <col min="1546" max="1546" width="8.5703125" customWidth="1"/>
    <col min="1783" max="1783" width="4.5703125" customWidth="1"/>
    <col min="1784" max="1784" width="6.42578125" customWidth="1"/>
    <col min="1785" max="1785" width="2.7109375" customWidth="1"/>
    <col min="1786" max="1786" width="6.28515625" customWidth="1"/>
    <col min="1787" max="1787" width="6.5703125" customWidth="1"/>
    <col min="1788" max="1788" width="28.5703125" customWidth="1"/>
    <col min="1789" max="1789" width="3.28515625" customWidth="1"/>
    <col min="1790" max="1790" width="1.5703125" customWidth="1"/>
    <col min="1791" max="1791" width="15.140625" customWidth="1"/>
    <col min="1792" max="1792" width="1.5703125" customWidth="1"/>
    <col min="1793" max="1793" width="13.5703125" customWidth="1"/>
    <col min="1794" max="1794" width="1.5703125" customWidth="1"/>
    <col min="1795" max="1795" width="4.7109375" customWidth="1"/>
    <col min="1796" max="1796" width="1.42578125" customWidth="1"/>
    <col min="1797" max="1797" width="3.28515625" customWidth="1"/>
    <col min="1798" max="1798" width="2" customWidth="1"/>
    <col min="1799" max="1799" width="5.5703125" customWidth="1"/>
    <col min="1800" max="1800" width="1.7109375" customWidth="1"/>
    <col min="1801" max="1801" width="1.5703125" customWidth="1"/>
    <col min="1802" max="1802" width="8.5703125" customWidth="1"/>
    <col min="2039" max="2039" width="4.5703125" customWidth="1"/>
    <col min="2040" max="2040" width="6.42578125" customWidth="1"/>
    <col min="2041" max="2041" width="2.7109375" customWidth="1"/>
    <col min="2042" max="2042" width="6.28515625" customWidth="1"/>
    <col min="2043" max="2043" width="6.5703125" customWidth="1"/>
    <col min="2044" max="2044" width="28.5703125" customWidth="1"/>
    <col min="2045" max="2045" width="3.28515625" customWidth="1"/>
    <col min="2046" max="2046" width="1.5703125" customWidth="1"/>
    <col min="2047" max="2047" width="15.140625" customWidth="1"/>
    <col min="2048" max="2048" width="1.5703125" customWidth="1"/>
    <col min="2049" max="2049" width="13.5703125" customWidth="1"/>
    <col min="2050" max="2050" width="1.5703125" customWidth="1"/>
    <col min="2051" max="2051" width="4.7109375" customWidth="1"/>
    <col min="2052" max="2052" width="1.42578125" customWidth="1"/>
    <col min="2053" max="2053" width="3.28515625" customWidth="1"/>
    <col min="2054" max="2054" width="2" customWidth="1"/>
    <col min="2055" max="2055" width="5.5703125" customWidth="1"/>
    <col min="2056" max="2056" width="1.7109375" customWidth="1"/>
    <col min="2057" max="2057" width="1.5703125" customWidth="1"/>
    <col min="2058" max="2058" width="8.5703125" customWidth="1"/>
    <col min="2295" max="2295" width="4.5703125" customWidth="1"/>
    <col min="2296" max="2296" width="6.42578125" customWidth="1"/>
    <col min="2297" max="2297" width="2.7109375" customWidth="1"/>
    <col min="2298" max="2298" width="6.28515625" customWidth="1"/>
    <col min="2299" max="2299" width="6.5703125" customWidth="1"/>
    <col min="2300" max="2300" width="28.5703125" customWidth="1"/>
    <col min="2301" max="2301" width="3.28515625" customWidth="1"/>
    <col min="2302" max="2302" width="1.5703125" customWidth="1"/>
    <col min="2303" max="2303" width="15.140625" customWidth="1"/>
    <col min="2304" max="2304" width="1.5703125" customWidth="1"/>
    <col min="2305" max="2305" width="13.5703125" customWidth="1"/>
    <col min="2306" max="2306" width="1.5703125" customWidth="1"/>
    <col min="2307" max="2307" width="4.7109375" customWidth="1"/>
    <col min="2308" max="2308" width="1.42578125" customWidth="1"/>
    <col min="2309" max="2309" width="3.28515625" customWidth="1"/>
    <col min="2310" max="2310" width="2" customWidth="1"/>
    <col min="2311" max="2311" width="5.5703125" customWidth="1"/>
    <col min="2312" max="2312" width="1.7109375" customWidth="1"/>
    <col min="2313" max="2313" width="1.5703125" customWidth="1"/>
    <col min="2314" max="2314" width="8.5703125" customWidth="1"/>
    <col min="2551" max="2551" width="4.5703125" customWidth="1"/>
    <col min="2552" max="2552" width="6.42578125" customWidth="1"/>
    <col min="2553" max="2553" width="2.7109375" customWidth="1"/>
    <col min="2554" max="2554" width="6.28515625" customWidth="1"/>
    <col min="2555" max="2555" width="6.5703125" customWidth="1"/>
    <col min="2556" max="2556" width="28.5703125" customWidth="1"/>
    <col min="2557" max="2557" width="3.28515625" customWidth="1"/>
    <col min="2558" max="2558" width="1.5703125" customWidth="1"/>
    <col min="2559" max="2559" width="15.140625" customWidth="1"/>
    <col min="2560" max="2560" width="1.5703125" customWidth="1"/>
    <col min="2561" max="2561" width="13.5703125" customWidth="1"/>
    <col min="2562" max="2562" width="1.5703125" customWidth="1"/>
    <col min="2563" max="2563" width="4.7109375" customWidth="1"/>
    <col min="2564" max="2564" width="1.42578125" customWidth="1"/>
    <col min="2565" max="2565" width="3.28515625" customWidth="1"/>
    <col min="2566" max="2566" width="2" customWidth="1"/>
    <col min="2567" max="2567" width="5.5703125" customWidth="1"/>
    <col min="2568" max="2568" width="1.7109375" customWidth="1"/>
    <col min="2569" max="2569" width="1.5703125" customWidth="1"/>
    <col min="2570" max="2570" width="8.5703125" customWidth="1"/>
    <col min="2807" max="2807" width="4.5703125" customWidth="1"/>
    <col min="2808" max="2808" width="6.42578125" customWidth="1"/>
    <col min="2809" max="2809" width="2.7109375" customWidth="1"/>
    <col min="2810" max="2810" width="6.28515625" customWidth="1"/>
    <col min="2811" max="2811" width="6.5703125" customWidth="1"/>
    <col min="2812" max="2812" width="28.5703125" customWidth="1"/>
    <col min="2813" max="2813" width="3.28515625" customWidth="1"/>
    <col min="2814" max="2814" width="1.5703125" customWidth="1"/>
    <col min="2815" max="2815" width="15.140625" customWidth="1"/>
    <col min="2816" max="2816" width="1.5703125" customWidth="1"/>
    <col min="2817" max="2817" width="13.5703125" customWidth="1"/>
    <col min="2818" max="2818" width="1.5703125" customWidth="1"/>
    <col min="2819" max="2819" width="4.7109375" customWidth="1"/>
    <col min="2820" max="2820" width="1.42578125" customWidth="1"/>
    <col min="2821" max="2821" width="3.28515625" customWidth="1"/>
    <col min="2822" max="2822" width="2" customWidth="1"/>
    <col min="2823" max="2823" width="5.5703125" customWidth="1"/>
    <col min="2824" max="2824" width="1.7109375" customWidth="1"/>
    <col min="2825" max="2825" width="1.5703125" customWidth="1"/>
    <col min="2826" max="2826" width="8.5703125" customWidth="1"/>
    <col min="3063" max="3063" width="4.5703125" customWidth="1"/>
    <col min="3064" max="3064" width="6.42578125" customWidth="1"/>
    <col min="3065" max="3065" width="2.7109375" customWidth="1"/>
    <col min="3066" max="3066" width="6.28515625" customWidth="1"/>
    <col min="3067" max="3067" width="6.5703125" customWidth="1"/>
    <col min="3068" max="3068" width="28.5703125" customWidth="1"/>
    <col min="3069" max="3069" width="3.28515625" customWidth="1"/>
    <col min="3070" max="3070" width="1.5703125" customWidth="1"/>
    <col min="3071" max="3071" width="15.140625" customWidth="1"/>
    <col min="3072" max="3072" width="1.5703125" customWidth="1"/>
    <col min="3073" max="3073" width="13.5703125" customWidth="1"/>
    <col min="3074" max="3074" width="1.5703125" customWidth="1"/>
    <col min="3075" max="3075" width="4.7109375" customWidth="1"/>
    <col min="3076" max="3076" width="1.42578125" customWidth="1"/>
    <col min="3077" max="3077" width="3.28515625" customWidth="1"/>
    <col min="3078" max="3078" width="2" customWidth="1"/>
    <col min="3079" max="3079" width="5.5703125" customWidth="1"/>
    <col min="3080" max="3080" width="1.7109375" customWidth="1"/>
    <col min="3081" max="3081" width="1.5703125" customWidth="1"/>
    <col min="3082" max="3082" width="8.5703125" customWidth="1"/>
    <col min="3319" max="3319" width="4.5703125" customWidth="1"/>
    <col min="3320" max="3320" width="6.42578125" customWidth="1"/>
    <col min="3321" max="3321" width="2.7109375" customWidth="1"/>
    <col min="3322" max="3322" width="6.28515625" customWidth="1"/>
    <col min="3323" max="3323" width="6.5703125" customWidth="1"/>
    <col min="3324" max="3324" width="28.5703125" customWidth="1"/>
    <col min="3325" max="3325" width="3.28515625" customWidth="1"/>
    <col min="3326" max="3326" width="1.5703125" customWidth="1"/>
    <col min="3327" max="3327" width="15.140625" customWidth="1"/>
    <col min="3328" max="3328" width="1.5703125" customWidth="1"/>
    <col min="3329" max="3329" width="13.5703125" customWidth="1"/>
    <col min="3330" max="3330" width="1.5703125" customWidth="1"/>
    <col min="3331" max="3331" width="4.7109375" customWidth="1"/>
    <col min="3332" max="3332" width="1.42578125" customWidth="1"/>
    <col min="3333" max="3333" width="3.28515625" customWidth="1"/>
    <col min="3334" max="3334" width="2" customWidth="1"/>
    <col min="3335" max="3335" width="5.5703125" customWidth="1"/>
    <col min="3336" max="3336" width="1.7109375" customWidth="1"/>
    <col min="3337" max="3337" width="1.5703125" customWidth="1"/>
    <col min="3338" max="3338" width="8.5703125" customWidth="1"/>
    <col min="3575" max="3575" width="4.5703125" customWidth="1"/>
    <col min="3576" max="3576" width="6.42578125" customWidth="1"/>
    <col min="3577" max="3577" width="2.7109375" customWidth="1"/>
    <col min="3578" max="3578" width="6.28515625" customWidth="1"/>
    <col min="3579" max="3579" width="6.5703125" customWidth="1"/>
    <col min="3580" max="3580" width="28.5703125" customWidth="1"/>
    <col min="3581" max="3581" width="3.28515625" customWidth="1"/>
    <col min="3582" max="3582" width="1.5703125" customWidth="1"/>
    <col min="3583" max="3583" width="15.140625" customWidth="1"/>
    <col min="3584" max="3584" width="1.5703125" customWidth="1"/>
    <col min="3585" max="3585" width="13.5703125" customWidth="1"/>
    <col min="3586" max="3586" width="1.5703125" customWidth="1"/>
    <col min="3587" max="3587" width="4.7109375" customWidth="1"/>
    <col min="3588" max="3588" width="1.42578125" customWidth="1"/>
    <col min="3589" max="3589" width="3.28515625" customWidth="1"/>
    <col min="3590" max="3590" width="2" customWidth="1"/>
    <col min="3591" max="3591" width="5.5703125" customWidth="1"/>
    <col min="3592" max="3592" width="1.7109375" customWidth="1"/>
    <col min="3593" max="3593" width="1.5703125" customWidth="1"/>
    <col min="3594" max="3594" width="8.5703125" customWidth="1"/>
    <col min="3831" max="3831" width="4.5703125" customWidth="1"/>
    <col min="3832" max="3832" width="6.42578125" customWidth="1"/>
    <col min="3833" max="3833" width="2.7109375" customWidth="1"/>
    <col min="3834" max="3834" width="6.28515625" customWidth="1"/>
    <col min="3835" max="3835" width="6.5703125" customWidth="1"/>
    <col min="3836" max="3836" width="28.5703125" customWidth="1"/>
    <col min="3837" max="3837" width="3.28515625" customWidth="1"/>
    <col min="3838" max="3838" width="1.5703125" customWidth="1"/>
    <col min="3839" max="3839" width="15.140625" customWidth="1"/>
    <col min="3840" max="3840" width="1.5703125" customWidth="1"/>
    <col min="3841" max="3841" width="13.5703125" customWidth="1"/>
    <col min="3842" max="3842" width="1.5703125" customWidth="1"/>
    <col min="3843" max="3843" width="4.7109375" customWidth="1"/>
    <col min="3844" max="3844" width="1.42578125" customWidth="1"/>
    <col min="3845" max="3845" width="3.28515625" customWidth="1"/>
    <col min="3846" max="3846" width="2" customWidth="1"/>
    <col min="3847" max="3847" width="5.5703125" customWidth="1"/>
    <col min="3848" max="3848" width="1.7109375" customWidth="1"/>
    <col min="3849" max="3849" width="1.5703125" customWidth="1"/>
    <col min="3850" max="3850" width="8.5703125" customWidth="1"/>
    <col min="4087" max="4087" width="4.5703125" customWidth="1"/>
    <col min="4088" max="4088" width="6.42578125" customWidth="1"/>
    <col min="4089" max="4089" width="2.7109375" customWidth="1"/>
    <col min="4090" max="4090" width="6.28515625" customWidth="1"/>
    <col min="4091" max="4091" width="6.5703125" customWidth="1"/>
    <col min="4092" max="4092" width="28.5703125" customWidth="1"/>
    <col min="4093" max="4093" width="3.28515625" customWidth="1"/>
    <col min="4094" max="4094" width="1.5703125" customWidth="1"/>
    <col min="4095" max="4095" width="15.140625" customWidth="1"/>
    <col min="4096" max="4096" width="1.5703125" customWidth="1"/>
    <col min="4097" max="4097" width="13.5703125" customWidth="1"/>
    <col min="4098" max="4098" width="1.5703125" customWidth="1"/>
    <col min="4099" max="4099" width="4.7109375" customWidth="1"/>
    <col min="4100" max="4100" width="1.42578125" customWidth="1"/>
    <col min="4101" max="4101" width="3.28515625" customWidth="1"/>
    <col min="4102" max="4102" width="2" customWidth="1"/>
    <col min="4103" max="4103" width="5.5703125" customWidth="1"/>
    <col min="4104" max="4104" width="1.7109375" customWidth="1"/>
    <col min="4105" max="4105" width="1.5703125" customWidth="1"/>
    <col min="4106" max="4106" width="8.5703125" customWidth="1"/>
    <col min="4343" max="4343" width="4.5703125" customWidth="1"/>
    <col min="4344" max="4344" width="6.42578125" customWidth="1"/>
    <col min="4345" max="4345" width="2.7109375" customWidth="1"/>
    <col min="4346" max="4346" width="6.28515625" customWidth="1"/>
    <col min="4347" max="4347" width="6.5703125" customWidth="1"/>
    <col min="4348" max="4348" width="28.5703125" customWidth="1"/>
    <col min="4349" max="4349" width="3.28515625" customWidth="1"/>
    <col min="4350" max="4350" width="1.5703125" customWidth="1"/>
    <col min="4351" max="4351" width="15.140625" customWidth="1"/>
    <col min="4352" max="4352" width="1.5703125" customWidth="1"/>
    <col min="4353" max="4353" width="13.5703125" customWidth="1"/>
    <col min="4354" max="4354" width="1.5703125" customWidth="1"/>
    <col min="4355" max="4355" width="4.7109375" customWidth="1"/>
    <col min="4356" max="4356" width="1.42578125" customWidth="1"/>
    <col min="4357" max="4357" width="3.28515625" customWidth="1"/>
    <col min="4358" max="4358" width="2" customWidth="1"/>
    <col min="4359" max="4359" width="5.5703125" customWidth="1"/>
    <col min="4360" max="4360" width="1.7109375" customWidth="1"/>
    <col min="4361" max="4361" width="1.5703125" customWidth="1"/>
    <col min="4362" max="4362" width="8.5703125" customWidth="1"/>
    <col min="4599" max="4599" width="4.5703125" customWidth="1"/>
    <col min="4600" max="4600" width="6.42578125" customWidth="1"/>
    <col min="4601" max="4601" width="2.7109375" customWidth="1"/>
    <col min="4602" max="4602" width="6.28515625" customWidth="1"/>
    <col min="4603" max="4603" width="6.5703125" customWidth="1"/>
    <col min="4604" max="4604" width="28.5703125" customWidth="1"/>
    <col min="4605" max="4605" width="3.28515625" customWidth="1"/>
    <col min="4606" max="4606" width="1.5703125" customWidth="1"/>
    <col min="4607" max="4607" width="15.140625" customWidth="1"/>
    <col min="4608" max="4608" width="1.5703125" customWidth="1"/>
    <col min="4609" max="4609" width="13.5703125" customWidth="1"/>
    <col min="4610" max="4610" width="1.5703125" customWidth="1"/>
    <col min="4611" max="4611" width="4.7109375" customWidth="1"/>
    <col min="4612" max="4612" width="1.42578125" customWidth="1"/>
    <col min="4613" max="4613" width="3.28515625" customWidth="1"/>
    <col min="4614" max="4614" width="2" customWidth="1"/>
    <col min="4615" max="4615" width="5.5703125" customWidth="1"/>
    <col min="4616" max="4616" width="1.7109375" customWidth="1"/>
    <col min="4617" max="4617" width="1.5703125" customWidth="1"/>
    <col min="4618" max="4618" width="8.5703125" customWidth="1"/>
    <col min="4855" max="4855" width="4.5703125" customWidth="1"/>
    <col min="4856" max="4856" width="6.42578125" customWidth="1"/>
    <col min="4857" max="4857" width="2.7109375" customWidth="1"/>
    <col min="4858" max="4858" width="6.28515625" customWidth="1"/>
    <col min="4859" max="4859" width="6.5703125" customWidth="1"/>
    <col min="4860" max="4860" width="28.5703125" customWidth="1"/>
    <col min="4861" max="4861" width="3.28515625" customWidth="1"/>
    <col min="4862" max="4862" width="1.5703125" customWidth="1"/>
    <col min="4863" max="4863" width="15.140625" customWidth="1"/>
    <col min="4864" max="4864" width="1.5703125" customWidth="1"/>
    <col min="4865" max="4865" width="13.5703125" customWidth="1"/>
    <col min="4866" max="4866" width="1.5703125" customWidth="1"/>
    <col min="4867" max="4867" width="4.7109375" customWidth="1"/>
    <col min="4868" max="4868" width="1.42578125" customWidth="1"/>
    <col min="4869" max="4869" width="3.28515625" customWidth="1"/>
    <col min="4870" max="4870" width="2" customWidth="1"/>
    <col min="4871" max="4871" width="5.5703125" customWidth="1"/>
    <col min="4872" max="4872" width="1.7109375" customWidth="1"/>
    <col min="4873" max="4873" width="1.5703125" customWidth="1"/>
    <col min="4874" max="4874" width="8.5703125" customWidth="1"/>
    <col min="5111" max="5111" width="4.5703125" customWidth="1"/>
    <col min="5112" max="5112" width="6.42578125" customWidth="1"/>
    <col min="5113" max="5113" width="2.7109375" customWidth="1"/>
    <col min="5114" max="5114" width="6.28515625" customWidth="1"/>
    <col min="5115" max="5115" width="6.5703125" customWidth="1"/>
    <col min="5116" max="5116" width="28.5703125" customWidth="1"/>
    <col min="5117" max="5117" width="3.28515625" customWidth="1"/>
    <col min="5118" max="5118" width="1.5703125" customWidth="1"/>
    <col min="5119" max="5119" width="15.140625" customWidth="1"/>
    <col min="5120" max="5120" width="1.5703125" customWidth="1"/>
    <col min="5121" max="5121" width="13.5703125" customWidth="1"/>
    <col min="5122" max="5122" width="1.5703125" customWidth="1"/>
    <col min="5123" max="5123" width="4.7109375" customWidth="1"/>
    <col min="5124" max="5124" width="1.42578125" customWidth="1"/>
    <col min="5125" max="5125" width="3.28515625" customWidth="1"/>
    <col min="5126" max="5126" width="2" customWidth="1"/>
    <col min="5127" max="5127" width="5.5703125" customWidth="1"/>
    <col min="5128" max="5128" width="1.7109375" customWidth="1"/>
    <col min="5129" max="5129" width="1.5703125" customWidth="1"/>
    <col min="5130" max="5130" width="8.5703125" customWidth="1"/>
    <col min="5367" max="5367" width="4.5703125" customWidth="1"/>
    <col min="5368" max="5368" width="6.42578125" customWidth="1"/>
    <col min="5369" max="5369" width="2.7109375" customWidth="1"/>
    <col min="5370" max="5370" width="6.28515625" customWidth="1"/>
    <col min="5371" max="5371" width="6.5703125" customWidth="1"/>
    <col min="5372" max="5372" width="28.5703125" customWidth="1"/>
    <col min="5373" max="5373" width="3.28515625" customWidth="1"/>
    <col min="5374" max="5374" width="1.5703125" customWidth="1"/>
    <col min="5375" max="5375" width="15.140625" customWidth="1"/>
    <col min="5376" max="5376" width="1.5703125" customWidth="1"/>
    <col min="5377" max="5377" width="13.5703125" customWidth="1"/>
    <col min="5378" max="5378" width="1.5703125" customWidth="1"/>
    <col min="5379" max="5379" width="4.7109375" customWidth="1"/>
    <col min="5380" max="5380" width="1.42578125" customWidth="1"/>
    <col min="5381" max="5381" width="3.28515625" customWidth="1"/>
    <col min="5382" max="5382" width="2" customWidth="1"/>
    <col min="5383" max="5383" width="5.5703125" customWidth="1"/>
    <col min="5384" max="5384" width="1.7109375" customWidth="1"/>
    <col min="5385" max="5385" width="1.5703125" customWidth="1"/>
    <col min="5386" max="5386" width="8.5703125" customWidth="1"/>
    <col min="5623" max="5623" width="4.5703125" customWidth="1"/>
    <col min="5624" max="5624" width="6.42578125" customWidth="1"/>
    <col min="5625" max="5625" width="2.7109375" customWidth="1"/>
    <col min="5626" max="5626" width="6.28515625" customWidth="1"/>
    <col min="5627" max="5627" width="6.5703125" customWidth="1"/>
    <col min="5628" max="5628" width="28.5703125" customWidth="1"/>
    <col min="5629" max="5629" width="3.28515625" customWidth="1"/>
    <col min="5630" max="5630" width="1.5703125" customWidth="1"/>
    <col min="5631" max="5631" width="15.140625" customWidth="1"/>
    <col min="5632" max="5632" width="1.5703125" customWidth="1"/>
    <col min="5633" max="5633" width="13.5703125" customWidth="1"/>
    <col min="5634" max="5634" width="1.5703125" customWidth="1"/>
    <col min="5635" max="5635" width="4.7109375" customWidth="1"/>
    <col min="5636" max="5636" width="1.42578125" customWidth="1"/>
    <col min="5637" max="5637" width="3.28515625" customWidth="1"/>
    <col min="5638" max="5638" width="2" customWidth="1"/>
    <col min="5639" max="5639" width="5.5703125" customWidth="1"/>
    <col min="5640" max="5640" width="1.7109375" customWidth="1"/>
    <col min="5641" max="5641" width="1.5703125" customWidth="1"/>
    <col min="5642" max="5642" width="8.5703125" customWidth="1"/>
    <col min="5879" max="5879" width="4.5703125" customWidth="1"/>
    <col min="5880" max="5880" width="6.42578125" customWidth="1"/>
    <col min="5881" max="5881" width="2.7109375" customWidth="1"/>
    <col min="5882" max="5882" width="6.28515625" customWidth="1"/>
    <col min="5883" max="5883" width="6.5703125" customWidth="1"/>
    <col min="5884" max="5884" width="28.5703125" customWidth="1"/>
    <col min="5885" max="5885" width="3.28515625" customWidth="1"/>
    <col min="5886" max="5886" width="1.5703125" customWidth="1"/>
    <col min="5887" max="5887" width="15.140625" customWidth="1"/>
    <col min="5888" max="5888" width="1.5703125" customWidth="1"/>
    <col min="5889" max="5889" width="13.5703125" customWidth="1"/>
    <col min="5890" max="5890" width="1.5703125" customWidth="1"/>
    <col min="5891" max="5891" width="4.7109375" customWidth="1"/>
    <col min="5892" max="5892" width="1.42578125" customWidth="1"/>
    <col min="5893" max="5893" width="3.28515625" customWidth="1"/>
    <col min="5894" max="5894" width="2" customWidth="1"/>
    <col min="5895" max="5895" width="5.5703125" customWidth="1"/>
    <col min="5896" max="5896" width="1.7109375" customWidth="1"/>
    <col min="5897" max="5897" width="1.5703125" customWidth="1"/>
    <col min="5898" max="5898" width="8.5703125" customWidth="1"/>
    <col min="6135" max="6135" width="4.5703125" customWidth="1"/>
    <col min="6136" max="6136" width="6.42578125" customWidth="1"/>
    <col min="6137" max="6137" width="2.7109375" customWidth="1"/>
    <col min="6138" max="6138" width="6.28515625" customWidth="1"/>
    <col min="6139" max="6139" width="6.5703125" customWidth="1"/>
    <col min="6140" max="6140" width="28.5703125" customWidth="1"/>
    <col min="6141" max="6141" width="3.28515625" customWidth="1"/>
    <col min="6142" max="6142" width="1.5703125" customWidth="1"/>
    <col min="6143" max="6143" width="15.140625" customWidth="1"/>
    <col min="6144" max="6144" width="1.5703125" customWidth="1"/>
    <col min="6145" max="6145" width="13.5703125" customWidth="1"/>
    <col min="6146" max="6146" width="1.5703125" customWidth="1"/>
    <col min="6147" max="6147" width="4.7109375" customWidth="1"/>
    <col min="6148" max="6148" width="1.42578125" customWidth="1"/>
    <col min="6149" max="6149" width="3.28515625" customWidth="1"/>
    <col min="6150" max="6150" width="2" customWidth="1"/>
    <col min="6151" max="6151" width="5.5703125" customWidth="1"/>
    <col min="6152" max="6152" width="1.7109375" customWidth="1"/>
    <col min="6153" max="6153" width="1.5703125" customWidth="1"/>
    <col min="6154" max="6154" width="8.5703125" customWidth="1"/>
    <col min="6391" max="6391" width="4.5703125" customWidth="1"/>
    <col min="6392" max="6392" width="6.42578125" customWidth="1"/>
    <col min="6393" max="6393" width="2.7109375" customWidth="1"/>
    <col min="6394" max="6394" width="6.28515625" customWidth="1"/>
    <col min="6395" max="6395" width="6.5703125" customWidth="1"/>
    <col min="6396" max="6396" width="28.5703125" customWidth="1"/>
    <col min="6397" max="6397" width="3.28515625" customWidth="1"/>
    <col min="6398" max="6398" width="1.5703125" customWidth="1"/>
    <col min="6399" max="6399" width="15.140625" customWidth="1"/>
    <col min="6400" max="6400" width="1.5703125" customWidth="1"/>
    <col min="6401" max="6401" width="13.5703125" customWidth="1"/>
    <col min="6402" max="6402" width="1.5703125" customWidth="1"/>
    <col min="6403" max="6403" width="4.7109375" customWidth="1"/>
    <col min="6404" max="6404" width="1.42578125" customWidth="1"/>
    <col min="6405" max="6405" width="3.28515625" customWidth="1"/>
    <col min="6406" max="6406" width="2" customWidth="1"/>
    <col min="6407" max="6407" width="5.5703125" customWidth="1"/>
    <col min="6408" max="6408" width="1.7109375" customWidth="1"/>
    <col min="6409" max="6409" width="1.5703125" customWidth="1"/>
    <col min="6410" max="6410" width="8.5703125" customWidth="1"/>
    <col min="6647" max="6647" width="4.5703125" customWidth="1"/>
    <col min="6648" max="6648" width="6.42578125" customWidth="1"/>
    <col min="6649" max="6649" width="2.7109375" customWidth="1"/>
    <col min="6650" max="6650" width="6.28515625" customWidth="1"/>
    <col min="6651" max="6651" width="6.5703125" customWidth="1"/>
    <col min="6652" max="6652" width="28.5703125" customWidth="1"/>
    <col min="6653" max="6653" width="3.28515625" customWidth="1"/>
    <col min="6654" max="6654" width="1.5703125" customWidth="1"/>
    <col min="6655" max="6655" width="15.140625" customWidth="1"/>
    <col min="6656" max="6656" width="1.5703125" customWidth="1"/>
    <col min="6657" max="6657" width="13.5703125" customWidth="1"/>
    <col min="6658" max="6658" width="1.5703125" customWidth="1"/>
    <col min="6659" max="6659" width="4.7109375" customWidth="1"/>
    <col min="6660" max="6660" width="1.42578125" customWidth="1"/>
    <col min="6661" max="6661" width="3.28515625" customWidth="1"/>
    <col min="6662" max="6662" width="2" customWidth="1"/>
    <col min="6663" max="6663" width="5.5703125" customWidth="1"/>
    <col min="6664" max="6664" width="1.7109375" customWidth="1"/>
    <col min="6665" max="6665" width="1.5703125" customWidth="1"/>
    <col min="6666" max="6666" width="8.5703125" customWidth="1"/>
    <col min="6903" max="6903" width="4.5703125" customWidth="1"/>
    <col min="6904" max="6904" width="6.42578125" customWidth="1"/>
    <col min="6905" max="6905" width="2.7109375" customWidth="1"/>
    <col min="6906" max="6906" width="6.28515625" customWidth="1"/>
    <col min="6907" max="6907" width="6.5703125" customWidth="1"/>
    <col min="6908" max="6908" width="28.5703125" customWidth="1"/>
    <col min="6909" max="6909" width="3.28515625" customWidth="1"/>
    <col min="6910" max="6910" width="1.5703125" customWidth="1"/>
    <col min="6911" max="6911" width="15.140625" customWidth="1"/>
    <col min="6912" max="6912" width="1.5703125" customWidth="1"/>
    <col min="6913" max="6913" width="13.5703125" customWidth="1"/>
    <col min="6914" max="6914" width="1.5703125" customWidth="1"/>
    <col min="6915" max="6915" width="4.7109375" customWidth="1"/>
    <col min="6916" max="6916" width="1.42578125" customWidth="1"/>
    <col min="6917" max="6917" width="3.28515625" customWidth="1"/>
    <col min="6918" max="6918" width="2" customWidth="1"/>
    <col min="6919" max="6919" width="5.5703125" customWidth="1"/>
    <col min="6920" max="6920" width="1.7109375" customWidth="1"/>
    <col min="6921" max="6921" width="1.5703125" customWidth="1"/>
    <col min="6922" max="6922" width="8.5703125" customWidth="1"/>
    <col min="7159" max="7159" width="4.5703125" customWidth="1"/>
    <col min="7160" max="7160" width="6.42578125" customWidth="1"/>
    <col min="7161" max="7161" width="2.7109375" customWidth="1"/>
    <col min="7162" max="7162" width="6.28515625" customWidth="1"/>
    <col min="7163" max="7163" width="6.5703125" customWidth="1"/>
    <col min="7164" max="7164" width="28.5703125" customWidth="1"/>
    <col min="7165" max="7165" width="3.28515625" customWidth="1"/>
    <col min="7166" max="7166" width="1.5703125" customWidth="1"/>
    <col min="7167" max="7167" width="15.140625" customWidth="1"/>
    <col min="7168" max="7168" width="1.5703125" customWidth="1"/>
    <col min="7169" max="7169" width="13.5703125" customWidth="1"/>
    <col min="7170" max="7170" width="1.5703125" customWidth="1"/>
    <col min="7171" max="7171" width="4.7109375" customWidth="1"/>
    <col min="7172" max="7172" width="1.42578125" customWidth="1"/>
    <col min="7173" max="7173" width="3.28515625" customWidth="1"/>
    <col min="7174" max="7174" width="2" customWidth="1"/>
    <col min="7175" max="7175" width="5.5703125" customWidth="1"/>
    <col min="7176" max="7176" width="1.7109375" customWidth="1"/>
    <col min="7177" max="7177" width="1.5703125" customWidth="1"/>
    <col min="7178" max="7178" width="8.5703125" customWidth="1"/>
    <col min="7415" max="7415" width="4.5703125" customWidth="1"/>
    <col min="7416" max="7416" width="6.42578125" customWidth="1"/>
    <col min="7417" max="7417" width="2.7109375" customWidth="1"/>
    <col min="7418" max="7418" width="6.28515625" customWidth="1"/>
    <col min="7419" max="7419" width="6.5703125" customWidth="1"/>
    <col min="7420" max="7420" width="28.5703125" customWidth="1"/>
    <col min="7421" max="7421" width="3.28515625" customWidth="1"/>
    <col min="7422" max="7422" width="1.5703125" customWidth="1"/>
    <col min="7423" max="7423" width="15.140625" customWidth="1"/>
    <col min="7424" max="7424" width="1.5703125" customWidth="1"/>
    <col min="7425" max="7425" width="13.5703125" customWidth="1"/>
    <col min="7426" max="7426" width="1.5703125" customWidth="1"/>
    <col min="7427" max="7427" width="4.7109375" customWidth="1"/>
    <col min="7428" max="7428" width="1.42578125" customWidth="1"/>
    <col min="7429" max="7429" width="3.28515625" customWidth="1"/>
    <col min="7430" max="7430" width="2" customWidth="1"/>
    <col min="7431" max="7431" width="5.5703125" customWidth="1"/>
    <col min="7432" max="7432" width="1.7109375" customWidth="1"/>
    <col min="7433" max="7433" width="1.5703125" customWidth="1"/>
    <col min="7434" max="7434" width="8.5703125" customWidth="1"/>
    <col min="7671" max="7671" width="4.5703125" customWidth="1"/>
    <col min="7672" max="7672" width="6.42578125" customWidth="1"/>
    <col min="7673" max="7673" width="2.7109375" customWidth="1"/>
    <col min="7674" max="7674" width="6.28515625" customWidth="1"/>
    <col min="7675" max="7675" width="6.5703125" customWidth="1"/>
    <col min="7676" max="7676" width="28.5703125" customWidth="1"/>
    <col min="7677" max="7677" width="3.28515625" customWidth="1"/>
    <col min="7678" max="7678" width="1.5703125" customWidth="1"/>
    <col min="7679" max="7679" width="15.140625" customWidth="1"/>
    <col min="7680" max="7680" width="1.5703125" customWidth="1"/>
    <col min="7681" max="7681" width="13.5703125" customWidth="1"/>
    <col min="7682" max="7682" width="1.5703125" customWidth="1"/>
    <col min="7683" max="7683" width="4.7109375" customWidth="1"/>
    <col min="7684" max="7684" width="1.42578125" customWidth="1"/>
    <col min="7685" max="7685" width="3.28515625" customWidth="1"/>
    <col min="7686" max="7686" width="2" customWidth="1"/>
    <col min="7687" max="7687" width="5.5703125" customWidth="1"/>
    <col min="7688" max="7688" width="1.7109375" customWidth="1"/>
    <col min="7689" max="7689" width="1.5703125" customWidth="1"/>
    <col min="7690" max="7690" width="8.5703125" customWidth="1"/>
    <col min="7927" max="7927" width="4.5703125" customWidth="1"/>
    <col min="7928" max="7928" width="6.42578125" customWidth="1"/>
    <col min="7929" max="7929" width="2.7109375" customWidth="1"/>
    <col min="7930" max="7930" width="6.28515625" customWidth="1"/>
    <col min="7931" max="7931" width="6.5703125" customWidth="1"/>
    <col min="7932" max="7932" width="28.5703125" customWidth="1"/>
    <col min="7933" max="7933" width="3.28515625" customWidth="1"/>
    <col min="7934" max="7934" width="1.5703125" customWidth="1"/>
    <col min="7935" max="7935" width="15.140625" customWidth="1"/>
    <col min="7936" max="7936" width="1.5703125" customWidth="1"/>
    <col min="7937" max="7937" width="13.5703125" customWidth="1"/>
    <col min="7938" max="7938" width="1.5703125" customWidth="1"/>
    <col min="7939" max="7939" width="4.7109375" customWidth="1"/>
    <col min="7940" max="7940" width="1.42578125" customWidth="1"/>
    <col min="7941" max="7941" width="3.28515625" customWidth="1"/>
    <col min="7942" max="7942" width="2" customWidth="1"/>
    <col min="7943" max="7943" width="5.5703125" customWidth="1"/>
    <col min="7944" max="7944" width="1.7109375" customWidth="1"/>
    <col min="7945" max="7945" width="1.5703125" customWidth="1"/>
    <col min="7946" max="7946" width="8.5703125" customWidth="1"/>
    <col min="8183" max="8183" width="4.5703125" customWidth="1"/>
    <col min="8184" max="8184" width="6.42578125" customWidth="1"/>
    <col min="8185" max="8185" width="2.7109375" customWidth="1"/>
    <col min="8186" max="8186" width="6.28515625" customWidth="1"/>
    <col min="8187" max="8187" width="6.5703125" customWidth="1"/>
    <col min="8188" max="8188" width="28.5703125" customWidth="1"/>
    <col min="8189" max="8189" width="3.28515625" customWidth="1"/>
    <col min="8190" max="8190" width="1.5703125" customWidth="1"/>
    <col min="8191" max="8191" width="15.140625" customWidth="1"/>
    <col min="8192" max="8192" width="1.5703125" customWidth="1"/>
    <col min="8193" max="8193" width="13.5703125" customWidth="1"/>
    <col min="8194" max="8194" width="1.5703125" customWidth="1"/>
    <col min="8195" max="8195" width="4.7109375" customWidth="1"/>
    <col min="8196" max="8196" width="1.42578125" customWidth="1"/>
    <col min="8197" max="8197" width="3.28515625" customWidth="1"/>
    <col min="8198" max="8198" width="2" customWidth="1"/>
    <col min="8199" max="8199" width="5.5703125" customWidth="1"/>
    <col min="8200" max="8200" width="1.7109375" customWidth="1"/>
    <col min="8201" max="8201" width="1.5703125" customWidth="1"/>
    <col min="8202" max="8202" width="8.5703125" customWidth="1"/>
    <col min="8439" max="8439" width="4.5703125" customWidth="1"/>
    <col min="8440" max="8440" width="6.42578125" customWidth="1"/>
    <col min="8441" max="8441" width="2.7109375" customWidth="1"/>
    <col min="8442" max="8442" width="6.28515625" customWidth="1"/>
    <col min="8443" max="8443" width="6.5703125" customWidth="1"/>
    <col min="8444" max="8444" width="28.5703125" customWidth="1"/>
    <col min="8445" max="8445" width="3.28515625" customWidth="1"/>
    <col min="8446" max="8446" width="1.5703125" customWidth="1"/>
    <col min="8447" max="8447" width="15.140625" customWidth="1"/>
    <col min="8448" max="8448" width="1.5703125" customWidth="1"/>
    <col min="8449" max="8449" width="13.5703125" customWidth="1"/>
    <col min="8450" max="8450" width="1.5703125" customWidth="1"/>
    <col min="8451" max="8451" width="4.7109375" customWidth="1"/>
    <col min="8452" max="8452" width="1.42578125" customWidth="1"/>
    <col min="8453" max="8453" width="3.28515625" customWidth="1"/>
    <col min="8454" max="8454" width="2" customWidth="1"/>
    <col min="8455" max="8455" width="5.5703125" customWidth="1"/>
    <col min="8456" max="8456" width="1.7109375" customWidth="1"/>
    <col min="8457" max="8457" width="1.5703125" customWidth="1"/>
    <col min="8458" max="8458" width="8.5703125" customWidth="1"/>
    <col min="8695" max="8695" width="4.5703125" customWidth="1"/>
    <col min="8696" max="8696" width="6.42578125" customWidth="1"/>
    <col min="8697" max="8697" width="2.7109375" customWidth="1"/>
    <col min="8698" max="8698" width="6.28515625" customWidth="1"/>
    <col min="8699" max="8699" width="6.5703125" customWidth="1"/>
    <col min="8700" max="8700" width="28.5703125" customWidth="1"/>
    <col min="8701" max="8701" width="3.28515625" customWidth="1"/>
    <col min="8702" max="8702" width="1.5703125" customWidth="1"/>
    <col min="8703" max="8703" width="15.140625" customWidth="1"/>
    <col min="8704" max="8704" width="1.5703125" customWidth="1"/>
    <col min="8705" max="8705" width="13.5703125" customWidth="1"/>
    <col min="8706" max="8706" width="1.5703125" customWidth="1"/>
    <col min="8707" max="8707" width="4.7109375" customWidth="1"/>
    <col min="8708" max="8708" width="1.42578125" customWidth="1"/>
    <col min="8709" max="8709" width="3.28515625" customWidth="1"/>
    <col min="8710" max="8710" width="2" customWidth="1"/>
    <col min="8711" max="8711" width="5.5703125" customWidth="1"/>
    <col min="8712" max="8712" width="1.7109375" customWidth="1"/>
    <col min="8713" max="8713" width="1.5703125" customWidth="1"/>
    <col min="8714" max="8714" width="8.5703125" customWidth="1"/>
    <col min="8951" max="8951" width="4.5703125" customWidth="1"/>
    <col min="8952" max="8952" width="6.42578125" customWidth="1"/>
    <col min="8953" max="8953" width="2.7109375" customWidth="1"/>
    <col min="8954" max="8954" width="6.28515625" customWidth="1"/>
    <col min="8955" max="8955" width="6.5703125" customWidth="1"/>
    <col min="8956" max="8956" width="28.5703125" customWidth="1"/>
    <col min="8957" max="8957" width="3.28515625" customWidth="1"/>
    <col min="8958" max="8958" width="1.5703125" customWidth="1"/>
    <col min="8959" max="8959" width="15.140625" customWidth="1"/>
    <col min="8960" max="8960" width="1.5703125" customWidth="1"/>
    <col min="8961" max="8961" width="13.5703125" customWidth="1"/>
    <col min="8962" max="8962" width="1.5703125" customWidth="1"/>
    <col min="8963" max="8963" width="4.7109375" customWidth="1"/>
    <col min="8964" max="8964" width="1.42578125" customWidth="1"/>
    <col min="8965" max="8965" width="3.28515625" customWidth="1"/>
    <col min="8966" max="8966" width="2" customWidth="1"/>
    <col min="8967" max="8967" width="5.5703125" customWidth="1"/>
    <col min="8968" max="8968" width="1.7109375" customWidth="1"/>
    <col min="8969" max="8969" width="1.5703125" customWidth="1"/>
    <col min="8970" max="8970" width="8.5703125" customWidth="1"/>
    <col min="9207" max="9207" width="4.5703125" customWidth="1"/>
    <col min="9208" max="9208" width="6.42578125" customWidth="1"/>
    <col min="9209" max="9209" width="2.7109375" customWidth="1"/>
    <col min="9210" max="9210" width="6.28515625" customWidth="1"/>
    <col min="9211" max="9211" width="6.5703125" customWidth="1"/>
    <col min="9212" max="9212" width="28.5703125" customWidth="1"/>
    <col min="9213" max="9213" width="3.28515625" customWidth="1"/>
    <col min="9214" max="9214" width="1.5703125" customWidth="1"/>
    <col min="9215" max="9215" width="15.140625" customWidth="1"/>
    <col min="9216" max="9216" width="1.5703125" customWidth="1"/>
    <col min="9217" max="9217" width="13.5703125" customWidth="1"/>
    <col min="9218" max="9218" width="1.5703125" customWidth="1"/>
    <col min="9219" max="9219" width="4.7109375" customWidth="1"/>
    <col min="9220" max="9220" width="1.42578125" customWidth="1"/>
    <col min="9221" max="9221" width="3.28515625" customWidth="1"/>
    <col min="9222" max="9222" width="2" customWidth="1"/>
    <col min="9223" max="9223" width="5.5703125" customWidth="1"/>
    <col min="9224" max="9224" width="1.7109375" customWidth="1"/>
    <col min="9225" max="9225" width="1.5703125" customWidth="1"/>
    <col min="9226" max="9226" width="8.5703125" customWidth="1"/>
    <col min="9463" max="9463" width="4.5703125" customWidth="1"/>
    <col min="9464" max="9464" width="6.42578125" customWidth="1"/>
    <col min="9465" max="9465" width="2.7109375" customWidth="1"/>
    <col min="9466" max="9466" width="6.28515625" customWidth="1"/>
    <col min="9467" max="9467" width="6.5703125" customWidth="1"/>
    <col min="9468" max="9468" width="28.5703125" customWidth="1"/>
    <col min="9469" max="9469" width="3.28515625" customWidth="1"/>
    <col min="9470" max="9470" width="1.5703125" customWidth="1"/>
    <col min="9471" max="9471" width="15.140625" customWidth="1"/>
    <col min="9472" max="9472" width="1.5703125" customWidth="1"/>
    <col min="9473" max="9473" width="13.5703125" customWidth="1"/>
    <col min="9474" max="9474" width="1.5703125" customWidth="1"/>
    <col min="9475" max="9475" width="4.7109375" customWidth="1"/>
    <col min="9476" max="9476" width="1.42578125" customWidth="1"/>
    <col min="9477" max="9477" width="3.28515625" customWidth="1"/>
    <col min="9478" max="9478" width="2" customWidth="1"/>
    <col min="9479" max="9479" width="5.5703125" customWidth="1"/>
    <col min="9480" max="9480" width="1.7109375" customWidth="1"/>
    <col min="9481" max="9481" width="1.5703125" customWidth="1"/>
    <col min="9482" max="9482" width="8.5703125" customWidth="1"/>
    <col min="9719" max="9719" width="4.5703125" customWidth="1"/>
    <col min="9720" max="9720" width="6.42578125" customWidth="1"/>
    <col min="9721" max="9721" width="2.7109375" customWidth="1"/>
    <col min="9722" max="9722" width="6.28515625" customWidth="1"/>
    <col min="9723" max="9723" width="6.5703125" customWidth="1"/>
    <col min="9724" max="9724" width="28.5703125" customWidth="1"/>
    <col min="9725" max="9725" width="3.28515625" customWidth="1"/>
    <col min="9726" max="9726" width="1.5703125" customWidth="1"/>
    <col min="9727" max="9727" width="15.140625" customWidth="1"/>
    <col min="9728" max="9728" width="1.5703125" customWidth="1"/>
    <col min="9729" max="9729" width="13.5703125" customWidth="1"/>
    <col min="9730" max="9730" width="1.5703125" customWidth="1"/>
    <col min="9731" max="9731" width="4.7109375" customWidth="1"/>
    <col min="9732" max="9732" width="1.42578125" customWidth="1"/>
    <col min="9733" max="9733" width="3.28515625" customWidth="1"/>
    <col min="9734" max="9734" width="2" customWidth="1"/>
    <col min="9735" max="9735" width="5.5703125" customWidth="1"/>
    <col min="9736" max="9736" width="1.7109375" customWidth="1"/>
    <col min="9737" max="9737" width="1.5703125" customWidth="1"/>
    <col min="9738" max="9738" width="8.5703125" customWidth="1"/>
    <col min="9975" max="9975" width="4.5703125" customWidth="1"/>
    <col min="9976" max="9976" width="6.42578125" customWidth="1"/>
    <col min="9977" max="9977" width="2.7109375" customWidth="1"/>
    <col min="9978" max="9978" width="6.28515625" customWidth="1"/>
    <col min="9979" max="9979" width="6.5703125" customWidth="1"/>
    <col min="9980" max="9980" width="28.5703125" customWidth="1"/>
    <col min="9981" max="9981" width="3.28515625" customWidth="1"/>
    <col min="9982" max="9982" width="1.5703125" customWidth="1"/>
    <col min="9983" max="9983" width="15.140625" customWidth="1"/>
    <col min="9984" max="9984" width="1.5703125" customWidth="1"/>
    <col min="9985" max="9985" width="13.5703125" customWidth="1"/>
    <col min="9986" max="9986" width="1.5703125" customWidth="1"/>
    <col min="9987" max="9987" width="4.7109375" customWidth="1"/>
    <col min="9988" max="9988" width="1.42578125" customWidth="1"/>
    <col min="9989" max="9989" width="3.28515625" customWidth="1"/>
    <col min="9990" max="9990" width="2" customWidth="1"/>
    <col min="9991" max="9991" width="5.5703125" customWidth="1"/>
    <col min="9992" max="9992" width="1.7109375" customWidth="1"/>
    <col min="9993" max="9993" width="1.5703125" customWidth="1"/>
    <col min="9994" max="9994" width="8.5703125" customWidth="1"/>
    <col min="10231" max="10231" width="4.5703125" customWidth="1"/>
    <col min="10232" max="10232" width="6.42578125" customWidth="1"/>
    <col min="10233" max="10233" width="2.7109375" customWidth="1"/>
    <col min="10234" max="10234" width="6.28515625" customWidth="1"/>
    <col min="10235" max="10235" width="6.5703125" customWidth="1"/>
    <col min="10236" max="10236" width="28.5703125" customWidth="1"/>
    <col min="10237" max="10237" width="3.28515625" customWidth="1"/>
    <col min="10238" max="10238" width="1.5703125" customWidth="1"/>
    <col min="10239" max="10239" width="15.140625" customWidth="1"/>
    <col min="10240" max="10240" width="1.5703125" customWidth="1"/>
    <col min="10241" max="10241" width="13.5703125" customWidth="1"/>
    <col min="10242" max="10242" width="1.5703125" customWidth="1"/>
    <col min="10243" max="10243" width="4.7109375" customWidth="1"/>
    <col min="10244" max="10244" width="1.42578125" customWidth="1"/>
    <col min="10245" max="10245" width="3.28515625" customWidth="1"/>
    <col min="10246" max="10246" width="2" customWidth="1"/>
    <col min="10247" max="10247" width="5.5703125" customWidth="1"/>
    <col min="10248" max="10248" width="1.7109375" customWidth="1"/>
    <col min="10249" max="10249" width="1.5703125" customWidth="1"/>
    <col min="10250" max="10250" width="8.5703125" customWidth="1"/>
    <col min="10487" max="10487" width="4.5703125" customWidth="1"/>
    <col min="10488" max="10488" width="6.42578125" customWidth="1"/>
    <col min="10489" max="10489" width="2.7109375" customWidth="1"/>
    <col min="10490" max="10490" width="6.28515625" customWidth="1"/>
    <col min="10491" max="10491" width="6.5703125" customWidth="1"/>
    <col min="10492" max="10492" width="28.5703125" customWidth="1"/>
    <col min="10493" max="10493" width="3.28515625" customWidth="1"/>
    <col min="10494" max="10494" width="1.5703125" customWidth="1"/>
    <col min="10495" max="10495" width="15.140625" customWidth="1"/>
    <col min="10496" max="10496" width="1.5703125" customWidth="1"/>
    <col min="10497" max="10497" width="13.5703125" customWidth="1"/>
    <col min="10498" max="10498" width="1.5703125" customWidth="1"/>
    <col min="10499" max="10499" width="4.7109375" customWidth="1"/>
    <col min="10500" max="10500" width="1.42578125" customWidth="1"/>
    <col min="10501" max="10501" width="3.28515625" customWidth="1"/>
    <col min="10502" max="10502" width="2" customWidth="1"/>
    <col min="10503" max="10503" width="5.5703125" customWidth="1"/>
    <col min="10504" max="10504" width="1.7109375" customWidth="1"/>
    <col min="10505" max="10505" width="1.5703125" customWidth="1"/>
    <col min="10506" max="10506" width="8.5703125" customWidth="1"/>
    <col min="10743" max="10743" width="4.5703125" customWidth="1"/>
    <col min="10744" max="10744" width="6.42578125" customWidth="1"/>
    <col min="10745" max="10745" width="2.7109375" customWidth="1"/>
    <col min="10746" max="10746" width="6.28515625" customWidth="1"/>
    <col min="10747" max="10747" width="6.5703125" customWidth="1"/>
    <col min="10748" max="10748" width="28.5703125" customWidth="1"/>
    <col min="10749" max="10749" width="3.28515625" customWidth="1"/>
    <col min="10750" max="10750" width="1.5703125" customWidth="1"/>
    <col min="10751" max="10751" width="15.140625" customWidth="1"/>
    <col min="10752" max="10752" width="1.5703125" customWidth="1"/>
    <col min="10753" max="10753" width="13.5703125" customWidth="1"/>
    <col min="10754" max="10754" width="1.5703125" customWidth="1"/>
    <col min="10755" max="10755" width="4.7109375" customWidth="1"/>
    <col min="10756" max="10756" width="1.42578125" customWidth="1"/>
    <col min="10757" max="10757" width="3.28515625" customWidth="1"/>
    <col min="10758" max="10758" width="2" customWidth="1"/>
    <col min="10759" max="10759" width="5.5703125" customWidth="1"/>
    <col min="10760" max="10760" width="1.7109375" customWidth="1"/>
    <col min="10761" max="10761" width="1.5703125" customWidth="1"/>
    <col min="10762" max="10762" width="8.5703125" customWidth="1"/>
    <col min="10999" max="10999" width="4.5703125" customWidth="1"/>
    <col min="11000" max="11000" width="6.42578125" customWidth="1"/>
    <col min="11001" max="11001" width="2.7109375" customWidth="1"/>
    <col min="11002" max="11002" width="6.28515625" customWidth="1"/>
    <col min="11003" max="11003" width="6.5703125" customWidth="1"/>
    <col min="11004" max="11004" width="28.5703125" customWidth="1"/>
    <col min="11005" max="11005" width="3.28515625" customWidth="1"/>
    <col min="11006" max="11006" width="1.5703125" customWidth="1"/>
    <col min="11007" max="11007" width="15.140625" customWidth="1"/>
    <col min="11008" max="11008" width="1.5703125" customWidth="1"/>
    <col min="11009" max="11009" width="13.5703125" customWidth="1"/>
    <col min="11010" max="11010" width="1.5703125" customWidth="1"/>
    <col min="11011" max="11011" width="4.7109375" customWidth="1"/>
    <col min="11012" max="11012" width="1.42578125" customWidth="1"/>
    <col min="11013" max="11013" width="3.28515625" customWidth="1"/>
    <col min="11014" max="11014" width="2" customWidth="1"/>
    <col min="11015" max="11015" width="5.5703125" customWidth="1"/>
    <col min="11016" max="11016" width="1.7109375" customWidth="1"/>
    <col min="11017" max="11017" width="1.5703125" customWidth="1"/>
    <col min="11018" max="11018" width="8.5703125" customWidth="1"/>
    <col min="11255" max="11255" width="4.5703125" customWidth="1"/>
    <col min="11256" max="11256" width="6.42578125" customWidth="1"/>
    <col min="11257" max="11257" width="2.7109375" customWidth="1"/>
    <col min="11258" max="11258" width="6.28515625" customWidth="1"/>
    <col min="11259" max="11259" width="6.5703125" customWidth="1"/>
    <col min="11260" max="11260" width="28.5703125" customWidth="1"/>
    <col min="11261" max="11261" width="3.28515625" customWidth="1"/>
    <col min="11262" max="11262" width="1.5703125" customWidth="1"/>
    <col min="11263" max="11263" width="15.140625" customWidth="1"/>
    <col min="11264" max="11264" width="1.5703125" customWidth="1"/>
    <col min="11265" max="11265" width="13.5703125" customWidth="1"/>
    <col min="11266" max="11266" width="1.5703125" customWidth="1"/>
    <col min="11267" max="11267" width="4.7109375" customWidth="1"/>
    <col min="11268" max="11268" width="1.42578125" customWidth="1"/>
    <col min="11269" max="11269" width="3.28515625" customWidth="1"/>
    <col min="11270" max="11270" width="2" customWidth="1"/>
    <col min="11271" max="11271" width="5.5703125" customWidth="1"/>
    <col min="11272" max="11272" width="1.7109375" customWidth="1"/>
    <col min="11273" max="11273" width="1.5703125" customWidth="1"/>
    <col min="11274" max="11274" width="8.5703125" customWidth="1"/>
    <col min="11511" max="11511" width="4.5703125" customWidth="1"/>
    <col min="11512" max="11512" width="6.42578125" customWidth="1"/>
    <col min="11513" max="11513" width="2.7109375" customWidth="1"/>
    <col min="11514" max="11514" width="6.28515625" customWidth="1"/>
    <col min="11515" max="11515" width="6.5703125" customWidth="1"/>
    <col min="11516" max="11516" width="28.5703125" customWidth="1"/>
    <col min="11517" max="11517" width="3.28515625" customWidth="1"/>
    <col min="11518" max="11518" width="1.5703125" customWidth="1"/>
    <col min="11519" max="11519" width="15.140625" customWidth="1"/>
    <col min="11520" max="11520" width="1.5703125" customWidth="1"/>
    <col min="11521" max="11521" width="13.5703125" customWidth="1"/>
    <col min="11522" max="11522" width="1.5703125" customWidth="1"/>
    <col min="11523" max="11523" width="4.7109375" customWidth="1"/>
    <col min="11524" max="11524" width="1.42578125" customWidth="1"/>
    <col min="11525" max="11525" width="3.28515625" customWidth="1"/>
    <col min="11526" max="11526" width="2" customWidth="1"/>
    <col min="11527" max="11527" width="5.5703125" customWidth="1"/>
    <col min="11528" max="11528" width="1.7109375" customWidth="1"/>
    <col min="11529" max="11529" width="1.5703125" customWidth="1"/>
    <col min="11530" max="11530" width="8.5703125" customWidth="1"/>
    <col min="11767" max="11767" width="4.5703125" customWidth="1"/>
    <col min="11768" max="11768" width="6.42578125" customWidth="1"/>
    <col min="11769" max="11769" width="2.7109375" customWidth="1"/>
    <col min="11770" max="11770" width="6.28515625" customWidth="1"/>
    <col min="11771" max="11771" width="6.5703125" customWidth="1"/>
    <col min="11772" max="11772" width="28.5703125" customWidth="1"/>
    <col min="11773" max="11773" width="3.28515625" customWidth="1"/>
    <col min="11774" max="11774" width="1.5703125" customWidth="1"/>
    <col min="11775" max="11775" width="15.140625" customWidth="1"/>
    <col min="11776" max="11776" width="1.5703125" customWidth="1"/>
    <col min="11777" max="11777" width="13.5703125" customWidth="1"/>
    <col min="11778" max="11778" width="1.5703125" customWidth="1"/>
    <col min="11779" max="11779" width="4.7109375" customWidth="1"/>
    <col min="11780" max="11780" width="1.42578125" customWidth="1"/>
    <col min="11781" max="11781" width="3.28515625" customWidth="1"/>
    <col min="11782" max="11782" width="2" customWidth="1"/>
    <col min="11783" max="11783" width="5.5703125" customWidth="1"/>
    <col min="11784" max="11784" width="1.7109375" customWidth="1"/>
    <col min="11785" max="11785" width="1.5703125" customWidth="1"/>
    <col min="11786" max="11786" width="8.5703125" customWidth="1"/>
    <col min="12023" max="12023" width="4.5703125" customWidth="1"/>
    <col min="12024" max="12024" width="6.42578125" customWidth="1"/>
    <col min="12025" max="12025" width="2.7109375" customWidth="1"/>
    <col min="12026" max="12026" width="6.28515625" customWidth="1"/>
    <col min="12027" max="12027" width="6.5703125" customWidth="1"/>
    <col min="12028" max="12028" width="28.5703125" customWidth="1"/>
    <col min="12029" max="12029" width="3.28515625" customWidth="1"/>
    <col min="12030" max="12030" width="1.5703125" customWidth="1"/>
    <col min="12031" max="12031" width="15.140625" customWidth="1"/>
    <col min="12032" max="12032" width="1.5703125" customWidth="1"/>
    <col min="12033" max="12033" width="13.5703125" customWidth="1"/>
    <col min="12034" max="12034" width="1.5703125" customWidth="1"/>
    <col min="12035" max="12035" width="4.7109375" customWidth="1"/>
    <col min="12036" max="12036" width="1.42578125" customWidth="1"/>
    <col min="12037" max="12037" width="3.28515625" customWidth="1"/>
    <col min="12038" max="12038" width="2" customWidth="1"/>
    <col min="12039" max="12039" width="5.5703125" customWidth="1"/>
    <col min="12040" max="12040" width="1.7109375" customWidth="1"/>
    <col min="12041" max="12041" width="1.5703125" customWidth="1"/>
    <col min="12042" max="12042" width="8.5703125" customWidth="1"/>
    <col min="12279" max="12279" width="4.5703125" customWidth="1"/>
    <col min="12280" max="12280" width="6.42578125" customWidth="1"/>
    <col min="12281" max="12281" width="2.7109375" customWidth="1"/>
    <col min="12282" max="12282" width="6.28515625" customWidth="1"/>
    <col min="12283" max="12283" width="6.5703125" customWidth="1"/>
    <col min="12284" max="12284" width="28.5703125" customWidth="1"/>
    <col min="12285" max="12285" width="3.28515625" customWidth="1"/>
    <col min="12286" max="12286" width="1.5703125" customWidth="1"/>
    <col min="12287" max="12287" width="15.140625" customWidth="1"/>
    <col min="12288" max="12288" width="1.5703125" customWidth="1"/>
    <col min="12289" max="12289" width="13.5703125" customWidth="1"/>
    <col min="12290" max="12290" width="1.5703125" customWidth="1"/>
    <col min="12291" max="12291" width="4.7109375" customWidth="1"/>
    <col min="12292" max="12292" width="1.42578125" customWidth="1"/>
    <col min="12293" max="12293" width="3.28515625" customWidth="1"/>
    <col min="12294" max="12294" width="2" customWidth="1"/>
    <col min="12295" max="12295" width="5.5703125" customWidth="1"/>
    <col min="12296" max="12296" width="1.7109375" customWidth="1"/>
    <col min="12297" max="12297" width="1.5703125" customWidth="1"/>
    <col min="12298" max="12298" width="8.5703125" customWidth="1"/>
    <col min="12535" max="12535" width="4.5703125" customWidth="1"/>
    <col min="12536" max="12536" width="6.42578125" customWidth="1"/>
    <col min="12537" max="12537" width="2.7109375" customWidth="1"/>
    <col min="12538" max="12538" width="6.28515625" customWidth="1"/>
    <col min="12539" max="12539" width="6.5703125" customWidth="1"/>
    <col min="12540" max="12540" width="28.5703125" customWidth="1"/>
    <col min="12541" max="12541" width="3.28515625" customWidth="1"/>
    <col min="12542" max="12542" width="1.5703125" customWidth="1"/>
    <col min="12543" max="12543" width="15.140625" customWidth="1"/>
    <col min="12544" max="12544" width="1.5703125" customWidth="1"/>
    <col min="12545" max="12545" width="13.5703125" customWidth="1"/>
    <col min="12546" max="12546" width="1.5703125" customWidth="1"/>
    <col min="12547" max="12547" width="4.7109375" customWidth="1"/>
    <col min="12548" max="12548" width="1.42578125" customWidth="1"/>
    <col min="12549" max="12549" width="3.28515625" customWidth="1"/>
    <col min="12550" max="12550" width="2" customWidth="1"/>
    <col min="12551" max="12551" width="5.5703125" customWidth="1"/>
    <col min="12552" max="12552" width="1.7109375" customWidth="1"/>
    <col min="12553" max="12553" width="1.5703125" customWidth="1"/>
    <col min="12554" max="12554" width="8.5703125" customWidth="1"/>
    <col min="12791" max="12791" width="4.5703125" customWidth="1"/>
    <col min="12792" max="12792" width="6.42578125" customWidth="1"/>
    <col min="12793" max="12793" width="2.7109375" customWidth="1"/>
    <col min="12794" max="12794" width="6.28515625" customWidth="1"/>
    <col min="12795" max="12795" width="6.5703125" customWidth="1"/>
    <col min="12796" max="12796" width="28.5703125" customWidth="1"/>
    <col min="12797" max="12797" width="3.28515625" customWidth="1"/>
    <col min="12798" max="12798" width="1.5703125" customWidth="1"/>
    <col min="12799" max="12799" width="15.140625" customWidth="1"/>
    <col min="12800" max="12800" width="1.5703125" customWidth="1"/>
    <col min="12801" max="12801" width="13.5703125" customWidth="1"/>
    <col min="12802" max="12802" width="1.5703125" customWidth="1"/>
    <col min="12803" max="12803" width="4.7109375" customWidth="1"/>
    <col min="12804" max="12804" width="1.42578125" customWidth="1"/>
    <col min="12805" max="12805" width="3.28515625" customWidth="1"/>
    <col min="12806" max="12806" width="2" customWidth="1"/>
    <col min="12807" max="12807" width="5.5703125" customWidth="1"/>
    <col min="12808" max="12808" width="1.7109375" customWidth="1"/>
    <col min="12809" max="12809" width="1.5703125" customWidth="1"/>
    <col min="12810" max="12810" width="8.5703125" customWidth="1"/>
    <col min="13047" max="13047" width="4.5703125" customWidth="1"/>
    <col min="13048" max="13048" width="6.42578125" customWidth="1"/>
    <col min="13049" max="13049" width="2.7109375" customWidth="1"/>
    <col min="13050" max="13050" width="6.28515625" customWidth="1"/>
    <col min="13051" max="13051" width="6.5703125" customWidth="1"/>
    <col min="13052" max="13052" width="28.5703125" customWidth="1"/>
    <col min="13053" max="13053" width="3.28515625" customWidth="1"/>
    <col min="13054" max="13054" width="1.5703125" customWidth="1"/>
    <col min="13055" max="13055" width="15.140625" customWidth="1"/>
    <col min="13056" max="13056" width="1.5703125" customWidth="1"/>
    <col min="13057" max="13057" width="13.5703125" customWidth="1"/>
    <col min="13058" max="13058" width="1.5703125" customWidth="1"/>
    <col min="13059" max="13059" width="4.7109375" customWidth="1"/>
    <col min="13060" max="13060" width="1.42578125" customWidth="1"/>
    <col min="13061" max="13061" width="3.28515625" customWidth="1"/>
    <col min="13062" max="13062" width="2" customWidth="1"/>
    <col min="13063" max="13063" width="5.5703125" customWidth="1"/>
    <col min="13064" max="13064" width="1.7109375" customWidth="1"/>
    <col min="13065" max="13065" width="1.5703125" customWidth="1"/>
    <col min="13066" max="13066" width="8.5703125" customWidth="1"/>
    <col min="13303" max="13303" width="4.5703125" customWidth="1"/>
    <col min="13304" max="13304" width="6.42578125" customWidth="1"/>
    <col min="13305" max="13305" width="2.7109375" customWidth="1"/>
    <col min="13306" max="13306" width="6.28515625" customWidth="1"/>
    <col min="13307" max="13307" width="6.5703125" customWidth="1"/>
    <col min="13308" max="13308" width="28.5703125" customWidth="1"/>
    <col min="13309" max="13309" width="3.28515625" customWidth="1"/>
    <col min="13310" max="13310" width="1.5703125" customWidth="1"/>
    <col min="13311" max="13311" width="15.140625" customWidth="1"/>
    <col min="13312" max="13312" width="1.5703125" customWidth="1"/>
    <col min="13313" max="13313" width="13.5703125" customWidth="1"/>
    <col min="13314" max="13314" width="1.5703125" customWidth="1"/>
    <col min="13315" max="13315" width="4.7109375" customWidth="1"/>
    <col min="13316" max="13316" width="1.42578125" customWidth="1"/>
    <col min="13317" max="13317" width="3.28515625" customWidth="1"/>
    <col min="13318" max="13318" width="2" customWidth="1"/>
    <col min="13319" max="13319" width="5.5703125" customWidth="1"/>
    <col min="13320" max="13320" width="1.7109375" customWidth="1"/>
    <col min="13321" max="13321" width="1.5703125" customWidth="1"/>
    <col min="13322" max="13322" width="8.5703125" customWidth="1"/>
    <col min="13559" max="13559" width="4.5703125" customWidth="1"/>
    <col min="13560" max="13560" width="6.42578125" customWidth="1"/>
    <col min="13561" max="13561" width="2.7109375" customWidth="1"/>
    <col min="13562" max="13562" width="6.28515625" customWidth="1"/>
    <col min="13563" max="13563" width="6.5703125" customWidth="1"/>
    <col min="13564" max="13564" width="28.5703125" customWidth="1"/>
    <col min="13565" max="13565" width="3.28515625" customWidth="1"/>
    <col min="13566" max="13566" width="1.5703125" customWidth="1"/>
    <col min="13567" max="13567" width="15.140625" customWidth="1"/>
    <col min="13568" max="13568" width="1.5703125" customWidth="1"/>
    <col min="13569" max="13569" width="13.5703125" customWidth="1"/>
    <col min="13570" max="13570" width="1.5703125" customWidth="1"/>
    <col min="13571" max="13571" width="4.7109375" customWidth="1"/>
    <col min="13572" max="13572" width="1.42578125" customWidth="1"/>
    <col min="13573" max="13573" width="3.28515625" customWidth="1"/>
    <col min="13574" max="13574" width="2" customWidth="1"/>
    <col min="13575" max="13575" width="5.5703125" customWidth="1"/>
    <col min="13576" max="13576" width="1.7109375" customWidth="1"/>
    <col min="13577" max="13577" width="1.5703125" customWidth="1"/>
    <col min="13578" max="13578" width="8.5703125" customWidth="1"/>
    <col min="13815" max="13815" width="4.5703125" customWidth="1"/>
    <col min="13816" max="13816" width="6.42578125" customWidth="1"/>
    <col min="13817" max="13817" width="2.7109375" customWidth="1"/>
    <col min="13818" max="13818" width="6.28515625" customWidth="1"/>
    <col min="13819" max="13819" width="6.5703125" customWidth="1"/>
    <col min="13820" max="13820" width="28.5703125" customWidth="1"/>
    <col min="13821" max="13821" width="3.28515625" customWidth="1"/>
    <col min="13822" max="13822" width="1.5703125" customWidth="1"/>
    <col min="13823" max="13823" width="15.140625" customWidth="1"/>
    <col min="13824" max="13824" width="1.5703125" customWidth="1"/>
    <col min="13825" max="13825" width="13.5703125" customWidth="1"/>
    <col min="13826" max="13826" width="1.5703125" customWidth="1"/>
    <col min="13827" max="13827" width="4.7109375" customWidth="1"/>
    <col min="13828" max="13828" width="1.42578125" customWidth="1"/>
    <col min="13829" max="13829" width="3.28515625" customWidth="1"/>
    <col min="13830" max="13830" width="2" customWidth="1"/>
    <col min="13831" max="13831" width="5.5703125" customWidth="1"/>
    <col min="13832" max="13832" width="1.7109375" customWidth="1"/>
    <col min="13833" max="13833" width="1.5703125" customWidth="1"/>
    <col min="13834" max="13834" width="8.5703125" customWidth="1"/>
    <col min="14071" max="14071" width="4.5703125" customWidth="1"/>
    <col min="14072" max="14072" width="6.42578125" customWidth="1"/>
    <col min="14073" max="14073" width="2.7109375" customWidth="1"/>
    <col min="14074" max="14074" width="6.28515625" customWidth="1"/>
    <col min="14075" max="14075" width="6.5703125" customWidth="1"/>
    <col min="14076" max="14076" width="28.5703125" customWidth="1"/>
    <col min="14077" max="14077" width="3.28515625" customWidth="1"/>
    <col min="14078" max="14078" width="1.5703125" customWidth="1"/>
    <col min="14079" max="14079" width="15.140625" customWidth="1"/>
    <col min="14080" max="14080" width="1.5703125" customWidth="1"/>
    <col min="14081" max="14081" width="13.5703125" customWidth="1"/>
    <col min="14082" max="14082" width="1.5703125" customWidth="1"/>
    <col min="14083" max="14083" width="4.7109375" customWidth="1"/>
    <col min="14084" max="14084" width="1.42578125" customWidth="1"/>
    <col min="14085" max="14085" width="3.28515625" customWidth="1"/>
    <col min="14086" max="14086" width="2" customWidth="1"/>
    <col min="14087" max="14087" width="5.5703125" customWidth="1"/>
    <col min="14088" max="14088" width="1.7109375" customWidth="1"/>
    <col min="14089" max="14089" width="1.5703125" customWidth="1"/>
    <col min="14090" max="14090" width="8.5703125" customWidth="1"/>
    <col min="14327" max="14327" width="4.5703125" customWidth="1"/>
    <col min="14328" max="14328" width="6.42578125" customWidth="1"/>
    <col min="14329" max="14329" width="2.7109375" customWidth="1"/>
    <col min="14330" max="14330" width="6.28515625" customWidth="1"/>
    <col min="14331" max="14331" width="6.5703125" customWidth="1"/>
    <col min="14332" max="14332" width="28.5703125" customWidth="1"/>
    <col min="14333" max="14333" width="3.28515625" customWidth="1"/>
    <col min="14334" max="14334" width="1.5703125" customWidth="1"/>
    <col min="14335" max="14335" width="15.140625" customWidth="1"/>
    <col min="14336" max="14336" width="1.5703125" customWidth="1"/>
    <col min="14337" max="14337" width="13.5703125" customWidth="1"/>
    <col min="14338" max="14338" width="1.5703125" customWidth="1"/>
    <col min="14339" max="14339" width="4.7109375" customWidth="1"/>
    <col min="14340" max="14340" width="1.42578125" customWidth="1"/>
    <col min="14341" max="14341" width="3.28515625" customWidth="1"/>
    <col min="14342" max="14342" width="2" customWidth="1"/>
    <col min="14343" max="14343" width="5.5703125" customWidth="1"/>
    <col min="14344" max="14344" width="1.7109375" customWidth="1"/>
    <col min="14345" max="14345" width="1.5703125" customWidth="1"/>
    <col min="14346" max="14346" width="8.5703125" customWidth="1"/>
    <col min="14583" max="14583" width="4.5703125" customWidth="1"/>
    <col min="14584" max="14584" width="6.42578125" customWidth="1"/>
    <col min="14585" max="14585" width="2.7109375" customWidth="1"/>
    <col min="14586" max="14586" width="6.28515625" customWidth="1"/>
    <col min="14587" max="14587" width="6.5703125" customWidth="1"/>
    <col min="14588" max="14588" width="28.5703125" customWidth="1"/>
    <col min="14589" max="14589" width="3.28515625" customWidth="1"/>
    <col min="14590" max="14590" width="1.5703125" customWidth="1"/>
    <col min="14591" max="14591" width="15.140625" customWidth="1"/>
    <col min="14592" max="14592" width="1.5703125" customWidth="1"/>
    <col min="14593" max="14593" width="13.5703125" customWidth="1"/>
    <col min="14594" max="14594" width="1.5703125" customWidth="1"/>
    <col min="14595" max="14595" width="4.7109375" customWidth="1"/>
    <col min="14596" max="14596" width="1.42578125" customWidth="1"/>
    <col min="14597" max="14597" width="3.28515625" customWidth="1"/>
    <col min="14598" max="14598" width="2" customWidth="1"/>
    <col min="14599" max="14599" width="5.5703125" customWidth="1"/>
    <col min="14600" max="14600" width="1.7109375" customWidth="1"/>
    <col min="14601" max="14601" width="1.5703125" customWidth="1"/>
    <col min="14602" max="14602" width="8.5703125" customWidth="1"/>
    <col min="14839" max="14839" width="4.5703125" customWidth="1"/>
    <col min="14840" max="14840" width="6.42578125" customWidth="1"/>
    <col min="14841" max="14841" width="2.7109375" customWidth="1"/>
    <col min="14842" max="14842" width="6.28515625" customWidth="1"/>
    <col min="14843" max="14843" width="6.5703125" customWidth="1"/>
    <col min="14844" max="14844" width="28.5703125" customWidth="1"/>
    <col min="14845" max="14845" width="3.28515625" customWidth="1"/>
    <col min="14846" max="14846" width="1.5703125" customWidth="1"/>
    <col min="14847" max="14847" width="15.140625" customWidth="1"/>
    <col min="14848" max="14848" width="1.5703125" customWidth="1"/>
    <col min="14849" max="14849" width="13.5703125" customWidth="1"/>
    <col min="14850" max="14850" width="1.5703125" customWidth="1"/>
    <col min="14851" max="14851" width="4.7109375" customWidth="1"/>
    <col min="14852" max="14852" width="1.42578125" customWidth="1"/>
    <col min="14853" max="14853" width="3.28515625" customWidth="1"/>
    <col min="14854" max="14854" width="2" customWidth="1"/>
    <col min="14855" max="14855" width="5.5703125" customWidth="1"/>
    <col min="14856" max="14856" width="1.7109375" customWidth="1"/>
    <col min="14857" max="14857" width="1.5703125" customWidth="1"/>
    <col min="14858" max="14858" width="8.5703125" customWidth="1"/>
    <col min="15095" max="15095" width="4.5703125" customWidth="1"/>
    <col min="15096" max="15096" width="6.42578125" customWidth="1"/>
    <col min="15097" max="15097" width="2.7109375" customWidth="1"/>
    <col min="15098" max="15098" width="6.28515625" customWidth="1"/>
    <col min="15099" max="15099" width="6.5703125" customWidth="1"/>
    <col min="15100" max="15100" width="28.5703125" customWidth="1"/>
    <col min="15101" max="15101" width="3.28515625" customWidth="1"/>
    <col min="15102" max="15102" width="1.5703125" customWidth="1"/>
    <col min="15103" max="15103" width="15.140625" customWidth="1"/>
    <col min="15104" max="15104" width="1.5703125" customWidth="1"/>
    <col min="15105" max="15105" width="13.5703125" customWidth="1"/>
    <col min="15106" max="15106" width="1.5703125" customWidth="1"/>
    <col min="15107" max="15107" width="4.7109375" customWidth="1"/>
    <col min="15108" max="15108" width="1.42578125" customWidth="1"/>
    <col min="15109" max="15109" width="3.28515625" customWidth="1"/>
    <col min="15110" max="15110" width="2" customWidth="1"/>
    <col min="15111" max="15111" width="5.5703125" customWidth="1"/>
    <col min="15112" max="15112" width="1.7109375" customWidth="1"/>
    <col min="15113" max="15113" width="1.5703125" customWidth="1"/>
    <col min="15114" max="15114" width="8.5703125" customWidth="1"/>
    <col min="15351" max="15351" width="4.5703125" customWidth="1"/>
    <col min="15352" max="15352" width="6.42578125" customWidth="1"/>
    <col min="15353" max="15353" width="2.7109375" customWidth="1"/>
    <col min="15354" max="15354" width="6.28515625" customWidth="1"/>
    <col min="15355" max="15355" width="6.5703125" customWidth="1"/>
    <col min="15356" max="15356" width="28.5703125" customWidth="1"/>
    <col min="15357" max="15357" width="3.28515625" customWidth="1"/>
    <col min="15358" max="15358" width="1.5703125" customWidth="1"/>
    <col min="15359" max="15359" width="15.140625" customWidth="1"/>
    <col min="15360" max="15360" width="1.5703125" customWidth="1"/>
    <col min="15361" max="15361" width="13.5703125" customWidth="1"/>
    <col min="15362" max="15362" width="1.5703125" customWidth="1"/>
    <col min="15363" max="15363" width="4.7109375" customWidth="1"/>
    <col min="15364" max="15364" width="1.42578125" customWidth="1"/>
    <col min="15365" max="15365" width="3.28515625" customWidth="1"/>
    <col min="15366" max="15366" width="2" customWidth="1"/>
    <col min="15367" max="15367" width="5.5703125" customWidth="1"/>
    <col min="15368" max="15368" width="1.7109375" customWidth="1"/>
    <col min="15369" max="15369" width="1.5703125" customWidth="1"/>
    <col min="15370" max="15370" width="8.5703125" customWidth="1"/>
    <col min="15607" max="15607" width="4.5703125" customWidth="1"/>
    <col min="15608" max="15608" width="6.42578125" customWidth="1"/>
    <col min="15609" max="15609" width="2.7109375" customWidth="1"/>
    <col min="15610" max="15610" width="6.28515625" customWidth="1"/>
    <col min="15611" max="15611" width="6.5703125" customWidth="1"/>
    <col min="15612" max="15612" width="28.5703125" customWidth="1"/>
    <col min="15613" max="15613" width="3.28515625" customWidth="1"/>
    <col min="15614" max="15614" width="1.5703125" customWidth="1"/>
    <col min="15615" max="15615" width="15.140625" customWidth="1"/>
    <col min="15616" max="15616" width="1.5703125" customWidth="1"/>
    <col min="15617" max="15617" width="13.5703125" customWidth="1"/>
    <col min="15618" max="15618" width="1.5703125" customWidth="1"/>
    <col min="15619" max="15619" width="4.7109375" customWidth="1"/>
    <col min="15620" max="15620" width="1.42578125" customWidth="1"/>
    <col min="15621" max="15621" width="3.28515625" customWidth="1"/>
    <col min="15622" max="15622" width="2" customWidth="1"/>
    <col min="15623" max="15623" width="5.5703125" customWidth="1"/>
    <col min="15624" max="15624" width="1.7109375" customWidth="1"/>
    <col min="15625" max="15625" width="1.5703125" customWidth="1"/>
    <col min="15626" max="15626" width="8.5703125" customWidth="1"/>
    <col min="15863" max="15863" width="4.5703125" customWidth="1"/>
    <col min="15864" max="15864" width="6.42578125" customWidth="1"/>
    <col min="15865" max="15865" width="2.7109375" customWidth="1"/>
    <col min="15866" max="15866" width="6.28515625" customWidth="1"/>
    <col min="15867" max="15867" width="6.5703125" customWidth="1"/>
    <col min="15868" max="15868" width="28.5703125" customWidth="1"/>
    <col min="15869" max="15869" width="3.28515625" customWidth="1"/>
    <col min="15870" max="15870" width="1.5703125" customWidth="1"/>
    <col min="15871" max="15871" width="15.140625" customWidth="1"/>
    <col min="15872" max="15872" width="1.5703125" customWidth="1"/>
    <col min="15873" max="15873" width="13.5703125" customWidth="1"/>
    <col min="15874" max="15874" width="1.5703125" customWidth="1"/>
    <col min="15875" max="15875" width="4.7109375" customWidth="1"/>
    <col min="15876" max="15876" width="1.42578125" customWidth="1"/>
    <col min="15877" max="15877" width="3.28515625" customWidth="1"/>
    <col min="15878" max="15878" width="2" customWidth="1"/>
    <col min="15879" max="15879" width="5.5703125" customWidth="1"/>
    <col min="15880" max="15880" width="1.7109375" customWidth="1"/>
    <col min="15881" max="15881" width="1.5703125" customWidth="1"/>
    <col min="15882" max="15882" width="8.5703125" customWidth="1"/>
    <col min="16119" max="16119" width="4.5703125" customWidth="1"/>
    <col min="16120" max="16120" width="6.42578125" customWidth="1"/>
    <col min="16121" max="16121" width="2.7109375" customWidth="1"/>
    <col min="16122" max="16122" width="6.28515625" customWidth="1"/>
    <col min="16123" max="16123" width="6.5703125" customWidth="1"/>
    <col min="16124" max="16124" width="28.5703125" customWidth="1"/>
    <col min="16125" max="16125" width="3.28515625" customWidth="1"/>
    <col min="16126" max="16126" width="1.5703125" customWidth="1"/>
    <col min="16127" max="16127" width="15.140625" customWidth="1"/>
    <col min="16128" max="16128" width="1.5703125" customWidth="1"/>
    <col min="16129" max="16129" width="13.5703125" customWidth="1"/>
    <col min="16130" max="16130" width="1.5703125" customWidth="1"/>
    <col min="16131" max="16131" width="4.7109375" customWidth="1"/>
    <col min="16132" max="16132" width="1.42578125" customWidth="1"/>
    <col min="16133" max="16133" width="3.28515625" customWidth="1"/>
    <col min="16134" max="16134" width="2" customWidth="1"/>
    <col min="16135" max="16135" width="5.5703125" customWidth="1"/>
    <col min="16136" max="16136" width="1.7109375" customWidth="1"/>
    <col min="16137" max="16137" width="1.5703125" customWidth="1"/>
    <col min="16138" max="16138" width="8.5703125" customWidth="1"/>
  </cols>
  <sheetData>
    <row r="1" spans="1:10" ht="12.6" customHeight="1" x14ac:dyDescent="0.25">
      <c r="A1" s="18" t="s">
        <v>54</v>
      </c>
      <c r="F1" s="18"/>
      <c r="G1" s="18"/>
      <c r="H1" s="23"/>
      <c r="I1" s="23"/>
      <c r="J1" s="23"/>
    </row>
    <row r="2" spans="1:10" ht="13.35" customHeight="1" x14ac:dyDescent="0.25">
      <c r="A2" s="22">
        <v>46174</v>
      </c>
    </row>
    <row r="3" spans="1:10" ht="11.85" customHeight="1" x14ac:dyDescent="0.25">
      <c r="A3" s="15" t="s">
        <v>104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1.85" customHeight="1" x14ac:dyDescent="0.25">
      <c r="A4" s="15" t="s">
        <v>56</v>
      </c>
      <c r="B4" s="10" t="s">
        <v>57</v>
      </c>
      <c r="C4" s="10" t="s">
        <v>58</v>
      </c>
      <c r="D4" s="15" t="s">
        <v>59</v>
      </c>
      <c r="E4" s="10" t="s">
        <v>60</v>
      </c>
      <c r="F4" s="15"/>
      <c r="G4" s="15"/>
      <c r="H4" s="15"/>
    </row>
    <row r="5" spans="1:10" ht="11.85" customHeight="1" x14ac:dyDescent="0.25">
      <c r="A5" s="15" t="s">
        <v>137</v>
      </c>
      <c r="B5" s="18"/>
      <c r="C5" s="18"/>
      <c r="D5" s="18"/>
      <c r="E5" s="18"/>
      <c r="F5" s="18"/>
      <c r="G5" s="18"/>
      <c r="H5" s="18"/>
      <c r="I5" s="18"/>
    </row>
    <row r="6" spans="1:10" ht="11.85" customHeight="1" x14ac:dyDescent="0.25">
      <c r="A6" s="18" t="s">
        <v>61</v>
      </c>
      <c r="B6" s="11">
        <v>5207029.91</v>
      </c>
      <c r="C6" s="12">
        <v>0.08</v>
      </c>
      <c r="D6" s="17">
        <v>416562.39</v>
      </c>
      <c r="E6" s="12">
        <v>0.15</v>
      </c>
      <c r="F6" s="17"/>
      <c r="G6" s="17"/>
      <c r="H6" s="17"/>
    </row>
    <row r="7" spans="1:10" ht="11.85" customHeight="1" x14ac:dyDescent="0.25">
      <c r="A7" s="18" t="s">
        <v>62</v>
      </c>
      <c r="B7" s="11">
        <v>-10656.78</v>
      </c>
      <c r="D7" s="17">
        <v>-852.54</v>
      </c>
      <c r="F7" s="17"/>
      <c r="G7" s="17"/>
      <c r="H7" s="17"/>
    </row>
    <row r="8" spans="1:10" ht="11.85" customHeight="1" x14ac:dyDescent="0.25">
      <c r="A8" s="15" t="s">
        <v>63</v>
      </c>
      <c r="B8" s="11">
        <v>5196373.13</v>
      </c>
      <c r="D8" s="17">
        <v>415709.85</v>
      </c>
      <c r="F8" s="17"/>
      <c r="G8" s="17"/>
      <c r="H8" s="17"/>
    </row>
    <row r="9" spans="1:10" ht="11.85" customHeight="1" x14ac:dyDescent="0.25">
      <c r="A9" s="18" t="s">
        <v>105</v>
      </c>
      <c r="B9" s="11">
        <v>-181716.84</v>
      </c>
      <c r="C9" s="12">
        <v>0.08</v>
      </c>
      <c r="D9" s="17">
        <v>-14537.35</v>
      </c>
      <c r="E9" s="12">
        <v>0.15</v>
      </c>
      <c r="F9" s="17"/>
      <c r="G9" s="17"/>
      <c r="H9" s="17"/>
    </row>
    <row r="10" spans="1:10" ht="11.85" customHeight="1" x14ac:dyDescent="0.25">
      <c r="A10" s="18" t="s">
        <v>62</v>
      </c>
      <c r="B10" s="11">
        <v>0.71</v>
      </c>
      <c r="D10" s="17">
        <v>0.06</v>
      </c>
      <c r="E10" s="17"/>
      <c r="F10" s="17"/>
      <c r="G10" s="17"/>
      <c r="H10" s="17"/>
    </row>
    <row r="11" spans="1:10" ht="11.85" customHeight="1" x14ac:dyDescent="0.25">
      <c r="A11" s="15" t="s">
        <v>63</v>
      </c>
      <c r="B11" s="11">
        <v>-181716.13</v>
      </c>
      <c r="D11" s="17">
        <v>-14537.29</v>
      </c>
      <c r="E11" s="17"/>
      <c r="F11" s="17"/>
      <c r="G11" s="17"/>
      <c r="H11" s="17"/>
    </row>
    <row r="12" spans="1:10" ht="11.85" customHeight="1" x14ac:dyDescent="0.25">
      <c r="A12" s="15" t="s">
        <v>106</v>
      </c>
      <c r="B12" s="11">
        <v>5014657</v>
      </c>
      <c r="D12" s="17">
        <v>401172.56</v>
      </c>
      <c r="E12" s="17"/>
      <c r="F12" s="17"/>
      <c r="G12" s="17"/>
      <c r="H12" s="17"/>
    </row>
    <row r="13" spans="1:10" ht="11.85" customHeight="1" x14ac:dyDescent="0.25">
      <c r="A13" s="15" t="s">
        <v>107</v>
      </c>
      <c r="B13" s="11">
        <v>5014657</v>
      </c>
      <c r="D13" s="17">
        <v>401172.56</v>
      </c>
      <c r="E13" s="17"/>
      <c r="F13" s="17"/>
      <c r="G13" s="17"/>
      <c r="H13" s="17"/>
    </row>
    <row r="14" spans="1:10" ht="11.85" customHeight="1" x14ac:dyDescent="0.25">
      <c r="A14" s="15" t="s">
        <v>66</v>
      </c>
      <c r="B14" s="17">
        <v>5014657</v>
      </c>
      <c r="C14" s="20"/>
      <c r="D14" s="17">
        <v>401172.56</v>
      </c>
      <c r="E14" s="17"/>
      <c r="F14" s="17"/>
      <c r="G14" s="17"/>
      <c r="H14" s="17"/>
      <c r="I14" s="20"/>
      <c r="J14" s="20"/>
    </row>
    <row r="15" spans="1:10" ht="11.85" customHeight="1" x14ac:dyDescent="0.25">
      <c r="A15" s="15" t="s">
        <v>67</v>
      </c>
      <c r="B15" s="15"/>
      <c r="C15" s="15"/>
      <c r="D15" s="15"/>
      <c r="E15" s="15" t="s">
        <v>59</v>
      </c>
      <c r="F15" s="15"/>
      <c r="G15" s="15"/>
      <c r="H15" s="15"/>
      <c r="I15" s="15"/>
      <c r="J15" s="15"/>
    </row>
    <row r="16" spans="1:10" ht="11.85" customHeight="1" x14ac:dyDescent="0.25">
      <c r="A16" s="15" t="s">
        <v>68</v>
      </c>
      <c r="B16" s="10" t="s">
        <v>57</v>
      </c>
      <c r="C16" s="10" t="s">
        <v>58</v>
      </c>
      <c r="E16" s="17">
        <v>100000</v>
      </c>
      <c r="H16" s="15"/>
      <c r="I16" s="15"/>
      <c r="J16" s="15"/>
    </row>
    <row r="17" spans="1:10" ht="11.85" customHeight="1" x14ac:dyDescent="0.25">
      <c r="A17" s="18" t="s">
        <v>108</v>
      </c>
      <c r="B17" s="11">
        <v>1250000</v>
      </c>
      <c r="C17" s="12">
        <v>0.08</v>
      </c>
      <c r="E17" s="17">
        <v>331289.82</v>
      </c>
      <c r="H17" s="17"/>
      <c r="I17" s="17"/>
      <c r="J17" s="17"/>
    </row>
    <row r="18" spans="1:10" ht="11.85" customHeight="1" x14ac:dyDescent="0.25">
      <c r="A18" s="18" t="s">
        <v>109</v>
      </c>
      <c r="B18" s="11">
        <v>3764657</v>
      </c>
      <c r="C18" s="12">
        <v>8.7999999999999995E-2</v>
      </c>
      <c r="E18" s="17">
        <v>431289.82</v>
      </c>
      <c r="H18" s="17"/>
      <c r="I18" s="17"/>
      <c r="J18" s="17"/>
    </row>
    <row r="19" spans="1:10" ht="11.85" customHeight="1" x14ac:dyDescent="0.25">
      <c r="A19" s="15" t="s">
        <v>110</v>
      </c>
      <c r="B19" s="17">
        <v>5014657</v>
      </c>
      <c r="C19" s="20"/>
      <c r="D19" s="20"/>
      <c r="E19" s="20"/>
      <c r="F19" s="20"/>
      <c r="H19" s="17"/>
      <c r="I19" s="17"/>
      <c r="J19" s="17"/>
    </row>
    <row r="20" spans="1:10" ht="11.85" customHeight="1" x14ac:dyDescent="0.25">
      <c r="A20" s="15" t="s">
        <v>111</v>
      </c>
      <c r="B20" s="15"/>
      <c r="C20" s="15"/>
      <c r="D20" s="15"/>
      <c r="E20" s="15"/>
      <c r="F20" s="15"/>
      <c r="G20" s="15"/>
      <c r="H20" s="15"/>
      <c r="I20" s="15"/>
      <c r="J20" s="15"/>
    </row>
    <row r="21" spans="1:10" ht="11.85" customHeight="1" x14ac:dyDescent="0.25">
      <c r="A21" s="15" t="s">
        <v>68</v>
      </c>
      <c r="B21" s="15"/>
      <c r="C21" s="15"/>
      <c r="D21" s="15"/>
      <c r="E21" s="15" t="s">
        <v>73</v>
      </c>
      <c r="F21" s="15"/>
      <c r="G21" s="15"/>
      <c r="H21" s="15"/>
      <c r="I21" s="15"/>
      <c r="J21" s="15"/>
    </row>
    <row r="22" spans="1:10" ht="11.85" customHeight="1" x14ac:dyDescent="0.25">
      <c r="A22" s="18" t="s">
        <v>112</v>
      </c>
      <c r="B22" s="18"/>
      <c r="C22" s="16" t="s">
        <v>75</v>
      </c>
      <c r="D22" s="16"/>
      <c r="E22" s="17">
        <v>431289.82</v>
      </c>
      <c r="F22" s="17"/>
      <c r="G22" s="17"/>
      <c r="H22" s="17"/>
      <c r="I22" s="17"/>
      <c r="J22" s="17"/>
    </row>
    <row r="23" spans="1:10" ht="11.85" customHeight="1" x14ac:dyDescent="0.25">
      <c r="A23" s="18" t="s">
        <v>113</v>
      </c>
      <c r="B23" s="18"/>
      <c r="C23" s="16" t="s">
        <v>75</v>
      </c>
      <c r="D23" s="16"/>
      <c r="E23" s="17">
        <v>60000</v>
      </c>
      <c r="F23" s="17"/>
      <c r="G23" s="17"/>
      <c r="H23" s="17"/>
      <c r="I23" s="17"/>
      <c r="J23" s="17"/>
    </row>
    <row r="24" spans="1:10" ht="11.85" customHeight="1" x14ac:dyDescent="0.25">
      <c r="A24" s="18" t="s">
        <v>114</v>
      </c>
      <c r="B24" s="18"/>
      <c r="C24" s="16" t="s">
        <v>75</v>
      </c>
      <c r="D24" s="16"/>
      <c r="E24" s="17">
        <v>371289.82</v>
      </c>
      <c r="F24" s="17"/>
      <c r="G24" s="17"/>
      <c r="H24" s="17"/>
      <c r="I24" s="17"/>
      <c r="J24" s="17"/>
    </row>
    <row r="25" spans="1:10" ht="11.85" customHeight="1" x14ac:dyDescent="0.25">
      <c r="A25" s="18" t="s">
        <v>115</v>
      </c>
      <c r="B25" s="18"/>
      <c r="C25" s="20"/>
      <c r="D25" s="20"/>
      <c r="E25" s="21">
        <v>0.1</v>
      </c>
      <c r="F25" s="20"/>
      <c r="G25" s="20"/>
      <c r="H25" s="20"/>
      <c r="I25" s="20"/>
    </row>
    <row r="26" spans="1:10" ht="11.85" customHeight="1" x14ac:dyDescent="0.25">
      <c r="A26" s="15" t="s">
        <v>116</v>
      </c>
      <c r="B26" s="15"/>
      <c r="C26" s="15"/>
      <c r="D26" s="15"/>
      <c r="E26" s="19">
        <v>37128.980000000003</v>
      </c>
      <c r="F26" s="19"/>
      <c r="G26" s="19"/>
      <c r="H26" s="19"/>
      <c r="I26" s="19"/>
      <c r="J26" s="19"/>
    </row>
    <row r="27" spans="1:10" ht="11.85" customHeight="1" x14ac:dyDescent="0.25">
      <c r="A27" s="15" t="s">
        <v>72</v>
      </c>
      <c r="B27" s="15"/>
      <c r="C27" s="15"/>
      <c r="D27" s="15"/>
      <c r="E27" s="15"/>
      <c r="F27" s="15"/>
      <c r="G27" s="15"/>
      <c r="H27" s="15"/>
      <c r="I27" s="15"/>
      <c r="J27" s="15"/>
    </row>
    <row r="28" spans="1:10" ht="11.85" customHeight="1" x14ac:dyDescent="0.25">
      <c r="A28" s="15" t="s">
        <v>68</v>
      </c>
      <c r="B28" s="15"/>
      <c r="C28" s="15"/>
      <c r="D28" s="15"/>
      <c r="E28" s="15" t="s">
        <v>73</v>
      </c>
      <c r="F28" s="15"/>
      <c r="G28" s="15"/>
      <c r="H28" s="15"/>
      <c r="I28" s="15"/>
      <c r="J28" s="15"/>
    </row>
    <row r="29" spans="1:10" ht="11.85" customHeight="1" x14ac:dyDescent="0.25">
      <c r="A29" s="18" t="s">
        <v>74</v>
      </c>
      <c r="B29" s="18"/>
      <c r="C29" s="16" t="s">
        <v>75</v>
      </c>
      <c r="D29" s="16"/>
      <c r="E29" s="17">
        <v>0</v>
      </c>
      <c r="F29" s="17"/>
      <c r="G29" s="17"/>
      <c r="H29" s="17"/>
      <c r="I29" s="17"/>
      <c r="J29" s="17"/>
    </row>
    <row r="30" spans="1:10" ht="11.85" customHeight="1" x14ac:dyDescent="0.25">
      <c r="A30" s="18" t="s">
        <v>117</v>
      </c>
      <c r="B30" s="18"/>
      <c r="C30" s="16" t="s">
        <v>75</v>
      </c>
      <c r="D30" s="16"/>
      <c r="E30" s="17">
        <v>0</v>
      </c>
      <c r="F30" s="17"/>
      <c r="G30" s="17"/>
      <c r="H30" s="17"/>
      <c r="I30" s="17"/>
      <c r="J30" s="17"/>
    </row>
    <row r="31" spans="1:10" ht="11.85" customHeight="1" x14ac:dyDescent="0.25">
      <c r="A31" s="18" t="s">
        <v>76</v>
      </c>
      <c r="B31" s="18"/>
      <c r="C31" s="16" t="s">
        <v>75</v>
      </c>
      <c r="D31" s="16"/>
      <c r="E31" s="17">
        <v>64693.47</v>
      </c>
      <c r="F31" s="17"/>
      <c r="G31" s="17"/>
      <c r="H31" s="17"/>
      <c r="I31" s="17"/>
      <c r="J31" s="17"/>
    </row>
    <row r="32" spans="1:10" ht="11.85" customHeight="1" x14ac:dyDescent="0.25">
      <c r="A32" s="18" t="s">
        <v>118</v>
      </c>
      <c r="B32" s="18"/>
      <c r="C32" s="16" t="s">
        <v>75</v>
      </c>
      <c r="D32" s="16"/>
      <c r="E32" s="17">
        <v>0</v>
      </c>
      <c r="F32" s="17"/>
      <c r="G32" s="17"/>
      <c r="H32" s="17"/>
      <c r="I32" s="17"/>
      <c r="J32" s="17"/>
    </row>
    <row r="33" spans="1:10" ht="11.85" customHeight="1" x14ac:dyDescent="0.25">
      <c r="A33" s="18" t="s">
        <v>119</v>
      </c>
      <c r="B33" s="18"/>
      <c r="C33" s="16" t="s">
        <v>75</v>
      </c>
      <c r="D33" s="16"/>
      <c r="E33" s="17">
        <v>0</v>
      </c>
      <c r="F33" s="17"/>
      <c r="G33" s="17"/>
      <c r="H33" s="17"/>
      <c r="I33" s="17"/>
      <c r="J33" s="17"/>
    </row>
    <row r="34" spans="1:10" ht="11.85" customHeight="1" x14ac:dyDescent="0.25">
      <c r="A34" s="18" t="s">
        <v>77</v>
      </c>
      <c r="B34" s="18"/>
      <c r="C34" s="16" t="s">
        <v>75</v>
      </c>
      <c r="D34" s="16"/>
      <c r="E34" s="17">
        <v>0</v>
      </c>
      <c r="F34" s="17"/>
      <c r="G34" s="17"/>
      <c r="H34" s="17"/>
      <c r="I34" s="17"/>
      <c r="J34" s="17"/>
    </row>
    <row r="35" spans="1:10" ht="11.85" customHeight="1" x14ac:dyDescent="0.25">
      <c r="A35" s="18" t="s">
        <v>85</v>
      </c>
      <c r="B35" s="18"/>
      <c r="C35" s="16" t="s">
        <v>75</v>
      </c>
      <c r="D35" s="16"/>
      <c r="E35" s="17">
        <v>0</v>
      </c>
      <c r="F35" s="17"/>
      <c r="G35" s="17"/>
      <c r="H35" s="17"/>
      <c r="I35" s="17"/>
      <c r="J35" s="17"/>
    </row>
    <row r="36" spans="1:10" ht="11.85" customHeight="1" x14ac:dyDescent="0.25">
      <c r="A36" s="18" t="s">
        <v>120</v>
      </c>
      <c r="B36" s="18"/>
      <c r="C36" s="16" t="s">
        <v>75</v>
      </c>
      <c r="D36" s="16"/>
      <c r="E36" s="17">
        <v>0</v>
      </c>
      <c r="F36" s="17"/>
      <c r="G36" s="17"/>
      <c r="H36" s="17"/>
      <c r="I36" s="17"/>
      <c r="J36" s="17"/>
    </row>
    <row r="37" spans="1:10" ht="11.85" customHeight="1" x14ac:dyDescent="0.25">
      <c r="A37" s="18" t="s">
        <v>121</v>
      </c>
      <c r="B37" s="18"/>
      <c r="C37" s="16" t="s">
        <v>75</v>
      </c>
      <c r="D37" s="16"/>
      <c r="E37" s="17">
        <v>0</v>
      </c>
      <c r="F37" s="17"/>
      <c r="G37" s="17"/>
      <c r="H37" s="17"/>
      <c r="I37" s="17"/>
      <c r="J37" s="17"/>
    </row>
    <row r="38" spans="1:10" ht="11.85" customHeight="1" x14ac:dyDescent="0.25">
      <c r="A38" s="18" t="s">
        <v>122</v>
      </c>
      <c r="B38" s="18"/>
      <c r="C38" s="16" t="s">
        <v>75</v>
      </c>
      <c r="D38" s="16"/>
      <c r="E38" s="17">
        <v>0</v>
      </c>
      <c r="F38" s="17"/>
      <c r="G38" s="17"/>
      <c r="H38" s="17"/>
      <c r="I38" s="17"/>
      <c r="J38" s="17"/>
    </row>
    <row r="39" spans="1:10" ht="11.85" customHeight="1" x14ac:dyDescent="0.25">
      <c r="A39" s="18" t="s">
        <v>123</v>
      </c>
      <c r="B39" s="18"/>
      <c r="C39" s="16" t="s">
        <v>75</v>
      </c>
      <c r="D39" s="16"/>
      <c r="E39" s="17">
        <v>0</v>
      </c>
      <c r="F39" s="17"/>
      <c r="G39" s="17"/>
      <c r="H39" s="17"/>
      <c r="I39" s="17"/>
      <c r="J39" s="17"/>
    </row>
    <row r="40" spans="1:10" ht="11.85" customHeight="1" x14ac:dyDescent="0.25">
      <c r="A40" s="18" t="s">
        <v>124</v>
      </c>
      <c r="B40" s="18"/>
      <c r="C40" s="16" t="s">
        <v>75</v>
      </c>
      <c r="D40" s="16"/>
      <c r="E40" s="17">
        <v>0</v>
      </c>
      <c r="F40" s="17"/>
      <c r="G40" s="17"/>
      <c r="H40" s="17"/>
      <c r="I40" s="17"/>
      <c r="J40" s="17"/>
    </row>
    <row r="41" spans="1:10" ht="11.85" customHeight="1" x14ac:dyDescent="0.25">
      <c r="A41" s="18" t="s">
        <v>125</v>
      </c>
      <c r="B41" s="18"/>
      <c r="C41" s="16" t="s">
        <v>75</v>
      </c>
      <c r="D41" s="16"/>
      <c r="E41" s="17">
        <v>0</v>
      </c>
      <c r="F41" s="17"/>
      <c r="G41" s="17"/>
      <c r="H41" s="17"/>
      <c r="I41" s="17"/>
      <c r="J41" s="17"/>
    </row>
    <row r="42" spans="1:10" ht="11.85" customHeight="1" x14ac:dyDescent="0.25">
      <c r="A42" s="18" t="s">
        <v>91</v>
      </c>
      <c r="B42" s="18"/>
      <c r="C42" s="16" t="s">
        <v>75</v>
      </c>
      <c r="D42" s="16"/>
      <c r="E42" s="17">
        <v>0</v>
      </c>
      <c r="F42" s="17"/>
      <c r="G42" s="17"/>
      <c r="H42" s="17"/>
      <c r="I42" s="17"/>
      <c r="J42" s="17"/>
    </row>
    <row r="43" spans="1:10" ht="11.85" customHeight="1" x14ac:dyDescent="0.25">
      <c r="A43" s="18" t="s">
        <v>92</v>
      </c>
      <c r="B43" s="18"/>
      <c r="C43" s="16" t="s">
        <v>75</v>
      </c>
      <c r="D43" s="16"/>
      <c r="E43" s="17">
        <v>0</v>
      </c>
      <c r="F43" s="17"/>
      <c r="G43" s="17"/>
      <c r="H43" s="17"/>
      <c r="I43" s="17"/>
      <c r="J43" s="17"/>
    </row>
    <row r="44" spans="1:10" ht="11.85" customHeight="1" x14ac:dyDescent="0.25">
      <c r="A44" s="18" t="s">
        <v>126</v>
      </c>
      <c r="B44" s="18"/>
      <c r="C44" s="16" t="s">
        <v>75</v>
      </c>
      <c r="D44" s="16"/>
      <c r="E44" s="17">
        <v>0</v>
      </c>
      <c r="F44" s="17"/>
      <c r="G44" s="17"/>
      <c r="H44" s="17"/>
      <c r="I44" s="17"/>
      <c r="J44" s="17"/>
    </row>
    <row r="45" spans="1:10" ht="11.85" customHeight="1" x14ac:dyDescent="0.25">
      <c r="A45" s="18" t="s">
        <v>127</v>
      </c>
      <c r="B45" s="18"/>
      <c r="C45" s="16" t="s">
        <v>75</v>
      </c>
      <c r="D45" s="16"/>
      <c r="E45" s="17">
        <v>0</v>
      </c>
      <c r="F45" s="17"/>
      <c r="G45" s="17"/>
      <c r="H45" s="17"/>
      <c r="I45" s="17"/>
      <c r="J45" s="17"/>
    </row>
    <row r="46" spans="1:10" ht="11.85" customHeight="1" x14ac:dyDescent="0.25">
      <c r="A46" s="18" t="s">
        <v>128</v>
      </c>
      <c r="B46" s="18"/>
      <c r="C46" s="16" t="s">
        <v>75</v>
      </c>
      <c r="D46" s="16"/>
      <c r="E46" s="17">
        <v>0</v>
      </c>
      <c r="F46" s="17"/>
      <c r="G46" s="17"/>
      <c r="H46" s="17"/>
      <c r="I46" s="17"/>
      <c r="J46" s="17"/>
    </row>
    <row r="47" spans="1:10" ht="11.85" customHeight="1" x14ac:dyDescent="0.25">
      <c r="A47" s="18" t="s">
        <v>129</v>
      </c>
      <c r="B47" s="18"/>
      <c r="C47" s="16" t="s">
        <v>75</v>
      </c>
      <c r="D47" s="16"/>
      <c r="E47" s="17">
        <v>0</v>
      </c>
      <c r="F47" s="17"/>
      <c r="G47" s="17"/>
      <c r="H47" s="17"/>
      <c r="I47" s="17"/>
      <c r="J47" s="17"/>
    </row>
    <row r="48" spans="1:10" ht="11.85" customHeight="1" x14ac:dyDescent="0.25">
      <c r="A48" s="18" t="s">
        <v>130</v>
      </c>
      <c r="B48" s="18"/>
      <c r="C48" s="16" t="s">
        <v>75</v>
      </c>
      <c r="D48" s="16"/>
      <c r="E48" s="17">
        <v>0</v>
      </c>
      <c r="F48" s="17"/>
      <c r="G48" s="17"/>
      <c r="H48" s="17"/>
      <c r="I48" s="17"/>
      <c r="J48" s="17"/>
    </row>
    <row r="49" spans="1:10" ht="11.85" customHeight="1" x14ac:dyDescent="0.25">
      <c r="A49" s="18" t="s">
        <v>92</v>
      </c>
      <c r="B49" s="18"/>
      <c r="C49" s="16" t="s">
        <v>75</v>
      </c>
      <c r="D49" s="16"/>
      <c r="E49" s="17">
        <v>0</v>
      </c>
      <c r="F49" s="17"/>
      <c r="G49" s="17"/>
      <c r="H49" s="17"/>
      <c r="I49" s="17"/>
      <c r="J49" s="17"/>
    </row>
    <row r="50" spans="1:10" ht="11.85" customHeight="1" x14ac:dyDescent="0.25">
      <c r="A50" s="15" t="s">
        <v>131</v>
      </c>
      <c r="B50" s="15"/>
      <c r="C50" s="15"/>
      <c r="D50" s="15"/>
      <c r="E50" s="16">
        <v>37128.980000000003</v>
      </c>
      <c r="F50" s="16"/>
      <c r="G50" s="16"/>
      <c r="H50" s="16"/>
      <c r="I50" s="16"/>
      <c r="J50" s="16"/>
    </row>
    <row r="51" spans="1:10" ht="11.85" customHeight="1" x14ac:dyDescent="0.25">
      <c r="A51" s="15" t="s">
        <v>132</v>
      </c>
      <c r="B51" s="15"/>
      <c r="C51" s="15"/>
      <c r="D51" s="15"/>
      <c r="E51" s="16">
        <v>0</v>
      </c>
      <c r="F51" s="16"/>
      <c r="G51" s="16"/>
      <c r="H51" s="16"/>
      <c r="I51" s="16"/>
      <c r="J51" s="16"/>
    </row>
    <row r="52" spans="1:10" ht="11.85" customHeight="1" x14ac:dyDescent="0.25">
      <c r="A52" s="15" t="s">
        <v>133</v>
      </c>
      <c r="B52" s="15"/>
      <c r="C52" s="15"/>
      <c r="D52" s="15"/>
      <c r="E52" s="16">
        <v>0</v>
      </c>
      <c r="F52" s="16"/>
      <c r="G52" s="16"/>
      <c r="H52" s="16"/>
      <c r="I52" s="16"/>
      <c r="J52" s="16"/>
    </row>
    <row r="53" spans="1:10" ht="11.85" customHeight="1" x14ac:dyDescent="0.25">
      <c r="A53" s="15" t="s">
        <v>134</v>
      </c>
      <c r="B53" s="15"/>
      <c r="C53" s="15"/>
      <c r="D53" s="15"/>
      <c r="E53" s="16">
        <v>0</v>
      </c>
      <c r="F53" s="16"/>
      <c r="G53" s="16"/>
      <c r="H53" s="16"/>
      <c r="I53" s="16"/>
      <c r="J53" s="16"/>
    </row>
    <row r="54" spans="1:10" ht="11.85" customHeight="1" x14ac:dyDescent="0.25">
      <c r="A54" s="15" t="s">
        <v>135</v>
      </c>
      <c r="B54" s="15"/>
      <c r="C54" s="15"/>
      <c r="D54" s="15"/>
      <c r="E54" s="16">
        <v>101822.45</v>
      </c>
      <c r="F54" s="16"/>
      <c r="G54" s="16"/>
      <c r="H54" s="16"/>
      <c r="I54" s="16"/>
      <c r="J54" s="16"/>
    </row>
    <row r="55" spans="1:10" ht="11.85" customHeight="1" x14ac:dyDescent="0.25">
      <c r="A55" s="15" t="s">
        <v>136</v>
      </c>
      <c r="B55" s="15"/>
      <c r="C55" s="15"/>
      <c r="D55" s="15"/>
      <c r="E55" s="16">
        <v>0</v>
      </c>
      <c r="F55" s="16"/>
      <c r="G55" s="16"/>
      <c r="H55" s="16"/>
      <c r="I55" s="16"/>
      <c r="J55" s="16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A2B1D-2D51-45E1-A4FC-6E15311F0061}">
  <dimension ref="A1:J48"/>
  <sheetViews>
    <sheetView topLeftCell="A20" workbookViewId="0">
      <selection activeCell="B18" sqref="B18:B46"/>
    </sheetView>
  </sheetViews>
  <sheetFormatPr defaultRowHeight="15" x14ac:dyDescent="0.25"/>
  <cols>
    <col min="1" max="1" width="67.5703125" customWidth="1"/>
    <col min="2" max="2" width="15.140625" customWidth="1"/>
    <col min="3" max="3" width="13.5703125" customWidth="1"/>
    <col min="4" max="4" width="15.85546875" customWidth="1"/>
    <col min="5" max="5" width="26.85546875" customWidth="1"/>
    <col min="6" max="6" width="12.42578125" customWidth="1"/>
    <col min="7" max="7" width="10" customWidth="1"/>
    <col min="8" max="8" width="22.5703125" customWidth="1"/>
    <col min="9" max="9" width="7.42578125" customWidth="1"/>
    <col min="10" max="10" width="8.5703125" customWidth="1"/>
    <col min="247" max="247" width="4.5703125" customWidth="1"/>
    <col min="248" max="248" width="6.42578125" customWidth="1"/>
    <col min="249" max="249" width="2.7109375" customWidth="1"/>
    <col min="250" max="250" width="6.28515625" customWidth="1"/>
    <col min="251" max="251" width="6.5703125" customWidth="1"/>
    <col min="252" max="252" width="28.5703125" customWidth="1"/>
    <col min="253" max="253" width="3.28515625" customWidth="1"/>
    <col min="254" max="254" width="1.5703125" customWidth="1"/>
    <col min="255" max="255" width="15.140625" customWidth="1"/>
    <col min="256" max="256" width="1.5703125" customWidth="1"/>
    <col min="257" max="257" width="13.5703125" customWidth="1"/>
    <col min="258" max="258" width="1.5703125" customWidth="1"/>
    <col min="259" max="259" width="4.7109375" customWidth="1"/>
    <col min="260" max="260" width="1.42578125" customWidth="1"/>
    <col min="261" max="261" width="3.28515625" customWidth="1"/>
    <col min="262" max="262" width="2" customWidth="1"/>
    <col min="263" max="263" width="5.5703125" customWidth="1"/>
    <col min="264" max="264" width="1.7109375" customWidth="1"/>
    <col min="265" max="265" width="1.5703125" customWidth="1"/>
    <col min="266" max="266" width="8.5703125" customWidth="1"/>
    <col min="503" max="503" width="4.5703125" customWidth="1"/>
    <col min="504" max="504" width="6.42578125" customWidth="1"/>
    <col min="505" max="505" width="2.7109375" customWidth="1"/>
    <col min="506" max="506" width="6.28515625" customWidth="1"/>
    <col min="507" max="507" width="6.5703125" customWidth="1"/>
    <col min="508" max="508" width="28.5703125" customWidth="1"/>
    <col min="509" max="509" width="3.28515625" customWidth="1"/>
    <col min="510" max="510" width="1.5703125" customWidth="1"/>
    <col min="511" max="511" width="15.140625" customWidth="1"/>
    <col min="512" max="512" width="1.5703125" customWidth="1"/>
    <col min="513" max="513" width="13.5703125" customWidth="1"/>
    <col min="514" max="514" width="1.5703125" customWidth="1"/>
    <col min="515" max="515" width="4.7109375" customWidth="1"/>
    <col min="516" max="516" width="1.42578125" customWidth="1"/>
    <col min="517" max="517" width="3.28515625" customWidth="1"/>
    <col min="518" max="518" width="2" customWidth="1"/>
    <col min="519" max="519" width="5.5703125" customWidth="1"/>
    <col min="520" max="520" width="1.7109375" customWidth="1"/>
    <col min="521" max="521" width="1.5703125" customWidth="1"/>
    <col min="522" max="522" width="8.5703125" customWidth="1"/>
    <col min="759" max="759" width="4.5703125" customWidth="1"/>
    <col min="760" max="760" width="6.42578125" customWidth="1"/>
    <col min="761" max="761" width="2.7109375" customWidth="1"/>
    <col min="762" max="762" width="6.28515625" customWidth="1"/>
    <col min="763" max="763" width="6.5703125" customWidth="1"/>
    <col min="764" max="764" width="28.5703125" customWidth="1"/>
    <col min="765" max="765" width="3.28515625" customWidth="1"/>
    <col min="766" max="766" width="1.5703125" customWidth="1"/>
    <col min="767" max="767" width="15.140625" customWidth="1"/>
    <col min="768" max="768" width="1.5703125" customWidth="1"/>
    <col min="769" max="769" width="13.5703125" customWidth="1"/>
    <col min="770" max="770" width="1.5703125" customWidth="1"/>
    <col min="771" max="771" width="4.7109375" customWidth="1"/>
    <col min="772" max="772" width="1.42578125" customWidth="1"/>
    <col min="773" max="773" width="3.28515625" customWidth="1"/>
    <col min="774" max="774" width="2" customWidth="1"/>
    <col min="775" max="775" width="5.5703125" customWidth="1"/>
    <col min="776" max="776" width="1.7109375" customWidth="1"/>
    <col min="777" max="777" width="1.5703125" customWidth="1"/>
    <col min="778" max="778" width="8.5703125" customWidth="1"/>
    <col min="1015" max="1015" width="4.5703125" customWidth="1"/>
    <col min="1016" max="1016" width="6.42578125" customWidth="1"/>
    <col min="1017" max="1017" width="2.7109375" customWidth="1"/>
    <col min="1018" max="1018" width="6.28515625" customWidth="1"/>
    <col min="1019" max="1019" width="6.5703125" customWidth="1"/>
    <col min="1020" max="1020" width="28.5703125" customWidth="1"/>
    <col min="1021" max="1021" width="3.28515625" customWidth="1"/>
    <col min="1022" max="1022" width="1.5703125" customWidth="1"/>
    <col min="1023" max="1023" width="15.140625" customWidth="1"/>
    <col min="1024" max="1024" width="1.5703125" customWidth="1"/>
    <col min="1025" max="1025" width="13.5703125" customWidth="1"/>
    <col min="1026" max="1026" width="1.5703125" customWidth="1"/>
    <col min="1027" max="1027" width="4.7109375" customWidth="1"/>
    <col min="1028" max="1028" width="1.42578125" customWidth="1"/>
    <col min="1029" max="1029" width="3.28515625" customWidth="1"/>
    <col min="1030" max="1030" width="2" customWidth="1"/>
    <col min="1031" max="1031" width="5.5703125" customWidth="1"/>
    <col min="1032" max="1032" width="1.7109375" customWidth="1"/>
    <col min="1033" max="1033" width="1.5703125" customWidth="1"/>
    <col min="1034" max="1034" width="8.5703125" customWidth="1"/>
    <col min="1271" max="1271" width="4.5703125" customWidth="1"/>
    <col min="1272" max="1272" width="6.42578125" customWidth="1"/>
    <col min="1273" max="1273" width="2.7109375" customWidth="1"/>
    <col min="1274" max="1274" width="6.28515625" customWidth="1"/>
    <col min="1275" max="1275" width="6.5703125" customWidth="1"/>
    <col min="1276" max="1276" width="28.5703125" customWidth="1"/>
    <col min="1277" max="1277" width="3.28515625" customWidth="1"/>
    <col min="1278" max="1278" width="1.5703125" customWidth="1"/>
    <col min="1279" max="1279" width="15.140625" customWidth="1"/>
    <col min="1280" max="1280" width="1.5703125" customWidth="1"/>
    <col min="1281" max="1281" width="13.5703125" customWidth="1"/>
    <col min="1282" max="1282" width="1.5703125" customWidth="1"/>
    <col min="1283" max="1283" width="4.7109375" customWidth="1"/>
    <col min="1284" max="1284" width="1.42578125" customWidth="1"/>
    <col min="1285" max="1285" width="3.28515625" customWidth="1"/>
    <col min="1286" max="1286" width="2" customWidth="1"/>
    <col min="1287" max="1287" width="5.5703125" customWidth="1"/>
    <col min="1288" max="1288" width="1.7109375" customWidth="1"/>
    <col min="1289" max="1289" width="1.5703125" customWidth="1"/>
    <col min="1290" max="1290" width="8.5703125" customWidth="1"/>
    <col min="1527" max="1527" width="4.5703125" customWidth="1"/>
    <col min="1528" max="1528" width="6.42578125" customWidth="1"/>
    <col min="1529" max="1529" width="2.7109375" customWidth="1"/>
    <col min="1530" max="1530" width="6.28515625" customWidth="1"/>
    <col min="1531" max="1531" width="6.5703125" customWidth="1"/>
    <col min="1532" max="1532" width="28.5703125" customWidth="1"/>
    <col min="1533" max="1533" width="3.28515625" customWidth="1"/>
    <col min="1534" max="1534" width="1.5703125" customWidth="1"/>
    <col min="1535" max="1535" width="15.140625" customWidth="1"/>
    <col min="1536" max="1536" width="1.5703125" customWidth="1"/>
    <col min="1537" max="1537" width="13.5703125" customWidth="1"/>
    <col min="1538" max="1538" width="1.5703125" customWidth="1"/>
    <col min="1539" max="1539" width="4.7109375" customWidth="1"/>
    <col min="1540" max="1540" width="1.42578125" customWidth="1"/>
    <col min="1541" max="1541" width="3.28515625" customWidth="1"/>
    <col min="1542" max="1542" width="2" customWidth="1"/>
    <col min="1543" max="1543" width="5.5703125" customWidth="1"/>
    <col min="1544" max="1544" width="1.7109375" customWidth="1"/>
    <col min="1545" max="1545" width="1.5703125" customWidth="1"/>
    <col min="1546" max="1546" width="8.5703125" customWidth="1"/>
    <col min="1783" max="1783" width="4.5703125" customWidth="1"/>
    <col min="1784" max="1784" width="6.42578125" customWidth="1"/>
    <col min="1785" max="1785" width="2.7109375" customWidth="1"/>
    <col min="1786" max="1786" width="6.28515625" customWidth="1"/>
    <col min="1787" max="1787" width="6.5703125" customWidth="1"/>
    <col min="1788" max="1788" width="28.5703125" customWidth="1"/>
    <col min="1789" max="1789" width="3.28515625" customWidth="1"/>
    <col min="1790" max="1790" width="1.5703125" customWidth="1"/>
    <col min="1791" max="1791" width="15.140625" customWidth="1"/>
    <col min="1792" max="1792" width="1.5703125" customWidth="1"/>
    <col min="1793" max="1793" width="13.5703125" customWidth="1"/>
    <col min="1794" max="1794" width="1.5703125" customWidth="1"/>
    <col min="1795" max="1795" width="4.7109375" customWidth="1"/>
    <col min="1796" max="1796" width="1.42578125" customWidth="1"/>
    <col min="1797" max="1797" width="3.28515625" customWidth="1"/>
    <col min="1798" max="1798" width="2" customWidth="1"/>
    <col min="1799" max="1799" width="5.5703125" customWidth="1"/>
    <col min="1800" max="1800" width="1.7109375" customWidth="1"/>
    <col min="1801" max="1801" width="1.5703125" customWidth="1"/>
    <col min="1802" max="1802" width="8.5703125" customWidth="1"/>
    <col min="2039" max="2039" width="4.5703125" customWidth="1"/>
    <col min="2040" max="2040" width="6.42578125" customWidth="1"/>
    <col min="2041" max="2041" width="2.7109375" customWidth="1"/>
    <col min="2042" max="2042" width="6.28515625" customWidth="1"/>
    <col min="2043" max="2043" width="6.5703125" customWidth="1"/>
    <col min="2044" max="2044" width="28.5703125" customWidth="1"/>
    <col min="2045" max="2045" width="3.28515625" customWidth="1"/>
    <col min="2046" max="2046" width="1.5703125" customWidth="1"/>
    <col min="2047" max="2047" width="15.140625" customWidth="1"/>
    <col min="2048" max="2048" width="1.5703125" customWidth="1"/>
    <col min="2049" max="2049" width="13.5703125" customWidth="1"/>
    <col min="2050" max="2050" width="1.5703125" customWidth="1"/>
    <col min="2051" max="2051" width="4.7109375" customWidth="1"/>
    <col min="2052" max="2052" width="1.42578125" customWidth="1"/>
    <col min="2053" max="2053" width="3.28515625" customWidth="1"/>
    <col min="2054" max="2054" width="2" customWidth="1"/>
    <col min="2055" max="2055" width="5.5703125" customWidth="1"/>
    <col min="2056" max="2056" width="1.7109375" customWidth="1"/>
    <col min="2057" max="2057" width="1.5703125" customWidth="1"/>
    <col min="2058" max="2058" width="8.5703125" customWidth="1"/>
    <col min="2295" max="2295" width="4.5703125" customWidth="1"/>
    <col min="2296" max="2296" width="6.42578125" customWidth="1"/>
    <col min="2297" max="2297" width="2.7109375" customWidth="1"/>
    <col min="2298" max="2298" width="6.28515625" customWidth="1"/>
    <col min="2299" max="2299" width="6.5703125" customWidth="1"/>
    <col min="2300" max="2300" width="28.5703125" customWidth="1"/>
    <col min="2301" max="2301" width="3.28515625" customWidth="1"/>
    <col min="2302" max="2302" width="1.5703125" customWidth="1"/>
    <col min="2303" max="2303" width="15.140625" customWidth="1"/>
    <col min="2304" max="2304" width="1.5703125" customWidth="1"/>
    <col min="2305" max="2305" width="13.5703125" customWidth="1"/>
    <col min="2306" max="2306" width="1.5703125" customWidth="1"/>
    <col min="2307" max="2307" width="4.7109375" customWidth="1"/>
    <col min="2308" max="2308" width="1.42578125" customWidth="1"/>
    <col min="2309" max="2309" width="3.28515625" customWidth="1"/>
    <col min="2310" max="2310" width="2" customWidth="1"/>
    <col min="2311" max="2311" width="5.5703125" customWidth="1"/>
    <col min="2312" max="2312" width="1.7109375" customWidth="1"/>
    <col min="2313" max="2313" width="1.5703125" customWidth="1"/>
    <col min="2314" max="2314" width="8.5703125" customWidth="1"/>
    <col min="2551" max="2551" width="4.5703125" customWidth="1"/>
    <col min="2552" max="2552" width="6.42578125" customWidth="1"/>
    <col min="2553" max="2553" width="2.7109375" customWidth="1"/>
    <col min="2554" max="2554" width="6.28515625" customWidth="1"/>
    <col min="2555" max="2555" width="6.5703125" customWidth="1"/>
    <col min="2556" max="2556" width="28.5703125" customWidth="1"/>
    <col min="2557" max="2557" width="3.28515625" customWidth="1"/>
    <col min="2558" max="2558" width="1.5703125" customWidth="1"/>
    <col min="2559" max="2559" width="15.140625" customWidth="1"/>
    <col min="2560" max="2560" width="1.5703125" customWidth="1"/>
    <col min="2561" max="2561" width="13.5703125" customWidth="1"/>
    <col min="2562" max="2562" width="1.5703125" customWidth="1"/>
    <col min="2563" max="2563" width="4.7109375" customWidth="1"/>
    <col min="2564" max="2564" width="1.42578125" customWidth="1"/>
    <col min="2565" max="2565" width="3.28515625" customWidth="1"/>
    <col min="2566" max="2566" width="2" customWidth="1"/>
    <col min="2567" max="2567" width="5.5703125" customWidth="1"/>
    <col min="2568" max="2568" width="1.7109375" customWidth="1"/>
    <col min="2569" max="2569" width="1.5703125" customWidth="1"/>
    <col min="2570" max="2570" width="8.5703125" customWidth="1"/>
    <col min="2807" max="2807" width="4.5703125" customWidth="1"/>
    <col min="2808" max="2808" width="6.42578125" customWidth="1"/>
    <col min="2809" max="2809" width="2.7109375" customWidth="1"/>
    <col min="2810" max="2810" width="6.28515625" customWidth="1"/>
    <col min="2811" max="2811" width="6.5703125" customWidth="1"/>
    <col min="2812" max="2812" width="28.5703125" customWidth="1"/>
    <col min="2813" max="2813" width="3.28515625" customWidth="1"/>
    <col min="2814" max="2814" width="1.5703125" customWidth="1"/>
    <col min="2815" max="2815" width="15.140625" customWidth="1"/>
    <col min="2816" max="2816" width="1.5703125" customWidth="1"/>
    <col min="2817" max="2817" width="13.5703125" customWidth="1"/>
    <col min="2818" max="2818" width="1.5703125" customWidth="1"/>
    <col min="2819" max="2819" width="4.7109375" customWidth="1"/>
    <col min="2820" max="2820" width="1.42578125" customWidth="1"/>
    <col min="2821" max="2821" width="3.28515625" customWidth="1"/>
    <col min="2822" max="2822" width="2" customWidth="1"/>
    <col min="2823" max="2823" width="5.5703125" customWidth="1"/>
    <col min="2824" max="2824" width="1.7109375" customWidth="1"/>
    <col min="2825" max="2825" width="1.5703125" customWidth="1"/>
    <col min="2826" max="2826" width="8.5703125" customWidth="1"/>
    <col min="3063" max="3063" width="4.5703125" customWidth="1"/>
    <col min="3064" max="3064" width="6.42578125" customWidth="1"/>
    <col min="3065" max="3065" width="2.7109375" customWidth="1"/>
    <col min="3066" max="3066" width="6.28515625" customWidth="1"/>
    <col min="3067" max="3067" width="6.5703125" customWidth="1"/>
    <col min="3068" max="3068" width="28.5703125" customWidth="1"/>
    <col min="3069" max="3069" width="3.28515625" customWidth="1"/>
    <col min="3070" max="3070" width="1.5703125" customWidth="1"/>
    <col min="3071" max="3071" width="15.140625" customWidth="1"/>
    <col min="3072" max="3072" width="1.5703125" customWidth="1"/>
    <col min="3073" max="3073" width="13.5703125" customWidth="1"/>
    <col min="3074" max="3074" width="1.5703125" customWidth="1"/>
    <col min="3075" max="3075" width="4.7109375" customWidth="1"/>
    <col min="3076" max="3076" width="1.42578125" customWidth="1"/>
    <col min="3077" max="3077" width="3.28515625" customWidth="1"/>
    <col min="3078" max="3078" width="2" customWidth="1"/>
    <col min="3079" max="3079" width="5.5703125" customWidth="1"/>
    <col min="3080" max="3080" width="1.7109375" customWidth="1"/>
    <col min="3081" max="3081" width="1.5703125" customWidth="1"/>
    <col min="3082" max="3082" width="8.5703125" customWidth="1"/>
    <col min="3319" max="3319" width="4.5703125" customWidth="1"/>
    <col min="3320" max="3320" width="6.42578125" customWidth="1"/>
    <col min="3321" max="3321" width="2.7109375" customWidth="1"/>
    <col min="3322" max="3322" width="6.28515625" customWidth="1"/>
    <col min="3323" max="3323" width="6.5703125" customWidth="1"/>
    <col min="3324" max="3324" width="28.5703125" customWidth="1"/>
    <col min="3325" max="3325" width="3.28515625" customWidth="1"/>
    <col min="3326" max="3326" width="1.5703125" customWidth="1"/>
    <col min="3327" max="3327" width="15.140625" customWidth="1"/>
    <col min="3328" max="3328" width="1.5703125" customWidth="1"/>
    <col min="3329" max="3329" width="13.5703125" customWidth="1"/>
    <col min="3330" max="3330" width="1.5703125" customWidth="1"/>
    <col min="3331" max="3331" width="4.7109375" customWidth="1"/>
    <col min="3332" max="3332" width="1.42578125" customWidth="1"/>
    <col min="3333" max="3333" width="3.28515625" customWidth="1"/>
    <col min="3334" max="3334" width="2" customWidth="1"/>
    <col min="3335" max="3335" width="5.5703125" customWidth="1"/>
    <col min="3336" max="3336" width="1.7109375" customWidth="1"/>
    <col min="3337" max="3337" width="1.5703125" customWidth="1"/>
    <col min="3338" max="3338" width="8.5703125" customWidth="1"/>
    <col min="3575" max="3575" width="4.5703125" customWidth="1"/>
    <col min="3576" max="3576" width="6.42578125" customWidth="1"/>
    <col min="3577" max="3577" width="2.7109375" customWidth="1"/>
    <col min="3578" max="3578" width="6.28515625" customWidth="1"/>
    <col min="3579" max="3579" width="6.5703125" customWidth="1"/>
    <col min="3580" max="3580" width="28.5703125" customWidth="1"/>
    <col min="3581" max="3581" width="3.28515625" customWidth="1"/>
    <col min="3582" max="3582" width="1.5703125" customWidth="1"/>
    <col min="3583" max="3583" width="15.140625" customWidth="1"/>
    <col min="3584" max="3584" width="1.5703125" customWidth="1"/>
    <col min="3585" max="3585" width="13.5703125" customWidth="1"/>
    <col min="3586" max="3586" width="1.5703125" customWidth="1"/>
    <col min="3587" max="3587" width="4.7109375" customWidth="1"/>
    <col min="3588" max="3588" width="1.42578125" customWidth="1"/>
    <col min="3589" max="3589" width="3.28515625" customWidth="1"/>
    <col min="3590" max="3590" width="2" customWidth="1"/>
    <col min="3591" max="3591" width="5.5703125" customWidth="1"/>
    <col min="3592" max="3592" width="1.7109375" customWidth="1"/>
    <col min="3593" max="3593" width="1.5703125" customWidth="1"/>
    <col min="3594" max="3594" width="8.5703125" customWidth="1"/>
    <col min="3831" max="3831" width="4.5703125" customWidth="1"/>
    <col min="3832" max="3832" width="6.42578125" customWidth="1"/>
    <col min="3833" max="3833" width="2.7109375" customWidth="1"/>
    <col min="3834" max="3834" width="6.28515625" customWidth="1"/>
    <col min="3835" max="3835" width="6.5703125" customWidth="1"/>
    <col min="3836" max="3836" width="28.5703125" customWidth="1"/>
    <col min="3837" max="3837" width="3.28515625" customWidth="1"/>
    <col min="3838" max="3838" width="1.5703125" customWidth="1"/>
    <col min="3839" max="3839" width="15.140625" customWidth="1"/>
    <col min="3840" max="3840" width="1.5703125" customWidth="1"/>
    <col min="3841" max="3841" width="13.5703125" customWidth="1"/>
    <col min="3842" max="3842" width="1.5703125" customWidth="1"/>
    <col min="3843" max="3843" width="4.7109375" customWidth="1"/>
    <col min="3844" max="3844" width="1.42578125" customWidth="1"/>
    <col min="3845" max="3845" width="3.28515625" customWidth="1"/>
    <col min="3846" max="3846" width="2" customWidth="1"/>
    <col min="3847" max="3847" width="5.5703125" customWidth="1"/>
    <col min="3848" max="3848" width="1.7109375" customWidth="1"/>
    <col min="3849" max="3849" width="1.5703125" customWidth="1"/>
    <col min="3850" max="3850" width="8.5703125" customWidth="1"/>
    <col min="4087" max="4087" width="4.5703125" customWidth="1"/>
    <col min="4088" max="4088" width="6.42578125" customWidth="1"/>
    <col min="4089" max="4089" width="2.7109375" customWidth="1"/>
    <col min="4090" max="4090" width="6.28515625" customWidth="1"/>
    <col min="4091" max="4091" width="6.5703125" customWidth="1"/>
    <col min="4092" max="4092" width="28.5703125" customWidth="1"/>
    <col min="4093" max="4093" width="3.28515625" customWidth="1"/>
    <col min="4094" max="4094" width="1.5703125" customWidth="1"/>
    <col min="4095" max="4095" width="15.140625" customWidth="1"/>
    <col min="4096" max="4096" width="1.5703125" customWidth="1"/>
    <col min="4097" max="4097" width="13.5703125" customWidth="1"/>
    <col min="4098" max="4098" width="1.5703125" customWidth="1"/>
    <col min="4099" max="4099" width="4.7109375" customWidth="1"/>
    <col min="4100" max="4100" width="1.42578125" customWidth="1"/>
    <col min="4101" max="4101" width="3.28515625" customWidth="1"/>
    <col min="4102" max="4102" width="2" customWidth="1"/>
    <col min="4103" max="4103" width="5.5703125" customWidth="1"/>
    <col min="4104" max="4104" width="1.7109375" customWidth="1"/>
    <col min="4105" max="4105" width="1.5703125" customWidth="1"/>
    <col min="4106" max="4106" width="8.5703125" customWidth="1"/>
    <col min="4343" max="4343" width="4.5703125" customWidth="1"/>
    <col min="4344" max="4344" width="6.42578125" customWidth="1"/>
    <col min="4345" max="4345" width="2.7109375" customWidth="1"/>
    <col min="4346" max="4346" width="6.28515625" customWidth="1"/>
    <col min="4347" max="4347" width="6.5703125" customWidth="1"/>
    <col min="4348" max="4348" width="28.5703125" customWidth="1"/>
    <col min="4349" max="4349" width="3.28515625" customWidth="1"/>
    <col min="4350" max="4350" width="1.5703125" customWidth="1"/>
    <col min="4351" max="4351" width="15.140625" customWidth="1"/>
    <col min="4352" max="4352" width="1.5703125" customWidth="1"/>
    <col min="4353" max="4353" width="13.5703125" customWidth="1"/>
    <col min="4354" max="4354" width="1.5703125" customWidth="1"/>
    <col min="4355" max="4355" width="4.7109375" customWidth="1"/>
    <col min="4356" max="4356" width="1.42578125" customWidth="1"/>
    <col min="4357" max="4357" width="3.28515625" customWidth="1"/>
    <col min="4358" max="4358" width="2" customWidth="1"/>
    <col min="4359" max="4359" width="5.5703125" customWidth="1"/>
    <col min="4360" max="4360" width="1.7109375" customWidth="1"/>
    <col min="4361" max="4361" width="1.5703125" customWidth="1"/>
    <col min="4362" max="4362" width="8.5703125" customWidth="1"/>
    <col min="4599" max="4599" width="4.5703125" customWidth="1"/>
    <col min="4600" max="4600" width="6.42578125" customWidth="1"/>
    <col min="4601" max="4601" width="2.7109375" customWidth="1"/>
    <col min="4602" max="4602" width="6.28515625" customWidth="1"/>
    <col min="4603" max="4603" width="6.5703125" customWidth="1"/>
    <col min="4604" max="4604" width="28.5703125" customWidth="1"/>
    <col min="4605" max="4605" width="3.28515625" customWidth="1"/>
    <col min="4606" max="4606" width="1.5703125" customWidth="1"/>
    <col min="4607" max="4607" width="15.140625" customWidth="1"/>
    <col min="4608" max="4608" width="1.5703125" customWidth="1"/>
    <col min="4609" max="4609" width="13.5703125" customWidth="1"/>
    <col min="4610" max="4610" width="1.5703125" customWidth="1"/>
    <col min="4611" max="4611" width="4.7109375" customWidth="1"/>
    <col min="4612" max="4612" width="1.42578125" customWidth="1"/>
    <col min="4613" max="4613" width="3.28515625" customWidth="1"/>
    <col min="4614" max="4614" width="2" customWidth="1"/>
    <col min="4615" max="4615" width="5.5703125" customWidth="1"/>
    <col min="4616" max="4616" width="1.7109375" customWidth="1"/>
    <col min="4617" max="4617" width="1.5703125" customWidth="1"/>
    <col min="4618" max="4618" width="8.5703125" customWidth="1"/>
    <col min="4855" max="4855" width="4.5703125" customWidth="1"/>
    <col min="4856" max="4856" width="6.42578125" customWidth="1"/>
    <col min="4857" max="4857" width="2.7109375" customWidth="1"/>
    <col min="4858" max="4858" width="6.28515625" customWidth="1"/>
    <col min="4859" max="4859" width="6.5703125" customWidth="1"/>
    <col min="4860" max="4860" width="28.5703125" customWidth="1"/>
    <col min="4861" max="4861" width="3.28515625" customWidth="1"/>
    <col min="4862" max="4862" width="1.5703125" customWidth="1"/>
    <col min="4863" max="4863" width="15.140625" customWidth="1"/>
    <col min="4864" max="4864" width="1.5703125" customWidth="1"/>
    <col min="4865" max="4865" width="13.5703125" customWidth="1"/>
    <col min="4866" max="4866" width="1.5703125" customWidth="1"/>
    <col min="4867" max="4867" width="4.7109375" customWidth="1"/>
    <col min="4868" max="4868" width="1.42578125" customWidth="1"/>
    <col min="4869" max="4869" width="3.28515625" customWidth="1"/>
    <col min="4870" max="4870" width="2" customWidth="1"/>
    <col min="4871" max="4871" width="5.5703125" customWidth="1"/>
    <col min="4872" max="4872" width="1.7109375" customWidth="1"/>
    <col min="4873" max="4873" width="1.5703125" customWidth="1"/>
    <col min="4874" max="4874" width="8.5703125" customWidth="1"/>
    <col min="5111" max="5111" width="4.5703125" customWidth="1"/>
    <col min="5112" max="5112" width="6.42578125" customWidth="1"/>
    <col min="5113" max="5113" width="2.7109375" customWidth="1"/>
    <col min="5114" max="5114" width="6.28515625" customWidth="1"/>
    <col min="5115" max="5115" width="6.5703125" customWidth="1"/>
    <col min="5116" max="5116" width="28.5703125" customWidth="1"/>
    <col min="5117" max="5117" width="3.28515625" customWidth="1"/>
    <col min="5118" max="5118" width="1.5703125" customWidth="1"/>
    <col min="5119" max="5119" width="15.140625" customWidth="1"/>
    <col min="5120" max="5120" width="1.5703125" customWidth="1"/>
    <col min="5121" max="5121" width="13.5703125" customWidth="1"/>
    <col min="5122" max="5122" width="1.5703125" customWidth="1"/>
    <col min="5123" max="5123" width="4.7109375" customWidth="1"/>
    <col min="5124" max="5124" width="1.42578125" customWidth="1"/>
    <col min="5125" max="5125" width="3.28515625" customWidth="1"/>
    <col min="5126" max="5126" width="2" customWidth="1"/>
    <col min="5127" max="5127" width="5.5703125" customWidth="1"/>
    <col min="5128" max="5128" width="1.7109375" customWidth="1"/>
    <col min="5129" max="5129" width="1.5703125" customWidth="1"/>
    <col min="5130" max="5130" width="8.5703125" customWidth="1"/>
    <col min="5367" max="5367" width="4.5703125" customWidth="1"/>
    <col min="5368" max="5368" width="6.42578125" customWidth="1"/>
    <col min="5369" max="5369" width="2.7109375" customWidth="1"/>
    <col min="5370" max="5370" width="6.28515625" customWidth="1"/>
    <col min="5371" max="5371" width="6.5703125" customWidth="1"/>
    <col min="5372" max="5372" width="28.5703125" customWidth="1"/>
    <col min="5373" max="5373" width="3.28515625" customWidth="1"/>
    <col min="5374" max="5374" width="1.5703125" customWidth="1"/>
    <col min="5375" max="5375" width="15.140625" customWidth="1"/>
    <col min="5376" max="5376" width="1.5703125" customWidth="1"/>
    <col min="5377" max="5377" width="13.5703125" customWidth="1"/>
    <col min="5378" max="5378" width="1.5703125" customWidth="1"/>
    <col min="5379" max="5379" width="4.7109375" customWidth="1"/>
    <col min="5380" max="5380" width="1.42578125" customWidth="1"/>
    <col min="5381" max="5381" width="3.28515625" customWidth="1"/>
    <col min="5382" max="5382" width="2" customWidth="1"/>
    <col min="5383" max="5383" width="5.5703125" customWidth="1"/>
    <col min="5384" max="5384" width="1.7109375" customWidth="1"/>
    <col min="5385" max="5385" width="1.5703125" customWidth="1"/>
    <col min="5386" max="5386" width="8.5703125" customWidth="1"/>
    <col min="5623" max="5623" width="4.5703125" customWidth="1"/>
    <col min="5624" max="5624" width="6.42578125" customWidth="1"/>
    <col min="5625" max="5625" width="2.7109375" customWidth="1"/>
    <col min="5626" max="5626" width="6.28515625" customWidth="1"/>
    <col min="5627" max="5627" width="6.5703125" customWidth="1"/>
    <col min="5628" max="5628" width="28.5703125" customWidth="1"/>
    <col min="5629" max="5629" width="3.28515625" customWidth="1"/>
    <col min="5630" max="5630" width="1.5703125" customWidth="1"/>
    <col min="5631" max="5631" width="15.140625" customWidth="1"/>
    <col min="5632" max="5632" width="1.5703125" customWidth="1"/>
    <col min="5633" max="5633" width="13.5703125" customWidth="1"/>
    <col min="5634" max="5634" width="1.5703125" customWidth="1"/>
    <col min="5635" max="5635" width="4.7109375" customWidth="1"/>
    <col min="5636" max="5636" width="1.42578125" customWidth="1"/>
    <col min="5637" max="5637" width="3.28515625" customWidth="1"/>
    <col min="5638" max="5638" width="2" customWidth="1"/>
    <col min="5639" max="5639" width="5.5703125" customWidth="1"/>
    <col min="5640" max="5640" width="1.7109375" customWidth="1"/>
    <col min="5641" max="5641" width="1.5703125" customWidth="1"/>
    <col min="5642" max="5642" width="8.5703125" customWidth="1"/>
    <col min="5879" max="5879" width="4.5703125" customWidth="1"/>
    <col min="5880" max="5880" width="6.42578125" customWidth="1"/>
    <col min="5881" max="5881" width="2.7109375" customWidth="1"/>
    <col min="5882" max="5882" width="6.28515625" customWidth="1"/>
    <col min="5883" max="5883" width="6.5703125" customWidth="1"/>
    <col min="5884" max="5884" width="28.5703125" customWidth="1"/>
    <col min="5885" max="5885" width="3.28515625" customWidth="1"/>
    <col min="5886" max="5886" width="1.5703125" customWidth="1"/>
    <col min="5887" max="5887" width="15.140625" customWidth="1"/>
    <col min="5888" max="5888" width="1.5703125" customWidth="1"/>
    <col min="5889" max="5889" width="13.5703125" customWidth="1"/>
    <col min="5890" max="5890" width="1.5703125" customWidth="1"/>
    <col min="5891" max="5891" width="4.7109375" customWidth="1"/>
    <col min="5892" max="5892" width="1.42578125" customWidth="1"/>
    <col min="5893" max="5893" width="3.28515625" customWidth="1"/>
    <col min="5894" max="5894" width="2" customWidth="1"/>
    <col min="5895" max="5895" width="5.5703125" customWidth="1"/>
    <col min="5896" max="5896" width="1.7109375" customWidth="1"/>
    <col min="5897" max="5897" width="1.5703125" customWidth="1"/>
    <col min="5898" max="5898" width="8.5703125" customWidth="1"/>
    <col min="6135" max="6135" width="4.5703125" customWidth="1"/>
    <col min="6136" max="6136" width="6.42578125" customWidth="1"/>
    <col min="6137" max="6137" width="2.7109375" customWidth="1"/>
    <col min="6138" max="6138" width="6.28515625" customWidth="1"/>
    <col min="6139" max="6139" width="6.5703125" customWidth="1"/>
    <col min="6140" max="6140" width="28.5703125" customWidth="1"/>
    <col min="6141" max="6141" width="3.28515625" customWidth="1"/>
    <col min="6142" max="6142" width="1.5703125" customWidth="1"/>
    <col min="6143" max="6143" width="15.140625" customWidth="1"/>
    <col min="6144" max="6144" width="1.5703125" customWidth="1"/>
    <col min="6145" max="6145" width="13.5703125" customWidth="1"/>
    <col min="6146" max="6146" width="1.5703125" customWidth="1"/>
    <col min="6147" max="6147" width="4.7109375" customWidth="1"/>
    <col min="6148" max="6148" width="1.42578125" customWidth="1"/>
    <col min="6149" max="6149" width="3.28515625" customWidth="1"/>
    <col min="6150" max="6150" width="2" customWidth="1"/>
    <col min="6151" max="6151" width="5.5703125" customWidth="1"/>
    <col min="6152" max="6152" width="1.7109375" customWidth="1"/>
    <col min="6153" max="6153" width="1.5703125" customWidth="1"/>
    <col min="6154" max="6154" width="8.5703125" customWidth="1"/>
    <col min="6391" max="6391" width="4.5703125" customWidth="1"/>
    <col min="6392" max="6392" width="6.42578125" customWidth="1"/>
    <col min="6393" max="6393" width="2.7109375" customWidth="1"/>
    <col min="6394" max="6394" width="6.28515625" customWidth="1"/>
    <col min="6395" max="6395" width="6.5703125" customWidth="1"/>
    <col min="6396" max="6396" width="28.5703125" customWidth="1"/>
    <col min="6397" max="6397" width="3.28515625" customWidth="1"/>
    <col min="6398" max="6398" width="1.5703125" customWidth="1"/>
    <col min="6399" max="6399" width="15.140625" customWidth="1"/>
    <col min="6400" max="6400" width="1.5703125" customWidth="1"/>
    <col min="6401" max="6401" width="13.5703125" customWidth="1"/>
    <col min="6402" max="6402" width="1.5703125" customWidth="1"/>
    <col min="6403" max="6403" width="4.7109375" customWidth="1"/>
    <col min="6404" max="6404" width="1.42578125" customWidth="1"/>
    <col min="6405" max="6405" width="3.28515625" customWidth="1"/>
    <col min="6406" max="6406" width="2" customWidth="1"/>
    <col min="6407" max="6407" width="5.5703125" customWidth="1"/>
    <col min="6408" max="6408" width="1.7109375" customWidth="1"/>
    <col min="6409" max="6409" width="1.5703125" customWidth="1"/>
    <col min="6410" max="6410" width="8.5703125" customWidth="1"/>
    <col min="6647" max="6647" width="4.5703125" customWidth="1"/>
    <col min="6648" max="6648" width="6.42578125" customWidth="1"/>
    <col min="6649" max="6649" width="2.7109375" customWidth="1"/>
    <col min="6650" max="6650" width="6.28515625" customWidth="1"/>
    <col min="6651" max="6651" width="6.5703125" customWidth="1"/>
    <col min="6652" max="6652" width="28.5703125" customWidth="1"/>
    <col min="6653" max="6653" width="3.28515625" customWidth="1"/>
    <col min="6654" max="6654" width="1.5703125" customWidth="1"/>
    <col min="6655" max="6655" width="15.140625" customWidth="1"/>
    <col min="6656" max="6656" width="1.5703125" customWidth="1"/>
    <col min="6657" max="6657" width="13.5703125" customWidth="1"/>
    <col min="6658" max="6658" width="1.5703125" customWidth="1"/>
    <col min="6659" max="6659" width="4.7109375" customWidth="1"/>
    <col min="6660" max="6660" width="1.42578125" customWidth="1"/>
    <col min="6661" max="6661" width="3.28515625" customWidth="1"/>
    <col min="6662" max="6662" width="2" customWidth="1"/>
    <col min="6663" max="6663" width="5.5703125" customWidth="1"/>
    <col min="6664" max="6664" width="1.7109375" customWidth="1"/>
    <col min="6665" max="6665" width="1.5703125" customWidth="1"/>
    <col min="6666" max="6666" width="8.5703125" customWidth="1"/>
    <col min="6903" max="6903" width="4.5703125" customWidth="1"/>
    <col min="6904" max="6904" width="6.42578125" customWidth="1"/>
    <col min="6905" max="6905" width="2.7109375" customWidth="1"/>
    <col min="6906" max="6906" width="6.28515625" customWidth="1"/>
    <col min="6907" max="6907" width="6.5703125" customWidth="1"/>
    <col min="6908" max="6908" width="28.5703125" customWidth="1"/>
    <col min="6909" max="6909" width="3.28515625" customWidth="1"/>
    <col min="6910" max="6910" width="1.5703125" customWidth="1"/>
    <col min="6911" max="6911" width="15.140625" customWidth="1"/>
    <col min="6912" max="6912" width="1.5703125" customWidth="1"/>
    <col min="6913" max="6913" width="13.5703125" customWidth="1"/>
    <col min="6914" max="6914" width="1.5703125" customWidth="1"/>
    <col min="6915" max="6915" width="4.7109375" customWidth="1"/>
    <col min="6916" max="6916" width="1.42578125" customWidth="1"/>
    <col min="6917" max="6917" width="3.28515625" customWidth="1"/>
    <col min="6918" max="6918" width="2" customWidth="1"/>
    <col min="6919" max="6919" width="5.5703125" customWidth="1"/>
    <col min="6920" max="6920" width="1.7109375" customWidth="1"/>
    <col min="6921" max="6921" width="1.5703125" customWidth="1"/>
    <col min="6922" max="6922" width="8.5703125" customWidth="1"/>
    <col min="7159" max="7159" width="4.5703125" customWidth="1"/>
    <col min="7160" max="7160" width="6.42578125" customWidth="1"/>
    <col min="7161" max="7161" width="2.7109375" customWidth="1"/>
    <col min="7162" max="7162" width="6.28515625" customWidth="1"/>
    <col min="7163" max="7163" width="6.5703125" customWidth="1"/>
    <col min="7164" max="7164" width="28.5703125" customWidth="1"/>
    <col min="7165" max="7165" width="3.28515625" customWidth="1"/>
    <col min="7166" max="7166" width="1.5703125" customWidth="1"/>
    <col min="7167" max="7167" width="15.140625" customWidth="1"/>
    <col min="7168" max="7168" width="1.5703125" customWidth="1"/>
    <col min="7169" max="7169" width="13.5703125" customWidth="1"/>
    <col min="7170" max="7170" width="1.5703125" customWidth="1"/>
    <col min="7171" max="7171" width="4.7109375" customWidth="1"/>
    <col min="7172" max="7172" width="1.42578125" customWidth="1"/>
    <col min="7173" max="7173" width="3.28515625" customWidth="1"/>
    <col min="7174" max="7174" width="2" customWidth="1"/>
    <col min="7175" max="7175" width="5.5703125" customWidth="1"/>
    <col min="7176" max="7176" width="1.7109375" customWidth="1"/>
    <col min="7177" max="7177" width="1.5703125" customWidth="1"/>
    <col min="7178" max="7178" width="8.5703125" customWidth="1"/>
    <col min="7415" max="7415" width="4.5703125" customWidth="1"/>
    <col min="7416" max="7416" width="6.42578125" customWidth="1"/>
    <col min="7417" max="7417" width="2.7109375" customWidth="1"/>
    <col min="7418" max="7418" width="6.28515625" customWidth="1"/>
    <col min="7419" max="7419" width="6.5703125" customWidth="1"/>
    <col min="7420" max="7420" width="28.5703125" customWidth="1"/>
    <col min="7421" max="7421" width="3.28515625" customWidth="1"/>
    <col min="7422" max="7422" width="1.5703125" customWidth="1"/>
    <col min="7423" max="7423" width="15.140625" customWidth="1"/>
    <col min="7424" max="7424" width="1.5703125" customWidth="1"/>
    <col min="7425" max="7425" width="13.5703125" customWidth="1"/>
    <col min="7426" max="7426" width="1.5703125" customWidth="1"/>
    <col min="7427" max="7427" width="4.7109375" customWidth="1"/>
    <col min="7428" max="7428" width="1.42578125" customWidth="1"/>
    <col min="7429" max="7429" width="3.28515625" customWidth="1"/>
    <col min="7430" max="7430" width="2" customWidth="1"/>
    <col min="7431" max="7431" width="5.5703125" customWidth="1"/>
    <col min="7432" max="7432" width="1.7109375" customWidth="1"/>
    <col min="7433" max="7433" width="1.5703125" customWidth="1"/>
    <col min="7434" max="7434" width="8.5703125" customWidth="1"/>
    <col min="7671" max="7671" width="4.5703125" customWidth="1"/>
    <col min="7672" max="7672" width="6.42578125" customWidth="1"/>
    <col min="7673" max="7673" width="2.7109375" customWidth="1"/>
    <col min="7674" max="7674" width="6.28515625" customWidth="1"/>
    <col min="7675" max="7675" width="6.5703125" customWidth="1"/>
    <col min="7676" max="7676" width="28.5703125" customWidth="1"/>
    <col min="7677" max="7677" width="3.28515625" customWidth="1"/>
    <col min="7678" max="7678" width="1.5703125" customWidth="1"/>
    <col min="7679" max="7679" width="15.140625" customWidth="1"/>
    <col min="7680" max="7680" width="1.5703125" customWidth="1"/>
    <col min="7681" max="7681" width="13.5703125" customWidth="1"/>
    <col min="7682" max="7682" width="1.5703125" customWidth="1"/>
    <col min="7683" max="7683" width="4.7109375" customWidth="1"/>
    <col min="7684" max="7684" width="1.42578125" customWidth="1"/>
    <col min="7685" max="7685" width="3.28515625" customWidth="1"/>
    <col min="7686" max="7686" width="2" customWidth="1"/>
    <col min="7687" max="7687" width="5.5703125" customWidth="1"/>
    <col min="7688" max="7688" width="1.7109375" customWidth="1"/>
    <col min="7689" max="7689" width="1.5703125" customWidth="1"/>
    <col min="7690" max="7690" width="8.5703125" customWidth="1"/>
    <col min="7927" max="7927" width="4.5703125" customWidth="1"/>
    <col min="7928" max="7928" width="6.42578125" customWidth="1"/>
    <col min="7929" max="7929" width="2.7109375" customWidth="1"/>
    <col min="7930" max="7930" width="6.28515625" customWidth="1"/>
    <col min="7931" max="7931" width="6.5703125" customWidth="1"/>
    <col min="7932" max="7932" width="28.5703125" customWidth="1"/>
    <col min="7933" max="7933" width="3.28515625" customWidth="1"/>
    <col min="7934" max="7934" width="1.5703125" customWidth="1"/>
    <col min="7935" max="7935" width="15.140625" customWidth="1"/>
    <col min="7936" max="7936" width="1.5703125" customWidth="1"/>
    <col min="7937" max="7937" width="13.5703125" customWidth="1"/>
    <col min="7938" max="7938" width="1.5703125" customWidth="1"/>
    <col min="7939" max="7939" width="4.7109375" customWidth="1"/>
    <col min="7940" max="7940" width="1.42578125" customWidth="1"/>
    <col min="7941" max="7941" width="3.28515625" customWidth="1"/>
    <col min="7942" max="7942" width="2" customWidth="1"/>
    <col min="7943" max="7943" width="5.5703125" customWidth="1"/>
    <col min="7944" max="7944" width="1.7109375" customWidth="1"/>
    <col min="7945" max="7945" width="1.5703125" customWidth="1"/>
    <col min="7946" max="7946" width="8.5703125" customWidth="1"/>
    <col min="8183" max="8183" width="4.5703125" customWidth="1"/>
    <col min="8184" max="8184" width="6.42578125" customWidth="1"/>
    <col min="8185" max="8185" width="2.7109375" customWidth="1"/>
    <col min="8186" max="8186" width="6.28515625" customWidth="1"/>
    <col min="8187" max="8187" width="6.5703125" customWidth="1"/>
    <col min="8188" max="8188" width="28.5703125" customWidth="1"/>
    <col min="8189" max="8189" width="3.28515625" customWidth="1"/>
    <col min="8190" max="8190" width="1.5703125" customWidth="1"/>
    <col min="8191" max="8191" width="15.140625" customWidth="1"/>
    <col min="8192" max="8192" width="1.5703125" customWidth="1"/>
    <col min="8193" max="8193" width="13.5703125" customWidth="1"/>
    <col min="8194" max="8194" width="1.5703125" customWidth="1"/>
    <col min="8195" max="8195" width="4.7109375" customWidth="1"/>
    <col min="8196" max="8196" width="1.42578125" customWidth="1"/>
    <col min="8197" max="8197" width="3.28515625" customWidth="1"/>
    <col min="8198" max="8198" width="2" customWidth="1"/>
    <col min="8199" max="8199" width="5.5703125" customWidth="1"/>
    <col min="8200" max="8200" width="1.7109375" customWidth="1"/>
    <col min="8201" max="8201" width="1.5703125" customWidth="1"/>
    <col min="8202" max="8202" width="8.5703125" customWidth="1"/>
    <col min="8439" max="8439" width="4.5703125" customWidth="1"/>
    <col min="8440" max="8440" width="6.42578125" customWidth="1"/>
    <col min="8441" max="8441" width="2.7109375" customWidth="1"/>
    <col min="8442" max="8442" width="6.28515625" customWidth="1"/>
    <col min="8443" max="8443" width="6.5703125" customWidth="1"/>
    <col min="8444" max="8444" width="28.5703125" customWidth="1"/>
    <col min="8445" max="8445" width="3.28515625" customWidth="1"/>
    <col min="8446" max="8446" width="1.5703125" customWidth="1"/>
    <col min="8447" max="8447" width="15.140625" customWidth="1"/>
    <col min="8448" max="8448" width="1.5703125" customWidth="1"/>
    <col min="8449" max="8449" width="13.5703125" customWidth="1"/>
    <col min="8450" max="8450" width="1.5703125" customWidth="1"/>
    <col min="8451" max="8451" width="4.7109375" customWidth="1"/>
    <col min="8452" max="8452" width="1.42578125" customWidth="1"/>
    <col min="8453" max="8453" width="3.28515625" customWidth="1"/>
    <col min="8454" max="8454" width="2" customWidth="1"/>
    <col min="8455" max="8455" width="5.5703125" customWidth="1"/>
    <col min="8456" max="8456" width="1.7109375" customWidth="1"/>
    <col min="8457" max="8457" width="1.5703125" customWidth="1"/>
    <col min="8458" max="8458" width="8.5703125" customWidth="1"/>
    <col min="8695" max="8695" width="4.5703125" customWidth="1"/>
    <col min="8696" max="8696" width="6.42578125" customWidth="1"/>
    <col min="8697" max="8697" width="2.7109375" customWidth="1"/>
    <col min="8698" max="8698" width="6.28515625" customWidth="1"/>
    <col min="8699" max="8699" width="6.5703125" customWidth="1"/>
    <col min="8700" max="8700" width="28.5703125" customWidth="1"/>
    <col min="8701" max="8701" width="3.28515625" customWidth="1"/>
    <col min="8702" max="8702" width="1.5703125" customWidth="1"/>
    <col min="8703" max="8703" width="15.140625" customWidth="1"/>
    <col min="8704" max="8704" width="1.5703125" customWidth="1"/>
    <col min="8705" max="8705" width="13.5703125" customWidth="1"/>
    <col min="8706" max="8706" width="1.5703125" customWidth="1"/>
    <col min="8707" max="8707" width="4.7109375" customWidth="1"/>
    <col min="8708" max="8708" width="1.42578125" customWidth="1"/>
    <col min="8709" max="8709" width="3.28515625" customWidth="1"/>
    <col min="8710" max="8710" width="2" customWidth="1"/>
    <col min="8711" max="8711" width="5.5703125" customWidth="1"/>
    <col min="8712" max="8712" width="1.7109375" customWidth="1"/>
    <col min="8713" max="8713" width="1.5703125" customWidth="1"/>
    <col min="8714" max="8714" width="8.5703125" customWidth="1"/>
    <col min="8951" max="8951" width="4.5703125" customWidth="1"/>
    <col min="8952" max="8952" width="6.42578125" customWidth="1"/>
    <col min="8953" max="8953" width="2.7109375" customWidth="1"/>
    <col min="8954" max="8954" width="6.28515625" customWidth="1"/>
    <col min="8955" max="8955" width="6.5703125" customWidth="1"/>
    <col min="8956" max="8956" width="28.5703125" customWidth="1"/>
    <col min="8957" max="8957" width="3.28515625" customWidth="1"/>
    <col min="8958" max="8958" width="1.5703125" customWidth="1"/>
    <col min="8959" max="8959" width="15.140625" customWidth="1"/>
    <col min="8960" max="8960" width="1.5703125" customWidth="1"/>
    <col min="8961" max="8961" width="13.5703125" customWidth="1"/>
    <col min="8962" max="8962" width="1.5703125" customWidth="1"/>
    <col min="8963" max="8963" width="4.7109375" customWidth="1"/>
    <col min="8964" max="8964" width="1.42578125" customWidth="1"/>
    <col min="8965" max="8965" width="3.28515625" customWidth="1"/>
    <col min="8966" max="8966" width="2" customWidth="1"/>
    <col min="8967" max="8967" width="5.5703125" customWidth="1"/>
    <col min="8968" max="8968" width="1.7109375" customWidth="1"/>
    <col min="8969" max="8969" width="1.5703125" customWidth="1"/>
    <col min="8970" max="8970" width="8.5703125" customWidth="1"/>
    <col min="9207" max="9207" width="4.5703125" customWidth="1"/>
    <col min="9208" max="9208" width="6.42578125" customWidth="1"/>
    <col min="9209" max="9209" width="2.7109375" customWidth="1"/>
    <col min="9210" max="9210" width="6.28515625" customWidth="1"/>
    <col min="9211" max="9211" width="6.5703125" customWidth="1"/>
    <col min="9212" max="9212" width="28.5703125" customWidth="1"/>
    <col min="9213" max="9213" width="3.28515625" customWidth="1"/>
    <col min="9214" max="9214" width="1.5703125" customWidth="1"/>
    <col min="9215" max="9215" width="15.140625" customWidth="1"/>
    <col min="9216" max="9216" width="1.5703125" customWidth="1"/>
    <col min="9217" max="9217" width="13.5703125" customWidth="1"/>
    <col min="9218" max="9218" width="1.5703125" customWidth="1"/>
    <col min="9219" max="9219" width="4.7109375" customWidth="1"/>
    <col min="9220" max="9220" width="1.42578125" customWidth="1"/>
    <col min="9221" max="9221" width="3.28515625" customWidth="1"/>
    <col min="9222" max="9222" width="2" customWidth="1"/>
    <col min="9223" max="9223" width="5.5703125" customWidth="1"/>
    <col min="9224" max="9224" width="1.7109375" customWidth="1"/>
    <col min="9225" max="9225" width="1.5703125" customWidth="1"/>
    <col min="9226" max="9226" width="8.5703125" customWidth="1"/>
    <col min="9463" max="9463" width="4.5703125" customWidth="1"/>
    <col min="9464" max="9464" width="6.42578125" customWidth="1"/>
    <col min="9465" max="9465" width="2.7109375" customWidth="1"/>
    <col min="9466" max="9466" width="6.28515625" customWidth="1"/>
    <col min="9467" max="9467" width="6.5703125" customWidth="1"/>
    <col min="9468" max="9468" width="28.5703125" customWidth="1"/>
    <col min="9469" max="9469" width="3.28515625" customWidth="1"/>
    <col min="9470" max="9470" width="1.5703125" customWidth="1"/>
    <col min="9471" max="9471" width="15.140625" customWidth="1"/>
    <col min="9472" max="9472" width="1.5703125" customWidth="1"/>
    <col min="9473" max="9473" width="13.5703125" customWidth="1"/>
    <col min="9474" max="9474" width="1.5703125" customWidth="1"/>
    <col min="9475" max="9475" width="4.7109375" customWidth="1"/>
    <col min="9476" max="9476" width="1.42578125" customWidth="1"/>
    <col min="9477" max="9477" width="3.28515625" customWidth="1"/>
    <col min="9478" max="9478" width="2" customWidth="1"/>
    <col min="9479" max="9479" width="5.5703125" customWidth="1"/>
    <col min="9480" max="9480" width="1.7109375" customWidth="1"/>
    <col min="9481" max="9481" width="1.5703125" customWidth="1"/>
    <col min="9482" max="9482" width="8.5703125" customWidth="1"/>
    <col min="9719" max="9719" width="4.5703125" customWidth="1"/>
    <col min="9720" max="9720" width="6.42578125" customWidth="1"/>
    <col min="9721" max="9721" width="2.7109375" customWidth="1"/>
    <col min="9722" max="9722" width="6.28515625" customWidth="1"/>
    <col min="9723" max="9723" width="6.5703125" customWidth="1"/>
    <col min="9724" max="9724" width="28.5703125" customWidth="1"/>
    <col min="9725" max="9725" width="3.28515625" customWidth="1"/>
    <col min="9726" max="9726" width="1.5703125" customWidth="1"/>
    <col min="9727" max="9727" width="15.140625" customWidth="1"/>
    <col min="9728" max="9728" width="1.5703125" customWidth="1"/>
    <col min="9729" max="9729" width="13.5703125" customWidth="1"/>
    <col min="9730" max="9730" width="1.5703125" customWidth="1"/>
    <col min="9731" max="9731" width="4.7109375" customWidth="1"/>
    <col min="9732" max="9732" width="1.42578125" customWidth="1"/>
    <col min="9733" max="9733" width="3.28515625" customWidth="1"/>
    <col min="9734" max="9734" width="2" customWidth="1"/>
    <col min="9735" max="9735" width="5.5703125" customWidth="1"/>
    <col min="9736" max="9736" width="1.7109375" customWidth="1"/>
    <col min="9737" max="9737" width="1.5703125" customWidth="1"/>
    <col min="9738" max="9738" width="8.5703125" customWidth="1"/>
    <col min="9975" max="9975" width="4.5703125" customWidth="1"/>
    <col min="9976" max="9976" width="6.42578125" customWidth="1"/>
    <col min="9977" max="9977" width="2.7109375" customWidth="1"/>
    <col min="9978" max="9978" width="6.28515625" customWidth="1"/>
    <col min="9979" max="9979" width="6.5703125" customWidth="1"/>
    <col min="9980" max="9980" width="28.5703125" customWidth="1"/>
    <col min="9981" max="9981" width="3.28515625" customWidth="1"/>
    <col min="9982" max="9982" width="1.5703125" customWidth="1"/>
    <col min="9983" max="9983" width="15.140625" customWidth="1"/>
    <col min="9984" max="9984" width="1.5703125" customWidth="1"/>
    <col min="9985" max="9985" width="13.5703125" customWidth="1"/>
    <col min="9986" max="9986" width="1.5703125" customWidth="1"/>
    <col min="9987" max="9987" width="4.7109375" customWidth="1"/>
    <col min="9988" max="9988" width="1.42578125" customWidth="1"/>
    <col min="9989" max="9989" width="3.28515625" customWidth="1"/>
    <col min="9990" max="9990" width="2" customWidth="1"/>
    <col min="9991" max="9991" width="5.5703125" customWidth="1"/>
    <col min="9992" max="9992" width="1.7109375" customWidth="1"/>
    <col min="9993" max="9993" width="1.5703125" customWidth="1"/>
    <col min="9994" max="9994" width="8.5703125" customWidth="1"/>
    <col min="10231" max="10231" width="4.5703125" customWidth="1"/>
    <col min="10232" max="10232" width="6.42578125" customWidth="1"/>
    <col min="10233" max="10233" width="2.7109375" customWidth="1"/>
    <col min="10234" max="10234" width="6.28515625" customWidth="1"/>
    <col min="10235" max="10235" width="6.5703125" customWidth="1"/>
    <col min="10236" max="10236" width="28.5703125" customWidth="1"/>
    <col min="10237" max="10237" width="3.28515625" customWidth="1"/>
    <col min="10238" max="10238" width="1.5703125" customWidth="1"/>
    <col min="10239" max="10239" width="15.140625" customWidth="1"/>
    <col min="10240" max="10240" width="1.5703125" customWidth="1"/>
    <col min="10241" max="10241" width="13.5703125" customWidth="1"/>
    <col min="10242" max="10242" width="1.5703125" customWidth="1"/>
    <col min="10243" max="10243" width="4.7109375" customWidth="1"/>
    <col min="10244" max="10244" width="1.42578125" customWidth="1"/>
    <col min="10245" max="10245" width="3.28515625" customWidth="1"/>
    <col min="10246" max="10246" width="2" customWidth="1"/>
    <col min="10247" max="10247" width="5.5703125" customWidth="1"/>
    <col min="10248" max="10248" width="1.7109375" customWidth="1"/>
    <col min="10249" max="10249" width="1.5703125" customWidth="1"/>
    <col min="10250" max="10250" width="8.5703125" customWidth="1"/>
    <col min="10487" max="10487" width="4.5703125" customWidth="1"/>
    <col min="10488" max="10488" width="6.42578125" customWidth="1"/>
    <col min="10489" max="10489" width="2.7109375" customWidth="1"/>
    <col min="10490" max="10490" width="6.28515625" customWidth="1"/>
    <col min="10491" max="10491" width="6.5703125" customWidth="1"/>
    <col min="10492" max="10492" width="28.5703125" customWidth="1"/>
    <col min="10493" max="10493" width="3.28515625" customWidth="1"/>
    <col min="10494" max="10494" width="1.5703125" customWidth="1"/>
    <col min="10495" max="10495" width="15.140625" customWidth="1"/>
    <col min="10496" max="10496" width="1.5703125" customWidth="1"/>
    <col min="10497" max="10497" width="13.5703125" customWidth="1"/>
    <col min="10498" max="10498" width="1.5703125" customWidth="1"/>
    <col min="10499" max="10499" width="4.7109375" customWidth="1"/>
    <col min="10500" max="10500" width="1.42578125" customWidth="1"/>
    <col min="10501" max="10501" width="3.28515625" customWidth="1"/>
    <col min="10502" max="10502" width="2" customWidth="1"/>
    <col min="10503" max="10503" width="5.5703125" customWidth="1"/>
    <col min="10504" max="10504" width="1.7109375" customWidth="1"/>
    <col min="10505" max="10505" width="1.5703125" customWidth="1"/>
    <col min="10506" max="10506" width="8.5703125" customWidth="1"/>
    <col min="10743" max="10743" width="4.5703125" customWidth="1"/>
    <col min="10744" max="10744" width="6.42578125" customWidth="1"/>
    <col min="10745" max="10745" width="2.7109375" customWidth="1"/>
    <col min="10746" max="10746" width="6.28515625" customWidth="1"/>
    <col min="10747" max="10747" width="6.5703125" customWidth="1"/>
    <col min="10748" max="10748" width="28.5703125" customWidth="1"/>
    <col min="10749" max="10749" width="3.28515625" customWidth="1"/>
    <col min="10750" max="10750" width="1.5703125" customWidth="1"/>
    <col min="10751" max="10751" width="15.140625" customWidth="1"/>
    <col min="10752" max="10752" width="1.5703125" customWidth="1"/>
    <col min="10753" max="10753" width="13.5703125" customWidth="1"/>
    <col min="10754" max="10754" width="1.5703125" customWidth="1"/>
    <col min="10755" max="10755" width="4.7109375" customWidth="1"/>
    <col min="10756" max="10756" width="1.42578125" customWidth="1"/>
    <col min="10757" max="10757" width="3.28515625" customWidth="1"/>
    <col min="10758" max="10758" width="2" customWidth="1"/>
    <col min="10759" max="10759" width="5.5703125" customWidth="1"/>
    <col min="10760" max="10760" width="1.7109375" customWidth="1"/>
    <col min="10761" max="10761" width="1.5703125" customWidth="1"/>
    <col min="10762" max="10762" width="8.5703125" customWidth="1"/>
    <col min="10999" max="10999" width="4.5703125" customWidth="1"/>
    <col min="11000" max="11000" width="6.42578125" customWidth="1"/>
    <col min="11001" max="11001" width="2.7109375" customWidth="1"/>
    <col min="11002" max="11002" width="6.28515625" customWidth="1"/>
    <col min="11003" max="11003" width="6.5703125" customWidth="1"/>
    <col min="11004" max="11004" width="28.5703125" customWidth="1"/>
    <col min="11005" max="11005" width="3.28515625" customWidth="1"/>
    <col min="11006" max="11006" width="1.5703125" customWidth="1"/>
    <col min="11007" max="11007" width="15.140625" customWidth="1"/>
    <col min="11008" max="11008" width="1.5703125" customWidth="1"/>
    <col min="11009" max="11009" width="13.5703125" customWidth="1"/>
    <col min="11010" max="11010" width="1.5703125" customWidth="1"/>
    <col min="11011" max="11011" width="4.7109375" customWidth="1"/>
    <col min="11012" max="11012" width="1.42578125" customWidth="1"/>
    <col min="11013" max="11013" width="3.28515625" customWidth="1"/>
    <col min="11014" max="11014" width="2" customWidth="1"/>
    <col min="11015" max="11015" width="5.5703125" customWidth="1"/>
    <col min="11016" max="11016" width="1.7109375" customWidth="1"/>
    <col min="11017" max="11017" width="1.5703125" customWidth="1"/>
    <col min="11018" max="11018" width="8.5703125" customWidth="1"/>
    <col min="11255" max="11255" width="4.5703125" customWidth="1"/>
    <col min="11256" max="11256" width="6.42578125" customWidth="1"/>
    <col min="11257" max="11257" width="2.7109375" customWidth="1"/>
    <col min="11258" max="11258" width="6.28515625" customWidth="1"/>
    <col min="11259" max="11259" width="6.5703125" customWidth="1"/>
    <col min="11260" max="11260" width="28.5703125" customWidth="1"/>
    <col min="11261" max="11261" width="3.28515625" customWidth="1"/>
    <col min="11262" max="11262" width="1.5703125" customWidth="1"/>
    <col min="11263" max="11263" width="15.140625" customWidth="1"/>
    <col min="11264" max="11264" width="1.5703125" customWidth="1"/>
    <col min="11265" max="11265" width="13.5703125" customWidth="1"/>
    <col min="11266" max="11266" width="1.5703125" customWidth="1"/>
    <col min="11267" max="11267" width="4.7109375" customWidth="1"/>
    <col min="11268" max="11268" width="1.42578125" customWidth="1"/>
    <col min="11269" max="11269" width="3.28515625" customWidth="1"/>
    <col min="11270" max="11270" width="2" customWidth="1"/>
    <col min="11271" max="11271" width="5.5703125" customWidth="1"/>
    <col min="11272" max="11272" width="1.7109375" customWidth="1"/>
    <col min="11273" max="11273" width="1.5703125" customWidth="1"/>
    <col min="11274" max="11274" width="8.5703125" customWidth="1"/>
    <col min="11511" max="11511" width="4.5703125" customWidth="1"/>
    <col min="11512" max="11512" width="6.42578125" customWidth="1"/>
    <col min="11513" max="11513" width="2.7109375" customWidth="1"/>
    <col min="11514" max="11514" width="6.28515625" customWidth="1"/>
    <col min="11515" max="11515" width="6.5703125" customWidth="1"/>
    <col min="11516" max="11516" width="28.5703125" customWidth="1"/>
    <col min="11517" max="11517" width="3.28515625" customWidth="1"/>
    <col min="11518" max="11518" width="1.5703125" customWidth="1"/>
    <col min="11519" max="11519" width="15.140625" customWidth="1"/>
    <col min="11520" max="11520" width="1.5703125" customWidth="1"/>
    <col min="11521" max="11521" width="13.5703125" customWidth="1"/>
    <col min="11522" max="11522" width="1.5703125" customWidth="1"/>
    <col min="11523" max="11523" width="4.7109375" customWidth="1"/>
    <col min="11524" max="11524" width="1.42578125" customWidth="1"/>
    <col min="11525" max="11525" width="3.28515625" customWidth="1"/>
    <col min="11526" max="11526" width="2" customWidth="1"/>
    <col min="11527" max="11527" width="5.5703125" customWidth="1"/>
    <col min="11528" max="11528" width="1.7109375" customWidth="1"/>
    <col min="11529" max="11529" width="1.5703125" customWidth="1"/>
    <col min="11530" max="11530" width="8.5703125" customWidth="1"/>
    <col min="11767" max="11767" width="4.5703125" customWidth="1"/>
    <col min="11768" max="11768" width="6.42578125" customWidth="1"/>
    <col min="11769" max="11769" width="2.7109375" customWidth="1"/>
    <col min="11770" max="11770" width="6.28515625" customWidth="1"/>
    <col min="11771" max="11771" width="6.5703125" customWidth="1"/>
    <col min="11772" max="11772" width="28.5703125" customWidth="1"/>
    <col min="11773" max="11773" width="3.28515625" customWidth="1"/>
    <col min="11774" max="11774" width="1.5703125" customWidth="1"/>
    <col min="11775" max="11775" width="15.140625" customWidth="1"/>
    <col min="11776" max="11776" width="1.5703125" customWidth="1"/>
    <col min="11777" max="11777" width="13.5703125" customWidth="1"/>
    <col min="11778" max="11778" width="1.5703125" customWidth="1"/>
    <col min="11779" max="11779" width="4.7109375" customWidth="1"/>
    <col min="11780" max="11780" width="1.42578125" customWidth="1"/>
    <col min="11781" max="11781" width="3.28515625" customWidth="1"/>
    <col min="11782" max="11782" width="2" customWidth="1"/>
    <col min="11783" max="11783" width="5.5703125" customWidth="1"/>
    <col min="11784" max="11784" width="1.7109375" customWidth="1"/>
    <col min="11785" max="11785" width="1.5703125" customWidth="1"/>
    <col min="11786" max="11786" width="8.5703125" customWidth="1"/>
    <col min="12023" max="12023" width="4.5703125" customWidth="1"/>
    <col min="12024" max="12024" width="6.42578125" customWidth="1"/>
    <col min="12025" max="12025" width="2.7109375" customWidth="1"/>
    <col min="12026" max="12026" width="6.28515625" customWidth="1"/>
    <col min="12027" max="12027" width="6.5703125" customWidth="1"/>
    <col min="12028" max="12028" width="28.5703125" customWidth="1"/>
    <col min="12029" max="12029" width="3.28515625" customWidth="1"/>
    <col min="12030" max="12030" width="1.5703125" customWidth="1"/>
    <col min="12031" max="12031" width="15.140625" customWidth="1"/>
    <col min="12032" max="12032" width="1.5703125" customWidth="1"/>
    <col min="12033" max="12033" width="13.5703125" customWidth="1"/>
    <col min="12034" max="12034" width="1.5703125" customWidth="1"/>
    <col min="12035" max="12035" width="4.7109375" customWidth="1"/>
    <col min="12036" max="12036" width="1.42578125" customWidth="1"/>
    <col min="12037" max="12037" width="3.28515625" customWidth="1"/>
    <col min="12038" max="12038" width="2" customWidth="1"/>
    <col min="12039" max="12039" width="5.5703125" customWidth="1"/>
    <col min="12040" max="12040" width="1.7109375" customWidth="1"/>
    <col min="12041" max="12041" width="1.5703125" customWidth="1"/>
    <col min="12042" max="12042" width="8.5703125" customWidth="1"/>
    <col min="12279" max="12279" width="4.5703125" customWidth="1"/>
    <col min="12280" max="12280" width="6.42578125" customWidth="1"/>
    <col min="12281" max="12281" width="2.7109375" customWidth="1"/>
    <col min="12282" max="12282" width="6.28515625" customWidth="1"/>
    <col min="12283" max="12283" width="6.5703125" customWidth="1"/>
    <col min="12284" max="12284" width="28.5703125" customWidth="1"/>
    <col min="12285" max="12285" width="3.28515625" customWidth="1"/>
    <col min="12286" max="12286" width="1.5703125" customWidth="1"/>
    <col min="12287" max="12287" width="15.140625" customWidth="1"/>
    <col min="12288" max="12288" width="1.5703125" customWidth="1"/>
    <col min="12289" max="12289" width="13.5703125" customWidth="1"/>
    <col min="12290" max="12290" width="1.5703125" customWidth="1"/>
    <col min="12291" max="12291" width="4.7109375" customWidth="1"/>
    <col min="12292" max="12292" width="1.42578125" customWidth="1"/>
    <col min="12293" max="12293" width="3.28515625" customWidth="1"/>
    <col min="12294" max="12294" width="2" customWidth="1"/>
    <col min="12295" max="12295" width="5.5703125" customWidth="1"/>
    <col min="12296" max="12296" width="1.7109375" customWidth="1"/>
    <col min="12297" max="12297" width="1.5703125" customWidth="1"/>
    <col min="12298" max="12298" width="8.5703125" customWidth="1"/>
    <col min="12535" max="12535" width="4.5703125" customWidth="1"/>
    <col min="12536" max="12536" width="6.42578125" customWidth="1"/>
    <col min="12537" max="12537" width="2.7109375" customWidth="1"/>
    <col min="12538" max="12538" width="6.28515625" customWidth="1"/>
    <col min="12539" max="12539" width="6.5703125" customWidth="1"/>
    <col min="12540" max="12540" width="28.5703125" customWidth="1"/>
    <col min="12541" max="12541" width="3.28515625" customWidth="1"/>
    <col min="12542" max="12542" width="1.5703125" customWidth="1"/>
    <col min="12543" max="12543" width="15.140625" customWidth="1"/>
    <col min="12544" max="12544" width="1.5703125" customWidth="1"/>
    <col min="12545" max="12545" width="13.5703125" customWidth="1"/>
    <col min="12546" max="12546" width="1.5703125" customWidth="1"/>
    <col min="12547" max="12547" width="4.7109375" customWidth="1"/>
    <col min="12548" max="12548" width="1.42578125" customWidth="1"/>
    <col min="12549" max="12549" width="3.28515625" customWidth="1"/>
    <col min="12550" max="12550" width="2" customWidth="1"/>
    <col min="12551" max="12551" width="5.5703125" customWidth="1"/>
    <col min="12552" max="12552" width="1.7109375" customWidth="1"/>
    <col min="12553" max="12553" width="1.5703125" customWidth="1"/>
    <col min="12554" max="12554" width="8.5703125" customWidth="1"/>
    <col min="12791" max="12791" width="4.5703125" customWidth="1"/>
    <col min="12792" max="12792" width="6.42578125" customWidth="1"/>
    <col min="12793" max="12793" width="2.7109375" customWidth="1"/>
    <col min="12794" max="12794" width="6.28515625" customWidth="1"/>
    <col min="12795" max="12795" width="6.5703125" customWidth="1"/>
    <col min="12796" max="12796" width="28.5703125" customWidth="1"/>
    <col min="12797" max="12797" width="3.28515625" customWidth="1"/>
    <col min="12798" max="12798" width="1.5703125" customWidth="1"/>
    <col min="12799" max="12799" width="15.140625" customWidth="1"/>
    <col min="12800" max="12800" width="1.5703125" customWidth="1"/>
    <col min="12801" max="12801" width="13.5703125" customWidth="1"/>
    <col min="12802" max="12802" width="1.5703125" customWidth="1"/>
    <col min="12803" max="12803" width="4.7109375" customWidth="1"/>
    <col min="12804" max="12804" width="1.42578125" customWidth="1"/>
    <col min="12805" max="12805" width="3.28515625" customWidth="1"/>
    <col min="12806" max="12806" width="2" customWidth="1"/>
    <col min="12807" max="12807" width="5.5703125" customWidth="1"/>
    <col min="12808" max="12808" width="1.7109375" customWidth="1"/>
    <col min="12809" max="12809" width="1.5703125" customWidth="1"/>
    <col min="12810" max="12810" width="8.5703125" customWidth="1"/>
    <col min="13047" max="13047" width="4.5703125" customWidth="1"/>
    <col min="13048" max="13048" width="6.42578125" customWidth="1"/>
    <col min="13049" max="13049" width="2.7109375" customWidth="1"/>
    <col min="13050" max="13050" width="6.28515625" customWidth="1"/>
    <col min="13051" max="13051" width="6.5703125" customWidth="1"/>
    <col min="13052" max="13052" width="28.5703125" customWidth="1"/>
    <col min="13053" max="13053" width="3.28515625" customWidth="1"/>
    <col min="13054" max="13054" width="1.5703125" customWidth="1"/>
    <col min="13055" max="13055" width="15.140625" customWidth="1"/>
    <col min="13056" max="13056" width="1.5703125" customWidth="1"/>
    <col min="13057" max="13057" width="13.5703125" customWidth="1"/>
    <col min="13058" max="13058" width="1.5703125" customWidth="1"/>
    <col min="13059" max="13059" width="4.7109375" customWidth="1"/>
    <col min="13060" max="13060" width="1.42578125" customWidth="1"/>
    <col min="13061" max="13061" width="3.28515625" customWidth="1"/>
    <col min="13062" max="13062" width="2" customWidth="1"/>
    <col min="13063" max="13063" width="5.5703125" customWidth="1"/>
    <col min="13064" max="13064" width="1.7109375" customWidth="1"/>
    <col min="13065" max="13065" width="1.5703125" customWidth="1"/>
    <col min="13066" max="13066" width="8.5703125" customWidth="1"/>
    <col min="13303" max="13303" width="4.5703125" customWidth="1"/>
    <col min="13304" max="13304" width="6.42578125" customWidth="1"/>
    <col min="13305" max="13305" width="2.7109375" customWidth="1"/>
    <col min="13306" max="13306" width="6.28515625" customWidth="1"/>
    <col min="13307" max="13307" width="6.5703125" customWidth="1"/>
    <col min="13308" max="13308" width="28.5703125" customWidth="1"/>
    <col min="13309" max="13309" width="3.28515625" customWidth="1"/>
    <col min="13310" max="13310" width="1.5703125" customWidth="1"/>
    <col min="13311" max="13311" width="15.140625" customWidth="1"/>
    <col min="13312" max="13312" width="1.5703125" customWidth="1"/>
    <col min="13313" max="13313" width="13.5703125" customWidth="1"/>
    <col min="13314" max="13314" width="1.5703125" customWidth="1"/>
    <col min="13315" max="13315" width="4.7109375" customWidth="1"/>
    <col min="13316" max="13316" width="1.42578125" customWidth="1"/>
    <col min="13317" max="13317" width="3.28515625" customWidth="1"/>
    <col min="13318" max="13318" width="2" customWidth="1"/>
    <col min="13319" max="13319" width="5.5703125" customWidth="1"/>
    <col min="13320" max="13320" width="1.7109375" customWidth="1"/>
    <col min="13321" max="13321" width="1.5703125" customWidth="1"/>
    <col min="13322" max="13322" width="8.5703125" customWidth="1"/>
    <col min="13559" max="13559" width="4.5703125" customWidth="1"/>
    <col min="13560" max="13560" width="6.42578125" customWidth="1"/>
    <col min="13561" max="13561" width="2.7109375" customWidth="1"/>
    <col min="13562" max="13562" width="6.28515625" customWidth="1"/>
    <col min="13563" max="13563" width="6.5703125" customWidth="1"/>
    <col min="13564" max="13564" width="28.5703125" customWidth="1"/>
    <col min="13565" max="13565" width="3.28515625" customWidth="1"/>
    <col min="13566" max="13566" width="1.5703125" customWidth="1"/>
    <col min="13567" max="13567" width="15.140625" customWidth="1"/>
    <col min="13568" max="13568" width="1.5703125" customWidth="1"/>
    <col min="13569" max="13569" width="13.5703125" customWidth="1"/>
    <col min="13570" max="13570" width="1.5703125" customWidth="1"/>
    <col min="13571" max="13571" width="4.7109375" customWidth="1"/>
    <col min="13572" max="13572" width="1.42578125" customWidth="1"/>
    <col min="13573" max="13573" width="3.28515625" customWidth="1"/>
    <col min="13574" max="13574" width="2" customWidth="1"/>
    <col min="13575" max="13575" width="5.5703125" customWidth="1"/>
    <col min="13576" max="13576" width="1.7109375" customWidth="1"/>
    <col min="13577" max="13577" width="1.5703125" customWidth="1"/>
    <col min="13578" max="13578" width="8.5703125" customWidth="1"/>
    <col min="13815" max="13815" width="4.5703125" customWidth="1"/>
    <col min="13816" max="13816" width="6.42578125" customWidth="1"/>
    <col min="13817" max="13817" width="2.7109375" customWidth="1"/>
    <col min="13818" max="13818" width="6.28515625" customWidth="1"/>
    <col min="13819" max="13819" width="6.5703125" customWidth="1"/>
    <col min="13820" max="13820" width="28.5703125" customWidth="1"/>
    <col min="13821" max="13821" width="3.28515625" customWidth="1"/>
    <col min="13822" max="13822" width="1.5703125" customWidth="1"/>
    <col min="13823" max="13823" width="15.140625" customWidth="1"/>
    <col min="13824" max="13824" width="1.5703125" customWidth="1"/>
    <col min="13825" max="13825" width="13.5703125" customWidth="1"/>
    <col min="13826" max="13826" width="1.5703125" customWidth="1"/>
    <col min="13827" max="13827" width="4.7109375" customWidth="1"/>
    <col min="13828" max="13828" width="1.42578125" customWidth="1"/>
    <col min="13829" max="13829" width="3.28515625" customWidth="1"/>
    <col min="13830" max="13830" width="2" customWidth="1"/>
    <col min="13831" max="13831" width="5.5703125" customWidth="1"/>
    <col min="13832" max="13832" width="1.7109375" customWidth="1"/>
    <col min="13833" max="13833" width="1.5703125" customWidth="1"/>
    <col min="13834" max="13834" width="8.5703125" customWidth="1"/>
    <col min="14071" max="14071" width="4.5703125" customWidth="1"/>
    <col min="14072" max="14072" width="6.42578125" customWidth="1"/>
    <col min="14073" max="14073" width="2.7109375" customWidth="1"/>
    <col min="14074" max="14074" width="6.28515625" customWidth="1"/>
    <col min="14075" max="14075" width="6.5703125" customWidth="1"/>
    <col min="14076" max="14076" width="28.5703125" customWidth="1"/>
    <col min="14077" max="14077" width="3.28515625" customWidth="1"/>
    <col min="14078" max="14078" width="1.5703125" customWidth="1"/>
    <col min="14079" max="14079" width="15.140625" customWidth="1"/>
    <col min="14080" max="14080" width="1.5703125" customWidth="1"/>
    <col min="14081" max="14081" width="13.5703125" customWidth="1"/>
    <col min="14082" max="14082" width="1.5703125" customWidth="1"/>
    <col min="14083" max="14083" width="4.7109375" customWidth="1"/>
    <col min="14084" max="14084" width="1.42578125" customWidth="1"/>
    <col min="14085" max="14085" width="3.28515625" customWidth="1"/>
    <col min="14086" max="14086" width="2" customWidth="1"/>
    <col min="14087" max="14087" width="5.5703125" customWidth="1"/>
    <col min="14088" max="14088" width="1.7109375" customWidth="1"/>
    <col min="14089" max="14089" width="1.5703125" customWidth="1"/>
    <col min="14090" max="14090" width="8.5703125" customWidth="1"/>
    <col min="14327" max="14327" width="4.5703125" customWidth="1"/>
    <col min="14328" max="14328" width="6.42578125" customWidth="1"/>
    <col min="14329" max="14329" width="2.7109375" customWidth="1"/>
    <col min="14330" max="14330" width="6.28515625" customWidth="1"/>
    <col min="14331" max="14331" width="6.5703125" customWidth="1"/>
    <col min="14332" max="14332" width="28.5703125" customWidth="1"/>
    <col min="14333" max="14333" width="3.28515625" customWidth="1"/>
    <col min="14334" max="14334" width="1.5703125" customWidth="1"/>
    <col min="14335" max="14335" width="15.140625" customWidth="1"/>
    <col min="14336" max="14336" width="1.5703125" customWidth="1"/>
    <col min="14337" max="14337" width="13.5703125" customWidth="1"/>
    <col min="14338" max="14338" width="1.5703125" customWidth="1"/>
    <col min="14339" max="14339" width="4.7109375" customWidth="1"/>
    <col min="14340" max="14340" width="1.42578125" customWidth="1"/>
    <col min="14341" max="14341" width="3.28515625" customWidth="1"/>
    <col min="14342" max="14342" width="2" customWidth="1"/>
    <col min="14343" max="14343" width="5.5703125" customWidth="1"/>
    <col min="14344" max="14344" width="1.7109375" customWidth="1"/>
    <col min="14345" max="14345" width="1.5703125" customWidth="1"/>
    <col min="14346" max="14346" width="8.5703125" customWidth="1"/>
    <col min="14583" max="14583" width="4.5703125" customWidth="1"/>
    <col min="14584" max="14584" width="6.42578125" customWidth="1"/>
    <col min="14585" max="14585" width="2.7109375" customWidth="1"/>
    <col min="14586" max="14586" width="6.28515625" customWidth="1"/>
    <col min="14587" max="14587" width="6.5703125" customWidth="1"/>
    <col min="14588" max="14588" width="28.5703125" customWidth="1"/>
    <col min="14589" max="14589" width="3.28515625" customWidth="1"/>
    <col min="14590" max="14590" width="1.5703125" customWidth="1"/>
    <col min="14591" max="14591" width="15.140625" customWidth="1"/>
    <col min="14592" max="14592" width="1.5703125" customWidth="1"/>
    <col min="14593" max="14593" width="13.5703125" customWidth="1"/>
    <col min="14594" max="14594" width="1.5703125" customWidth="1"/>
    <col min="14595" max="14595" width="4.7109375" customWidth="1"/>
    <col min="14596" max="14596" width="1.42578125" customWidth="1"/>
    <col min="14597" max="14597" width="3.28515625" customWidth="1"/>
    <col min="14598" max="14598" width="2" customWidth="1"/>
    <col min="14599" max="14599" width="5.5703125" customWidth="1"/>
    <col min="14600" max="14600" width="1.7109375" customWidth="1"/>
    <col min="14601" max="14601" width="1.5703125" customWidth="1"/>
    <col min="14602" max="14602" width="8.5703125" customWidth="1"/>
    <col min="14839" max="14839" width="4.5703125" customWidth="1"/>
    <col min="14840" max="14840" width="6.42578125" customWidth="1"/>
    <col min="14841" max="14841" width="2.7109375" customWidth="1"/>
    <col min="14842" max="14842" width="6.28515625" customWidth="1"/>
    <col min="14843" max="14843" width="6.5703125" customWidth="1"/>
    <col min="14844" max="14844" width="28.5703125" customWidth="1"/>
    <col min="14845" max="14845" width="3.28515625" customWidth="1"/>
    <col min="14846" max="14846" width="1.5703125" customWidth="1"/>
    <col min="14847" max="14847" width="15.140625" customWidth="1"/>
    <col min="14848" max="14848" width="1.5703125" customWidth="1"/>
    <col min="14849" max="14849" width="13.5703125" customWidth="1"/>
    <col min="14850" max="14850" width="1.5703125" customWidth="1"/>
    <col min="14851" max="14851" width="4.7109375" customWidth="1"/>
    <col min="14852" max="14852" width="1.42578125" customWidth="1"/>
    <col min="14853" max="14853" width="3.28515625" customWidth="1"/>
    <col min="14854" max="14854" width="2" customWidth="1"/>
    <col min="14855" max="14855" width="5.5703125" customWidth="1"/>
    <col min="14856" max="14856" width="1.7109375" customWidth="1"/>
    <col min="14857" max="14857" width="1.5703125" customWidth="1"/>
    <col min="14858" max="14858" width="8.5703125" customWidth="1"/>
    <col min="15095" max="15095" width="4.5703125" customWidth="1"/>
    <col min="15096" max="15096" width="6.42578125" customWidth="1"/>
    <col min="15097" max="15097" width="2.7109375" customWidth="1"/>
    <col min="15098" max="15098" width="6.28515625" customWidth="1"/>
    <col min="15099" max="15099" width="6.5703125" customWidth="1"/>
    <col min="15100" max="15100" width="28.5703125" customWidth="1"/>
    <col min="15101" max="15101" width="3.28515625" customWidth="1"/>
    <col min="15102" max="15102" width="1.5703125" customWidth="1"/>
    <col min="15103" max="15103" width="15.140625" customWidth="1"/>
    <col min="15104" max="15104" width="1.5703125" customWidth="1"/>
    <col min="15105" max="15105" width="13.5703125" customWidth="1"/>
    <col min="15106" max="15106" width="1.5703125" customWidth="1"/>
    <col min="15107" max="15107" width="4.7109375" customWidth="1"/>
    <col min="15108" max="15108" width="1.42578125" customWidth="1"/>
    <col min="15109" max="15109" width="3.28515625" customWidth="1"/>
    <col min="15110" max="15110" width="2" customWidth="1"/>
    <col min="15111" max="15111" width="5.5703125" customWidth="1"/>
    <col min="15112" max="15112" width="1.7109375" customWidth="1"/>
    <col min="15113" max="15113" width="1.5703125" customWidth="1"/>
    <col min="15114" max="15114" width="8.5703125" customWidth="1"/>
    <col min="15351" max="15351" width="4.5703125" customWidth="1"/>
    <col min="15352" max="15352" width="6.42578125" customWidth="1"/>
    <col min="15353" max="15353" width="2.7109375" customWidth="1"/>
    <col min="15354" max="15354" width="6.28515625" customWidth="1"/>
    <col min="15355" max="15355" width="6.5703125" customWidth="1"/>
    <col min="15356" max="15356" width="28.5703125" customWidth="1"/>
    <col min="15357" max="15357" width="3.28515625" customWidth="1"/>
    <col min="15358" max="15358" width="1.5703125" customWidth="1"/>
    <col min="15359" max="15359" width="15.140625" customWidth="1"/>
    <col min="15360" max="15360" width="1.5703125" customWidth="1"/>
    <col min="15361" max="15361" width="13.5703125" customWidth="1"/>
    <col min="15362" max="15362" width="1.5703125" customWidth="1"/>
    <col min="15363" max="15363" width="4.7109375" customWidth="1"/>
    <col min="15364" max="15364" width="1.42578125" customWidth="1"/>
    <col min="15365" max="15365" width="3.28515625" customWidth="1"/>
    <col min="15366" max="15366" width="2" customWidth="1"/>
    <col min="15367" max="15367" width="5.5703125" customWidth="1"/>
    <col min="15368" max="15368" width="1.7109375" customWidth="1"/>
    <col min="15369" max="15369" width="1.5703125" customWidth="1"/>
    <col min="15370" max="15370" width="8.5703125" customWidth="1"/>
    <col min="15607" max="15607" width="4.5703125" customWidth="1"/>
    <col min="15608" max="15608" width="6.42578125" customWidth="1"/>
    <col min="15609" max="15609" width="2.7109375" customWidth="1"/>
    <col min="15610" max="15610" width="6.28515625" customWidth="1"/>
    <col min="15611" max="15611" width="6.5703125" customWidth="1"/>
    <col min="15612" max="15612" width="28.5703125" customWidth="1"/>
    <col min="15613" max="15613" width="3.28515625" customWidth="1"/>
    <col min="15614" max="15614" width="1.5703125" customWidth="1"/>
    <col min="15615" max="15615" width="15.140625" customWidth="1"/>
    <col min="15616" max="15616" width="1.5703125" customWidth="1"/>
    <col min="15617" max="15617" width="13.5703125" customWidth="1"/>
    <col min="15618" max="15618" width="1.5703125" customWidth="1"/>
    <col min="15619" max="15619" width="4.7109375" customWidth="1"/>
    <col min="15620" max="15620" width="1.42578125" customWidth="1"/>
    <col min="15621" max="15621" width="3.28515625" customWidth="1"/>
    <col min="15622" max="15622" width="2" customWidth="1"/>
    <col min="15623" max="15623" width="5.5703125" customWidth="1"/>
    <col min="15624" max="15624" width="1.7109375" customWidth="1"/>
    <col min="15625" max="15625" width="1.5703125" customWidth="1"/>
    <col min="15626" max="15626" width="8.5703125" customWidth="1"/>
    <col min="15863" max="15863" width="4.5703125" customWidth="1"/>
    <col min="15864" max="15864" width="6.42578125" customWidth="1"/>
    <col min="15865" max="15865" width="2.7109375" customWidth="1"/>
    <col min="15866" max="15866" width="6.28515625" customWidth="1"/>
    <col min="15867" max="15867" width="6.5703125" customWidth="1"/>
    <col min="15868" max="15868" width="28.5703125" customWidth="1"/>
    <col min="15869" max="15869" width="3.28515625" customWidth="1"/>
    <col min="15870" max="15870" width="1.5703125" customWidth="1"/>
    <col min="15871" max="15871" width="15.140625" customWidth="1"/>
    <col min="15872" max="15872" width="1.5703125" customWidth="1"/>
    <col min="15873" max="15873" width="13.5703125" customWidth="1"/>
    <col min="15874" max="15874" width="1.5703125" customWidth="1"/>
    <col min="15875" max="15875" width="4.7109375" customWidth="1"/>
    <col min="15876" max="15876" width="1.42578125" customWidth="1"/>
    <col min="15877" max="15877" width="3.28515625" customWidth="1"/>
    <col min="15878" max="15878" width="2" customWidth="1"/>
    <col min="15879" max="15879" width="5.5703125" customWidth="1"/>
    <col min="15880" max="15880" width="1.7109375" customWidth="1"/>
    <col min="15881" max="15881" width="1.5703125" customWidth="1"/>
    <col min="15882" max="15882" width="8.5703125" customWidth="1"/>
    <col min="16119" max="16119" width="4.5703125" customWidth="1"/>
    <col min="16120" max="16120" width="6.42578125" customWidth="1"/>
    <col min="16121" max="16121" width="2.7109375" customWidth="1"/>
    <col min="16122" max="16122" width="6.28515625" customWidth="1"/>
    <col min="16123" max="16123" width="6.5703125" customWidth="1"/>
    <col min="16124" max="16124" width="28.5703125" customWidth="1"/>
    <col min="16125" max="16125" width="3.28515625" customWidth="1"/>
    <col min="16126" max="16126" width="1.5703125" customWidth="1"/>
    <col min="16127" max="16127" width="15.140625" customWidth="1"/>
    <col min="16128" max="16128" width="1.5703125" customWidth="1"/>
    <col min="16129" max="16129" width="13.5703125" customWidth="1"/>
    <col min="16130" max="16130" width="1.5703125" customWidth="1"/>
    <col min="16131" max="16131" width="4.7109375" customWidth="1"/>
    <col min="16132" max="16132" width="1.42578125" customWidth="1"/>
    <col min="16133" max="16133" width="3.28515625" customWidth="1"/>
    <col min="16134" max="16134" width="2" customWidth="1"/>
    <col min="16135" max="16135" width="5.5703125" customWidth="1"/>
    <col min="16136" max="16136" width="1.7109375" customWidth="1"/>
    <col min="16137" max="16137" width="1.5703125" customWidth="1"/>
    <col min="16138" max="16138" width="8.5703125" customWidth="1"/>
  </cols>
  <sheetData>
    <row r="1" spans="1:10" x14ac:dyDescent="0.25">
      <c r="A1" s="15" t="s">
        <v>55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25">
      <c r="A2" s="15" t="s">
        <v>56</v>
      </c>
      <c r="B2" s="10" t="s">
        <v>57</v>
      </c>
      <c r="C2" s="10" t="s">
        <v>58</v>
      </c>
      <c r="D2" s="15" t="s">
        <v>59</v>
      </c>
      <c r="E2" s="10" t="s">
        <v>60</v>
      </c>
      <c r="F2" s="15"/>
      <c r="G2" s="15"/>
      <c r="H2" s="15"/>
    </row>
    <row r="3" spans="1:10" ht="21" x14ac:dyDescent="0.25">
      <c r="A3" s="15" t="s">
        <v>137</v>
      </c>
      <c r="B3" s="18"/>
      <c r="C3" s="18"/>
      <c r="D3" s="18"/>
      <c r="E3" s="18"/>
      <c r="F3" s="18"/>
      <c r="G3" s="18"/>
      <c r="H3" s="18"/>
      <c r="I3" s="18"/>
    </row>
    <row r="4" spans="1:10" x14ac:dyDescent="0.25">
      <c r="A4" s="18" t="s">
        <v>61</v>
      </c>
      <c r="B4" s="11">
        <v>5207029.91</v>
      </c>
      <c r="C4" s="12">
        <v>0.12</v>
      </c>
      <c r="D4" s="17">
        <v>624843.59</v>
      </c>
      <c r="E4" s="12">
        <v>0.09</v>
      </c>
      <c r="F4" s="17"/>
      <c r="G4" s="17"/>
      <c r="H4" s="17"/>
    </row>
    <row r="5" spans="1:10" x14ac:dyDescent="0.25">
      <c r="A5" s="18" t="s">
        <v>62</v>
      </c>
      <c r="B5" s="11">
        <v>-10656.78</v>
      </c>
      <c r="D5" s="17">
        <v>-1278.81</v>
      </c>
      <c r="F5" s="17"/>
      <c r="G5" s="17"/>
      <c r="H5" s="17"/>
    </row>
    <row r="6" spans="1:10" x14ac:dyDescent="0.25">
      <c r="A6" s="15" t="s">
        <v>63</v>
      </c>
      <c r="B6" s="11">
        <v>5196373.13</v>
      </c>
      <c r="D6" s="17">
        <v>623564.78</v>
      </c>
      <c r="F6" s="17"/>
      <c r="G6" s="17"/>
      <c r="H6" s="17"/>
    </row>
    <row r="7" spans="1:10" x14ac:dyDescent="0.25">
      <c r="A7" s="18" t="s">
        <v>64</v>
      </c>
      <c r="B7" s="11">
        <v>-181716.84</v>
      </c>
      <c r="C7" s="12">
        <v>0.12</v>
      </c>
      <c r="D7" s="17">
        <v>-21806.02</v>
      </c>
      <c r="E7" s="12">
        <v>0.09</v>
      </c>
      <c r="F7" s="17"/>
      <c r="G7" s="17"/>
      <c r="H7" s="17"/>
    </row>
    <row r="8" spans="1:10" x14ac:dyDescent="0.25">
      <c r="A8" s="18" t="s">
        <v>62</v>
      </c>
      <c r="B8" s="11">
        <v>0.71</v>
      </c>
      <c r="D8" s="17">
        <v>0.09</v>
      </c>
      <c r="E8" s="17"/>
      <c r="F8" s="17"/>
      <c r="G8" s="17"/>
      <c r="H8" s="17"/>
    </row>
    <row r="9" spans="1:10" x14ac:dyDescent="0.25">
      <c r="A9" s="15" t="s">
        <v>63</v>
      </c>
      <c r="B9" s="11">
        <v>-181716.13</v>
      </c>
      <c r="D9" s="17">
        <v>-21805.94</v>
      </c>
      <c r="E9" s="17"/>
      <c r="F9" s="17"/>
      <c r="G9" s="17"/>
      <c r="H9" s="17"/>
    </row>
    <row r="10" spans="1:10" x14ac:dyDescent="0.25">
      <c r="A10" s="15" t="s">
        <v>65</v>
      </c>
      <c r="B10" s="11">
        <v>5014657</v>
      </c>
      <c r="D10" s="17">
        <v>601758.84</v>
      </c>
      <c r="E10" s="17"/>
      <c r="F10" s="17"/>
      <c r="G10" s="17"/>
      <c r="H10" s="17"/>
    </row>
    <row r="11" spans="1:10" x14ac:dyDescent="0.25">
      <c r="A11" s="15" t="s">
        <v>66</v>
      </c>
      <c r="B11" s="11">
        <v>5014657</v>
      </c>
      <c r="D11" s="17">
        <v>601758.84</v>
      </c>
      <c r="E11" s="17"/>
      <c r="F11" s="17"/>
      <c r="G11" s="17"/>
      <c r="H11" s="17"/>
    </row>
    <row r="12" spans="1:10" x14ac:dyDescent="0.25">
      <c r="A12" s="15" t="s">
        <v>67</v>
      </c>
      <c r="B12" s="15"/>
      <c r="C12" s="15"/>
      <c r="D12" s="15"/>
      <c r="E12" s="15"/>
      <c r="F12" s="15"/>
      <c r="G12" s="15"/>
      <c r="H12" s="15"/>
      <c r="I12" s="15"/>
      <c r="J12" s="15"/>
    </row>
    <row r="13" spans="1:10" x14ac:dyDescent="0.25">
      <c r="A13" s="15" t="s">
        <v>68</v>
      </c>
      <c r="B13" s="10" t="s">
        <v>57</v>
      </c>
      <c r="C13" s="10" t="s">
        <v>58</v>
      </c>
      <c r="D13" s="15" t="s">
        <v>59</v>
      </c>
      <c r="H13" s="15"/>
      <c r="I13" s="15"/>
      <c r="J13" s="15"/>
    </row>
    <row r="14" spans="1:10" x14ac:dyDescent="0.25">
      <c r="A14" s="18" t="s">
        <v>69</v>
      </c>
      <c r="B14" s="11">
        <v>1250000</v>
      </c>
      <c r="C14" s="12">
        <v>0.12</v>
      </c>
      <c r="D14" s="17">
        <v>150000</v>
      </c>
      <c r="H14" s="17"/>
      <c r="I14" s="17"/>
      <c r="J14" s="17"/>
    </row>
    <row r="15" spans="1:10" x14ac:dyDescent="0.25">
      <c r="A15" s="18" t="s">
        <v>70</v>
      </c>
      <c r="B15" s="11">
        <v>3764657</v>
      </c>
      <c r="C15" s="12">
        <v>0.13200000000000001</v>
      </c>
      <c r="D15" s="17">
        <v>496934.72</v>
      </c>
      <c r="H15" s="17"/>
      <c r="I15" s="17"/>
      <c r="J15" s="17"/>
    </row>
    <row r="16" spans="1:10" x14ac:dyDescent="0.25">
      <c r="A16" s="15" t="s">
        <v>71</v>
      </c>
      <c r="B16" s="11">
        <v>5014657</v>
      </c>
      <c r="D16" s="17">
        <v>646934.72</v>
      </c>
      <c r="H16" s="17"/>
      <c r="I16" s="17"/>
      <c r="J16" s="17"/>
    </row>
    <row r="17" spans="1:10" x14ac:dyDescent="0.25">
      <c r="A17" s="15" t="s">
        <v>72</v>
      </c>
      <c r="B17" s="15"/>
      <c r="C17" s="15"/>
      <c r="D17" s="15"/>
      <c r="E17" s="15"/>
      <c r="F17" s="15"/>
      <c r="G17" s="15"/>
      <c r="H17" s="15"/>
      <c r="I17" s="15"/>
      <c r="J17" s="15"/>
    </row>
    <row r="18" spans="1:10" x14ac:dyDescent="0.25">
      <c r="A18" s="15" t="s">
        <v>68</v>
      </c>
      <c r="B18" s="15" t="s">
        <v>73</v>
      </c>
      <c r="C18" s="15"/>
      <c r="D18" s="15"/>
      <c r="F18" s="15"/>
      <c r="G18" s="15"/>
      <c r="H18" s="15"/>
      <c r="I18" s="15"/>
      <c r="J18" s="15"/>
    </row>
    <row r="19" spans="1:10" x14ac:dyDescent="0.25">
      <c r="A19" s="18" t="s">
        <v>74</v>
      </c>
      <c r="B19" s="17">
        <v>0</v>
      </c>
      <c r="C19" s="16" t="s">
        <v>75</v>
      </c>
      <c r="D19" s="16"/>
      <c r="F19" s="17"/>
      <c r="G19" s="17"/>
      <c r="H19" s="17"/>
      <c r="I19" s="17"/>
      <c r="J19" s="17"/>
    </row>
    <row r="20" spans="1:10" x14ac:dyDescent="0.25">
      <c r="A20" s="18" t="s">
        <v>76</v>
      </c>
      <c r="B20" s="17">
        <v>58224.12</v>
      </c>
      <c r="C20" s="16" t="s">
        <v>75</v>
      </c>
      <c r="D20" s="16"/>
      <c r="F20" s="17"/>
      <c r="G20" s="17"/>
      <c r="H20" s="17"/>
      <c r="I20" s="17"/>
      <c r="J20" s="17"/>
    </row>
    <row r="21" spans="1:10" x14ac:dyDescent="0.25">
      <c r="A21" s="18" t="s">
        <v>77</v>
      </c>
      <c r="B21" s="17">
        <v>0</v>
      </c>
      <c r="C21" s="16" t="s">
        <v>75</v>
      </c>
      <c r="D21" s="16"/>
      <c r="F21" s="17"/>
      <c r="G21" s="17"/>
      <c r="H21" s="17"/>
      <c r="I21" s="17"/>
      <c r="J21" s="17"/>
    </row>
    <row r="22" spans="1:10" x14ac:dyDescent="0.25">
      <c r="A22" s="18" t="s">
        <v>78</v>
      </c>
      <c r="B22" s="17">
        <v>0</v>
      </c>
      <c r="C22" s="16" t="s">
        <v>75</v>
      </c>
      <c r="D22" s="16"/>
      <c r="F22" s="17"/>
      <c r="G22" s="17"/>
      <c r="H22" s="17"/>
      <c r="I22" s="17"/>
      <c r="J22" s="17"/>
    </row>
    <row r="23" spans="1:10" x14ac:dyDescent="0.25">
      <c r="A23" s="18" t="s">
        <v>79</v>
      </c>
      <c r="B23" s="17">
        <v>0</v>
      </c>
      <c r="C23" s="16" t="s">
        <v>75</v>
      </c>
      <c r="D23" s="16"/>
      <c r="F23" s="17"/>
      <c r="G23" s="17"/>
      <c r="H23" s="17"/>
      <c r="I23" s="17"/>
      <c r="J23" s="17"/>
    </row>
    <row r="24" spans="1:10" x14ac:dyDescent="0.25">
      <c r="A24" s="18" t="s">
        <v>80</v>
      </c>
      <c r="B24" s="17">
        <v>0</v>
      </c>
      <c r="C24" s="16" t="s">
        <v>75</v>
      </c>
      <c r="D24" s="16"/>
      <c r="F24" s="17"/>
      <c r="G24" s="17"/>
      <c r="H24" s="17"/>
      <c r="I24" s="17"/>
      <c r="J24" s="17"/>
    </row>
    <row r="25" spans="1:10" x14ac:dyDescent="0.25">
      <c r="A25" s="18" t="s">
        <v>81</v>
      </c>
      <c r="B25" s="17">
        <v>0</v>
      </c>
      <c r="C25" s="16" t="s">
        <v>75</v>
      </c>
      <c r="D25" s="16"/>
      <c r="F25" s="17"/>
      <c r="G25" s="17"/>
      <c r="H25" s="17"/>
      <c r="I25" s="17"/>
      <c r="J25" s="17"/>
    </row>
    <row r="26" spans="1:10" x14ac:dyDescent="0.25">
      <c r="A26" s="18" t="s">
        <v>82</v>
      </c>
      <c r="B26" s="17">
        <v>0</v>
      </c>
      <c r="C26" s="16" t="s">
        <v>75</v>
      </c>
      <c r="D26" s="16"/>
      <c r="F26" s="17"/>
      <c r="G26" s="17"/>
      <c r="H26" s="17"/>
      <c r="I26" s="17"/>
      <c r="J26" s="17"/>
    </row>
    <row r="27" spans="1:10" x14ac:dyDescent="0.25">
      <c r="A27" s="18" t="s">
        <v>83</v>
      </c>
      <c r="B27" s="17">
        <v>0</v>
      </c>
      <c r="C27" s="16" t="s">
        <v>75</v>
      </c>
      <c r="D27" s="16"/>
      <c r="F27" s="17"/>
      <c r="G27" s="17"/>
      <c r="H27" s="17"/>
      <c r="I27" s="17"/>
      <c r="J27" s="17"/>
    </row>
    <row r="28" spans="1:10" x14ac:dyDescent="0.25">
      <c r="A28" s="18" t="s">
        <v>84</v>
      </c>
      <c r="B28" s="17">
        <v>0</v>
      </c>
      <c r="C28" s="16" t="s">
        <v>75</v>
      </c>
      <c r="D28" s="16"/>
      <c r="F28" s="17"/>
      <c r="G28" s="17"/>
      <c r="H28" s="17"/>
      <c r="I28" s="17"/>
      <c r="J28" s="17"/>
    </row>
    <row r="29" spans="1:10" x14ac:dyDescent="0.25">
      <c r="A29" s="18" t="s">
        <v>85</v>
      </c>
      <c r="B29" s="17">
        <v>0</v>
      </c>
      <c r="C29" s="16" t="s">
        <v>75</v>
      </c>
      <c r="D29" s="16"/>
      <c r="F29" s="17"/>
      <c r="G29" s="17"/>
      <c r="H29" s="17"/>
      <c r="I29" s="17"/>
      <c r="J29" s="17"/>
    </row>
    <row r="30" spans="1:10" x14ac:dyDescent="0.25">
      <c r="A30" s="18" t="s">
        <v>86</v>
      </c>
      <c r="B30" s="17">
        <v>0</v>
      </c>
      <c r="C30" s="16" t="s">
        <v>75</v>
      </c>
      <c r="D30" s="16"/>
      <c r="F30" s="17"/>
      <c r="G30" s="17"/>
      <c r="H30" s="17"/>
      <c r="I30" s="17"/>
      <c r="J30" s="17"/>
    </row>
    <row r="31" spans="1:10" x14ac:dyDescent="0.25">
      <c r="A31" s="18" t="s">
        <v>87</v>
      </c>
      <c r="B31" s="17">
        <v>0</v>
      </c>
      <c r="C31" s="16" t="s">
        <v>75</v>
      </c>
      <c r="D31" s="16"/>
      <c r="F31" s="17"/>
      <c r="G31" s="17"/>
      <c r="H31" s="17"/>
      <c r="I31" s="17"/>
      <c r="J31" s="17"/>
    </row>
    <row r="32" spans="1:10" x14ac:dyDescent="0.25">
      <c r="A32" s="18" t="s">
        <v>88</v>
      </c>
      <c r="B32" s="17">
        <v>0</v>
      </c>
      <c r="C32" s="16" t="s">
        <v>75</v>
      </c>
      <c r="D32" s="16"/>
      <c r="F32" s="17"/>
      <c r="G32" s="17"/>
      <c r="H32" s="17"/>
      <c r="I32" s="17"/>
      <c r="J32" s="17"/>
    </row>
    <row r="33" spans="1:10" x14ac:dyDescent="0.25">
      <c r="A33" s="18" t="s">
        <v>89</v>
      </c>
      <c r="B33" s="17">
        <v>0</v>
      </c>
      <c r="C33" s="16" t="s">
        <v>75</v>
      </c>
      <c r="D33" s="16"/>
      <c r="F33" s="17"/>
      <c r="G33" s="17"/>
      <c r="H33" s="17"/>
      <c r="I33" s="17"/>
      <c r="J33" s="17"/>
    </row>
    <row r="34" spans="1:10" x14ac:dyDescent="0.25">
      <c r="A34" s="18" t="s">
        <v>90</v>
      </c>
      <c r="B34" s="17">
        <v>0</v>
      </c>
      <c r="C34" s="16" t="s">
        <v>75</v>
      </c>
      <c r="D34" s="16"/>
      <c r="F34" s="17"/>
      <c r="G34" s="17"/>
      <c r="H34" s="17"/>
      <c r="I34" s="17"/>
      <c r="J34" s="17"/>
    </row>
    <row r="35" spans="1:10" x14ac:dyDescent="0.25">
      <c r="A35" s="18" t="s">
        <v>91</v>
      </c>
      <c r="B35" s="17">
        <v>0</v>
      </c>
      <c r="C35" s="16" t="s">
        <v>75</v>
      </c>
      <c r="D35" s="16"/>
      <c r="F35" s="17"/>
      <c r="G35" s="17"/>
      <c r="H35" s="17"/>
      <c r="I35" s="17"/>
      <c r="J35" s="17"/>
    </row>
    <row r="36" spans="1:10" x14ac:dyDescent="0.25">
      <c r="A36" s="18" t="s">
        <v>92</v>
      </c>
      <c r="B36" s="17">
        <v>0</v>
      </c>
      <c r="C36" s="16" t="s">
        <v>75</v>
      </c>
      <c r="D36" s="16"/>
      <c r="F36" s="17"/>
      <c r="G36" s="17"/>
      <c r="H36" s="17"/>
      <c r="I36" s="17"/>
      <c r="J36" s="17"/>
    </row>
    <row r="37" spans="1:10" x14ac:dyDescent="0.25">
      <c r="A37" s="18" t="s">
        <v>93</v>
      </c>
      <c r="B37" s="17">
        <v>0</v>
      </c>
      <c r="C37" s="16" t="s">
        <v>75</v>
      </c>
      <c r="D37" s="16"/>
      <c r="F37" s="17"/>
      <c r="G37" s="17"/>
      <c r="H37" s="17"/>
      <c r="I37" s="17"/>
      <c r="J37" s="17"/>
    </row>
    <row r="38" spans="1:10" x14ac:dyDescent="0.25">
      <c r="A38" s="18" t="s">
        <v>94</v>
      </c>
      <c r="B38" s="17">
        <v>0</v>
      </c>
      <c r="C38" s="16" t="s">
        <v>75</v>
      </c>
      <c r="D38" s="16"/>
      <c r="F38" s="17"/>
      <c r="G38" s="17"/>
      <c r="H38" s="17"/>
      <c r="I38" s="17"/>
      <c r="J38" s="17"/>
    </row>
    <row r="39" spans="1:10" x14ac:dyDescent="0.25">
      <c r="A39" s="18" t="s">
        <v>95</v>
      </c>
      <c r="B39" s="17">
        <v>0</v>
      </c>
      <c r="C39" s="16" t="s">
        <v>75</v>
      </c>
      <c r="D39" s="16"/>
      <c r="F39" s="17"/>
      <c r="G39" s="17"/>
      <c r="H39" s="17"/>
      <c r="I39" s="17"/>
      <c r="J39" s="17"/>
    </row>
    <row r="40" spans="1:10" x14ac:dyDescent="0.25">
      <c r="A40" s="18" t="s">
        <v>96</v>
      </c>
      <c r="B40" s="17">
        <v>0</v>
      </c>
      <c r="C40" s="16" t="s">
        <v>75</v>
      </c>
      <c r="D40" s="16"/>
      <c r="F40" s="17"/>
      <c r="G40" s="17"/>
      <c r="H40" s="17"/>
      <c r="I40" s="17"/>
      <c r="J40" s="17"/>
    </row>
    <row r="41" spans="1:10" x14ac:dyDescent="0.25">
      <c r="A41" s="18" t="s">
        <v>97</v>
      </c>
      <c r="B41" s="17">
        <v>0</v>
      </c>
      <c r="C41" s="16" t="s">
        <v>75</v>
      </c>
      <c r="D41" s="16"/>
      <c r="F41" s="17"/>
      <c r="G41" s="17"/>
      <c r="H41" s="17"/>
      <c r="I41" s="17"/>
      <c r="J41" s="17"/>
    </row>
    <row r="42" spans="1:10" x14ac:dyDescent="0.25">
      <c r="A42" s="18" t="s">
        <v>98</v>
      </c>
      <c r="B42" s="17">
        <v>0</v>
      </c>
      <c r="C42" s="16" t="s">
        <v>75</v>
      </c>
      <c r="D42" s="16"/>
      <c r="F42" s="17"/>
      <c r="G42" s="17"/>
      <c r="H42" s="17"/>
      <c r="I42" s="17"/>
      <c r="J42" s="17"/>
    </row>
    <row r="43" spans="1:10" x14ac:dyDescent="0.25">
      <c r="A43" s="15" t="s">
        <v>99</v>
      </c>
      <c r="B43" s="16">
        <v>0</v>
      </c>
      <c r="C43" s="15"/>
      <c r="D43" s="15"/>
      <c r="F43" s="16"/>
      <c r="G43" s="16"/>
      <c r="H43" s="16"/>
      <c r="I43" s="16"/>
      <c r="J43" s="16"/>
    </row>
    <row r="44" spans="1:10" x14ac:dyDescent="0.25">
      <c r="A44" s="15" t="s">
        <v>100</v>
      </c>
      <c r="B44" s="16">
        <v>0</v>
      </c>
      <c r="C44" s="15"/>
      <c r="D44" s="15"/>
      <c r="F44" s="16"/>
      <c r="G44" s="16"/>
      <c r="H44" s="16"/>
      <c r="I44" s="16"/>
      <c r="J44" s="16"/>
    </row>
    <row r="45" spans="1:10" x14ac:dyDescent="0.25">
      <c r="A45" s="15" t="s">
        <v>101</v>
      </c>
      <c r="B45" s="16">
        <v>58224.12</v>
      </c>
      <c r="C45" s="15"/>
      <c r="D45" s="15"/>
      <c r="F45" s="16"/>
      <c r="G45" s="16"/>
      <c r="H45" s="16"/>
      <c r="I45" s="16"/>
      <c r="J45" s="16"/>
    </row>
    <row r="46" spans="1:10" x14ac:dyDescent="0.25">
      <c r="A46" s="15" t="s">
        <v>102</v>
      </c>
      <c r="B46" s="16">
        <v>0</v>
      </c>
      <c r="C46" s="15"/>
      <c r="D46" s="15"/>
      <c r="F46" s="16"/>
      <c r="G46" s="16"/>
      <c r="H46" s="16"/>
      <c r="I46" s="16"/>
      <c r="J46" s="16"/>
    </row>
    <row r="48" spans="1:10" x14ac:dyDescent="0.25">
      <c r="A48" s="14"/>
      <c r="B48" s="14"/>
      <c r="C48" s="14"/>
      <c r="D48" s="14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A5DFF-EE67-4CBA-B40E-9219530023E3}">
  <dimension ref="B3:C30"/>
  <sheetViews>
    <sheetView workbookViewId="0">
      <selection activeCell="C31" sqref="C31"/>
    </sheetView>
  </sheetViews>
  <sheetFormatPr defaultRowHeight="15" x14ac:dyDescent="0.25"/>
  <cols>
    <col min="3" max="3" width="13.28515625" style="48" bestFit="1" customWidth="1"/>
  </cols>
  <sheetData>
    <row r="3" spans="2:3" x14ac:dyDescent="0.25">
      <c r="B3" s="8" t="s">
        <v>24</v>
      </c>
      <c r="C3" s="47" t="s">
        <v>25</v>
      </c>
    </row>
    <row r="4" spans="2:3" x14ac:dyDescent="0.25">
      <c r="B4" s="8" t="s">
        <v>27</v>
      </c>
    </row>
    <row r="5" spans="2:3" x14ac:dyDescent="0.25">
      <c r="B5" t="s">
        <v>28</v>
      </c>
    </row>
    <row r="6" spans="2:3" x14ac:dyDescent="0.25">
      <c r="B6" s="8" t="s">
        <v>29</v>
      </c>
    </row>
    <row r="7" spans="2:3" x14ac:dyDescent="0.25">
      <c r="B7" t="s">
        <v>30</v>
      </c>
    </row>
    <row r="8" spans="2:3" x14ac:dyDescent="0.25">
      <c r="B8" t="s">
        <v>31</v>
      </c>
      <c r="C8" s="48">
        <v>951.54</v>
      </c>
    </row>
    <row r="9" spans="2:3" x14ac:dyDescent="0.25">
      <c r="B9" t="s">
        <v>32</v>
      </c>
    </row>
    <row r="10" spans="2:3" x14ac:dyDescent="0.25">
      <c r="B10" t="s">
        <v>26</v>
      </c>
      <c r="C10" s="48">
        <v>38474.589999999997</v>
      </c>
    </row>
    <row r="11" spans="2:3" x14ac:dyDescent="0.25">
      <c r="B11" t="s">
        <v>33</v>
      </c>
    </row>
    <row r="12" spans="2:3" x14ac:dyDescent="0.25">
      <c r="B12" t="s">
        <v>34</v>
      </c>
      <c r="C12" s="48">
        <v>10937.9</v>
      </c>
    </row>
    <row r="13" spans="2:3" x14ac:dyDescent="0.25">
      <c r="B13" t="s">
        <v>35</v>
      </c>
    </row>
    <row r="14" spans="2:3" x14ac:dyDescent="0.25">
      <c r="B14" t="s">
        <v>36</v>
      </c>
    </row>
    <row r="15" spans="2:3" x14ac:dyDescent="0.25">
      <c r="B15" t="s">
        <v>37</v>
      </c>
    </row>
    <row r="16" spans="2:3" x14ac:dyDescent="0.25">
      <c r="B16" t="s">
        <v>38</v>
      </c>
      <c r="C16" s="48">
        <v>14885.68</v>
      </c>
    </row>
    <row r="17" spans="2:3" x14ac:dyDescent="0.25">
      <c r="B17" t="s">
        <v>39</v>
      </c>
    </row>
    <row r="18" spans="2:3" x14ac:dyDescent="0.25">
      <c r="B18" t="s">
        <v>40</v>
      </c>
    </row>
    <row r="19" spans="2:3" x14ac:dyDescent="0.25">
      <c r="B19" t="s">
        <v>41</v>
      </c>
    </row>
    <row r="20" spans="2:3" x14ac:dyDescent="0.25">
      <c r="B20" t="s">
        <v>42</v>
      </c>
    </row>
    <row r="21" spans="2:3" x14ac:dyDescent="0.25">
      <c r="B21" t="s">
        <v>43</v>
      </c>
    </row>
    <row r="22" spans="2:3" x14ac:dyDescent="0.25">
      <c r="B22" t="s">
        <v>44</v>
      </c>
    </row>
    <row r="23" spans="2:3" x14ac:dyDescent="0.25">
      <c r="B23" t="s">
        <v>45</v>
      </c>
    </row>
    <row r="24" spans="2:3" x14ac:dyDescent="0.25">
      <c r="B24" t="s">
        <v>46</v>
      </c>
    </row>
    <row r="25" spans="2:3" x14ac:dyDescent="0.25">
      <c r="B25" t="s">
        <v>47</v>
      </c>
    </row>
    <row r="26" spans="2:3" x14ac:dyDescent="0.25">
      <c r="B26" t="s">
        <v>48</v>
      </c>
    </row>
    <row r="27" spans="2:3" x14ac:dyDescent="0.25">
      <c r="B27" t="s">
        <v>49</v>
      </c>
    </row>
    <row r="28" spans="2:3" x14ac:dyDescent="0.25">
      <c r="B28" t="s">
        <v>50</v>
      </c>
    </row>
    <row r="29" spans="2:3" x14ac:dyDescent="0.25">
      <c r="B29" t="s">
        <v>51</v>
      </c>
    </row>
    <row r="30" spans="2:3" x14ac:dyDescent="0.25">
      <c r="B30" t="s">
        <v>52</v>
      </c>
      <c r="C30" s="48">
        <v>1708.89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83DD2-CAAA-4A3B-9D5C-391C3EDDB543}">
  <dimension ref="B2:C29"/>
  <sheetViews>
    <sheetView workbookViewId="0">
      <selection activeCell="F7" sqref="F7"/>
    </sheetView>
  </sheetViews>
  <sheetFormatPr defaultRowHeight="15" x14ac:dyDescent="0.25"/>
  <sheetData>
    <row r="2" spans="2:3" x14ac:dyDescent="0.25">
      <c r="B2" s="8" t="s">
        <v>24</v>
      </c>
      <c r="C2" s="8" t="s">
        <v>25</v>
      </c>
    </row>
    <row r="3" spans="2:3" x14ac:dyDescent="0.25">
      <c r="B3" s="8" t="s">
        <v>27</v>
      </c>
    </row>
    <row r="4" spans="2:3" x14ac:dyDescent="0.25">
      <c r="B4" t="s">
        <v>28</v>
      </c>
    </row>
    <row r="5" spans="2:3" x14ac:dyDescent="0.25">
      <c r="B5" s="8" t="s">
        <v>29</v>
      </c>
    </row>
    <row r="6" spans="2:3" x14ac:dyDescent="0.25">
      <c r="B6" t="s">
        <v>30</v>
      </c>
    </row>
    <row r="7" spans="2:3" x14ac:dyDescent="0.25">
      <c r="B7" t="s">
        <v>31</v>
      </c>
    </row>
    <row r="8" spans="2:3" x14ac:dyDescent="0.25">
      <c r="B8" t="s">
        <v>32</v>
      </c>
    </row>
    <row r="9" spans="2:3" x14ac:dyDescent="0.25">
      <c r="B9" t="s">
        <v>26</v>
      </c>
    </row>
    <row r="10" spans="2:3" x14ac:dyDescent="0.25">
      <c r="B10" t="s">
        <v>33</v>
      </c>
    </row>
    <row r="11" spans="2:3" x14ac:dyDescent="0.25">
      <c r="B11" t="s">
        <v>34</v>
      </c>
    </row>
    <row r="12" spans="2:3" x14ac:dyDescent="0.25">
      <c r="B12" t="s">
        <v>35</v>
      </c>
    </row>
    <row r="13" spans="2:3" x14ac:dyDescent="0.25">
      <c r="B13" t="s">
        <v>36</v>
      </c>
    </row>
    <row r="14" spans="2:3" x14ac:dyDescent="0.25">
      <c r="B14" t="s">
        <v>37</v>
      </c>
    </row>
    <row r="15" spans="2:3" x14ac:dyDescent="0.25">
      <c r="B15" t="s">
        <v>38</v>
      </c>
    </row>
    <row r="16" spans="2:3" x14ac:dyDescent="0.25">
      <c r="B16" t="s">
        <v>39</v>
      </c>
    </row>
    <row r="17" spans="2:2" x14ac:dyDescent="0.25">
      <c r="B17" t="s">
        <v>40</v>
      </c>
    </row>
    <row r="18" spans="2:2" x14ac:dyDescent="0.25">
      <c r="B18" t="s">
        <v>41</v>
      </c>
    </row>
    <row r="19" spans="2:2" x14ac:dyDescent="0.25">
      <c r="B19" t="s">
        <v>42</v>
      </c>
    </row>
    <row r="20" spans="2:2" x14ac:dyDescent="0.25">
      <c r="B20" t="s">
        <v>43</v>
      </c>
    </row>
    <row r="21" spans="2:2" x14ac:dyDescent="0.25">
      <c r="B21" t="s">
        <v>44</v>
      </c>
    </row>
    <row r="22" spans="2:2" x14ac:dyDescent="0.25">
      <c r="B22" t="s">
        <v>45</v>
      </c>
    </row>
    <row r="23" spans="2:2" x14ac:dyDescent="0.25">
      <c r="B23" t="s">
        <v>46</v>
      </c>
    </row>
    <row r="24" spans="2:2" x14ac:dyDescent="0.25">
      <c r="B24" t="s">
        <v>47</v>
      </c>
    </row>
    <row r="25" spans="2:2" x14ac:dyDescent="0.25">
      <c r="B25" t="s">
        <v>48</v>
      </c>
    </row>
    <row r="26" spans="2:2" x14ac:dyDescent="0.25">
      <c r="B26" t="s">
        <v>49</v>
      </c>
    </row>
    <row r="27" spans="2:2" x14ac:dyDescent="0.25">
      <c r="B27" t="s">
        <v>50</v>
      </c>
    </row>
    <row r="28" spans="2:2" x14ac:dyDescent="0.25">
      <c r="B28" t="s">
        <v>51</v>
      </c>
    </row>
    <row r="29" spans="2:2" x14ac:dyDescent="0.25">
      <c r="B29" t="s">
        <v>52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BACC5-5BD0-4068-B1FA-C2178EA8E09D}">
  <dimension ref="A1:F10"/>
  <sheetViews>
    <sheetView workbookViewId="0">
      <selection activeCell="E25" sqref="E25"/>
    </sheetView>
  </sheetViews>
  <sheetFormatPr defaultRowHeight="15" x14ac:dyDescent="0.25"/>
  <cols>
    <col min="2" max="2" width="19.28515625" bestFit="1" customWidth="1"/>
    <col min="3" max="3" width="16.42578125" bestFit="1" customWidth="1"/>
    <col min="4" max="4" width="17.28515625" bestFit="1" customWidth="1"/>
    <col min="5" max="5" width="26.5703125" bestFit="1" customWidth="1"/>
    <col min="6" max="6" width="15" bestFit="1" customWidth="1"/>
    <col min="7" max="7" width="10.140625" bestFit="1" customWidth="1"/>
    <col min="8" max="8" width="15.85546875" bestFit="1" customWidth="1"/>
  </cols>
  <sheetData>
    <row r="1" spans="1:6" x14ac:dyDescent="0.25">
      <c r="B1" t="s">
        <v>17</v>
      </c>
    </row>
    <row r="2" spans="1:6" x14ac:dyDescent="0.25">
      <c r="A2" s="7"/>
      <c r="B2" s="7" t="s">
        <v>10</v>
      </c>
      <c r="C2" s="7" t="s">
        <v>11</v>
      </c>
      <c r="D2" s="7" t="s">
        <v>12</v>
      </c>
      <c r="E2" s="7" t="s">
        <v>15</v>
      </c>
      <c r="F2" s="7" t="s">
        <v>16</v>
      </c>
    </row>
    <row r="3" spans="1:6" x14ac:dyDescent="0.25">
      <c r="A3" s="9" t="s">
        <v>53</v>
      </c>
      <c r="B3" s="7"/>
      <c r="C3" s="7"/>
      <c r="D3" s="7"/>
      <c r="E3" s="7"/>
      <c r="F3" s="7"/>
    </row>
    <row r="4" spans="1:6" x14ac:dyDescent="0.25">
      <c r="B4" t="s">
        <v>18</v>
      </c>
    </row>
    <row r="5" spans="1:6" x14ac:dyDescent="0.25">
      <c r="A5" s="7"/>
      <c r="B5" s="7" t="s">
        <v>10</v>
      </c>
      <c r="C5" s="7" t="s">
        <v>11</v>
      </c>
      <c r="D5" s="7" t="s">
        <v>12</v>
      </c>
      <c r="E5" s="7" t="s">
        <v>15</v>
      </c>
      <c r="F5" s="7" t="s">
        <v>16</v>
      </c>
    </row>
    <row r="6" spans="1:6" x14ac:dyDescent="0.25">
      <c r="A6" s="7" t="s">
        <v>20</v>
      </c>
      <c r="B6" s="7"/>
      <c r="C6" s="7"/>
      <c r="D6" s="7"/>
      <c r="E6" s="7"/>
      <c r="F6" s="7"/>
    </row>
    <row r="7" spans="1:6" x14ac:dyDescent="0.25">
      <c r="B7" t="s">
        <v>19</v>
      </c>
    </row>
    <row r="9" spans="1:6" x14ac:dyDescent="0.25">
      <c r="B9" s="6"/>
      <c r="C9" s="6" t="s">
        <v>17</v>
      </c>
      <c r="D9" s="6" t="s">
        <v>18</v>
      </c>
      <c r="E9" s="6" t="s">
        <v>21</v>
      </c>
      <c r="F9" s="6" t="s">
        <v>22</v>
      </c>
    </row>
    <row r="10" spans="1:6" x14ac:dyDescent="0.25">
      <c r="B10" s="6" t="s">
        <v>53</v>
      </c>
      <c r="C10" s="6"/>
      <c r="D10" s="6"/>
      <c r="E10" s="6"/>
      <c r="F10" s="6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C336B-283E-474E-B481-CF7EAB396652}">
  <dimension ref="A1:Q420"/>
  <sheetViews>
    <sheetView topLeftCell="A21" workbookViewId="0">
      <selection activeCell="O17" sqref="O17"/>
    </sheetView>
  </sheetViews>
  <sheetFormatPr defaultColWidth="6.85546875" defaultRowHeight="15" x14ac:dyDescent="0.25"/>
  <sheetData>
    <row r="1" spans="1:17" ht="11.85" customHeight="1" x14ac:dyDescent="0.25">
      <c r="A1" s="15" t="s">
        <v>289</v>
      </c>
      <c r="B1" s="15"/>
      <c r="C1" s="15"/>
      <c r="D1" s="15"/>
      <c r="E1" s="15"/>
      <c r="F1" s="15"/>
      <c r="G1" s="15"/>
      <c r="H1" s="15"/>
      <c r="I1" s="15"/>
      <c r="J1" s="15"/>
      <c r="K1" s="15"/>
      <c r="Q1" s="51"/>
    </row>
    <row r="2" spans="1:17" ht="11.85" customHeight="1" x14ac:dyDescent="0.25">
      <c r="A2" s="52" t="s">
        <v>290</v>
      </c>
      <c r="B2" s="18" t="s">
        <v>291</v>
      </c>
      <c r="C2" s="18"/>
      <c r="D2" s="18"/>
      <c r="E2" s="18"/>
      <c r="F2" s="18"/>
      <c r="G2" s="18"/>
      <c r="H2" s="18"/>
      <c r="I2" s="18"/>
      <c r="J2" s="18"/>
      <c r="K2" s="18"/>
      <c r="Q2" s="53"/>
    </row>
    <row r="3" spans="1:17" ht="11.85" customHeight="1" x14ac:dyDescent="0.25">
      <c r="A3" s="50" t="s">
        <v>292</v>
      </c>
      <c r="B3" s="18" t="s">
        <v>293</v>
      </c>
      <c r="C3" s="18"/>
      <c r="D3" s="18"/>
      <c r="E3" s="18"/>
      <c r="F3" s="18"/>
      <c r="G3" s="18"/>
      <c r="H3" s="18"/>
      <c r="I3" s="18"/>
      <c r="J3" s="18"/>
      <c r="K3" s="18"/>
      <c r="Q3" s="54"/>
    </row>
    <row r="4" spans="1:17" ht="11.85" customHeight="1" x14ac:dyDescent="0.25">
      <c r="A4" s="50" t="s">
        <v>294</v>
      </c>
      <c r="B4" s="18" t="s">
        <v>295</v>
      </c>
      <c r="C4" s="18"/>
      <c r="D4" s="18"/>
      <c r="E4" s="18"/>
      <c r="F4" s="18"/>
      <c r="G4" s="18"/>
      <c r="H4" s="18"/>
      <c r="I4" s="18"/>
      <c r="J4" s="18"/>
      <c r="K4" s="18"/>
    </row>
    <row r="5" spans="1:17" ht="11.1" customHeight="1" x14ac:dyDescent="0.25">
      <c r="A5" s="15" t="s">
        <v>296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6" spans="1:17" ht="11.1" customHeight="1" x14ac:dyDescent="0.25">
      <c r="A6" s="10" t="s">
        <v>184</v>
      </c>
      <c r="B6" s="10" t="s">
        <v>297</v>
      </c>
      <c r="C6" s="10" t="s">
        <v>298</v>
      </c>
      <c r="D6" s="55" t="s">
        <v>299</v>
      </c>
      <c r="E6" s="10" t="s">
        <v>300</v>
      </c>
      <c r="F6" s="10" t="s">
        <v>184</v>
      </c>
      <c r="G6" s="55" t="s">
        <v>301</v>
      </c>
      <c r="H6" s="10" t="s">
        <v>302</v>
      </c>
      <c r="I6" s="10" t="s">
        <v>303</v>
      </c>
      <c r="J6" s="55" t="s">
        <v>24</v>
      </c>
      <c r="K6" s="15" t="s">
        <v>304</v>
      </c>
      <c r="L6" s="55" t="s">
        <v>305</v>
      </c>
      <c r="M6" s="10" t="s">
        <v>306</v>
      </c>
      <c r="N6" s="10" t="s">
        <v>307</v>
      </c>
      <c r="O6" s="10" t="s">
        <v>73</v>
      </c>
      <c r="P6" s="15" t="s">
        <v>308</v>
      </c>
      <c r="Q6" s="10" t="s">
        <v>309</v>
      </c>
    </row>
    <row r="7" spans="1:17" ht="11.1" customHeight="1" x14ac:dyDescent="0.25">
      <c r="A7" s="56">
        <v>26887</v>
      </c>
      <c r="B7" s="57">
        <v>46029</v>
      </c>
      <c r="C7" s="58" t="s">
        <v>310</v>
      </c>
      <c r="D7" s="59" t="s">
        <v>311</v>
      </c>
      <c r="E7" s="56">
        <v>36</v>
      </c>
      <c r="F7" s="56">
        <v>540</v>
      </c>
      <c r="G7" s="59" t="s">
        <v>312</v>
      </c>
      <c r="H7" s="60">
        <v>2102</v>
      </c>
      <c r="I7" s="56">
        <v>6</v>
      </c>
      <c r="J7" s="59" t="s">
        <v>50</v>
      </c>
      <c r="K7" s="61">
        <v>12695.62</v>
      </c>
      <c r="L7" s="59" t="s">
        <v>313</v>
      </c>
      <c r="M7" s="62">
        <v>12296</v>
      </c>
      <c r="N7" s="63">
        <v>7</v>
      </c>
      <c r="O7" s="62">
        <v>860.72</v>
      </c>
      <c r="P7" s="61">
        <v>0</v>
      </c>
      <c r="Q7" s="62">
        <v>399.62</v>
      </c>
    </row>
    <row r="8" spans="1:17" ht="11.1" customHeight="1" x14ac:dyDescent="0.25">
      <c r="A8" s="56">
        <v>26888</v>
      </c>
      <c r="B8" s="57">
        <v>46029</v>
      </c>
      <c r="C8" s="58" t="s">
        <v>314</v>
      </c>
      <c r="D8" s="59" t="s">
        <v>311</v>
      </c>
      <c r="E8" s="56">
        <v>36</v>
      </c>
      <c r="F8" s="56">
        <v>540</v>
      </c>
      <c r="G8" s="59" t="s">
        <v>312</v>
      </c>
      <c r="H8" s="60">
        <v>1949</v>
      </c>
      <c r="I8" s="56">
        <v>64</v>
      </c>
      <c r="J8" s="59" t="s">
        <v>50</v>
      </c>
      <c r="K8" s="61">
        <v>9996.3799999999992</v>
      </c>
      <c r="L8" s="59" t="s">
        <v>313</v>
      </c>
      <c r="M8" s="62">
        <v>9681.7199999999993</v>
      </c>
      <c r="N8" s="63">
        <v>4</v>
      </c>
      <c r="O8" s="62">
        <v>387.27</v>
      </c>
      <c r="P8" s="61">
        <v>0</v>
      </c>
      <c r="Q8" s="62">
        <v>314.66000000000003</v>
      </c>
    </row>
    <row r="9" spans="1:17" ht="11.1" customHeight="1" x14ac:dyDescent="0.25">
      <c r="A9" s="56">
        <v>26889</v>
      </c>
      <c r="B9" s="57">
        <v>46036</v>
      </c>
      <c r="C9" s="58" t="s">
        <v>315</v>
      </c>
      <c r="D9" s="59" t="s">
        <v>311</v>
      </c>
      <c r="E9" s="56">
        <v>36</v>
      </c>
      <c r="F9" s="56">
        <v>540</v>
      </c>
      <c r="G9" s="59" t="s">
        <v>312</v>
      </c>
      <c r="H9" s="60">
        <v>2102</v>
      </c>
      <c r="I9" s="56">
        <v>6</v>
      </c>
      <c r="J9" s="59" t="s">
        <v>50</v>
      </c>
      <c r="K9" s="61">
        <v>2155.86</v>
      </c>
      <c r="L9" s="59" t="s">
        <v>313</v>
      </c>
      <c r="M9" s="62">
        <v>2088</v>
      </c>
      <c r="N9" s="63">
        <v>7</v>
      </c>
      <c r="O9" s="62">
        <v>146.16</v>
      </c>
      <c r="P9" s="61">
        <v>0</v>
      </c>
      <c r="Q9" s="62">
        <v>67.86</v>
      </c>
    </row>
    <row r="10" spans="1:17" ht="11.1" customHeight="1" x14ac:dyDescent="0.25">
      <c r="A10" s="56">
        <v>26890</v>
      </c>
      <c r="B10" s="57">
        <v>46036</v>
      </c>
      <c r="C10" s="58" t="s">
        <v>316</v>
      </c>
      <c r="D10" s="59" t="s">
        <v>311</v>
      </c>
      <c r="E10" s="56">
        <v>36</v>
      </c>
      <c r="F10" s="56">
        <v>540</v>
      </c>
      <c r="G10" s="59" t="s">
        <v>312</v>
      </c>
      <c r="H10" s="60">
        <v>2102</v>
      </c>
      <c r="I10" s="56">
        <v>6</v>
      </c>
      <c r="J10" s="59" t="s">
        <v>50</v>
      </c>
      <c r="K10" s="61">
        <v>3000.67</v>
      </c>
      <c r="L10" s="59" t="s">
        <v>313</v>
      </c>
      <c r="M10" s="62">
        <v>2609.2800000000002</v>
      </c>
      <c r="N10" s="63">
        <v>4</v>
      </c>
      <c r="O10" s="62">
        <v>104.37</v>
      </c>
      <c r="P10" s="61">
        <v>0</v>
      </c>
      <c r="Q10" s="62">
        <v>391.39</v>
      </c>
    </row>
    <row r="11" spans="1:17" ht="11.1" customHeight="1" x14ac:dyDescent="0.25">
      <c r="A11" s="56">
        <v>26891</v>
      </c>
      <c r="B11" s="57">
        <v>46043</v>
      </c>
      <c r="C11" s="58" t="s">
        <v>317</v>
      </c>
      <c r="D11" s="59" t="s">
        <v>311</v>
      </c>
      <c r="E11" s="56">
        <v>36</v>
      </c>
      <c r="F11" s="56">
        <v>540</v>
      </c>
      <c r="G11" s="59" t="s">
        <v>312</v>
      </c>
      <c r="H11" s="60">
        <v>1949</v>
      </c>
      <c r="I11" s="56">
        <v>64</v>
      </c>
      <c r="J11" s="59" t="s">
        <v>50</v>
      </c>
      <c r="K11" s="61">
        <v>1666.06</v>
      </c>
      <c r="L11" s="59" t="s">
        <v>313</v>
      </c>
      <c r="M11" s="62">
        <v>1613.62</v>
      </c>
      <c r="N11" s="63">
        <v>4</v>
      </c>
      <c r="O11" s="62">
        <v>64.540000000000006</v>
      </c>
      <c r="P11" s="61">
        <v>0</v>
      </c>
      <c r="Q11" s="62">
        <v>52.44</v>
      </c>
    </row>
    <row r="12" spans="1:17" ht="11.1" customHeight="1" x14ac:dyDescent="0.25">
      <c r="A12" s="56">
        <v>26892</v>
      </c>
      <c r="B12" s="57">
        <v>46043</v>
      </c>
      <c r="C12" s="58" t="s">
        <v>318</v>
      </c>
      <c r="D12" s="59" t="s">
        <v>311</v>
      </c>
      <c r="E12" s="56">
        <v>36</v>
      </c>
      <c r="F12" s="56">
        <v>540</v>
      </c>
      <c r="G12" s="59" t="s">
        <v>312</v>
      </c>
      <c r="H12" s="60">
        <v>2102</v>
      </c>
      <c r="I12" s="56">
        <v>6</v>
      </c>
      <c r="J12" s="59" t="s">
        <v>50</v>
      </c>
      <c r="K12" s="61">
        <v>7321.07</v>
      </c>
      <c r="L12" s="59" t="s">
        <v>313</v>
      </c>
      <c r="M12" s="62">
        <v>7139.92</v>
      </c>
      <c r="N12" s="63">
        <v>4</v>
      </c>
      <c r="O12" s="62">
        <v>285.58999999999997</v>
      </c>
      <c r="P12" s="61">
        <v>0</v>
      </c>
      <c r="Q12" s="62">
        <v>181.15</v>
      </c>
    </row>
    <row r="13" spans="1:17" ht="11.1" customHeight="1" x14ac:dyDescent="0.25">
      <c r="A13" s="56">
        <v>26893</v>
      </c>
      <c r="B13" s="57">
        <v>46043</v>
      </c>
      <c r="C13" s="58" t="s">
        <v>319</v>
      </c>
      <c r="D13" s="59" t="s">
        <v>311</v>
      </c>
      <c r="E13" s="56">
        <v>36</v>
      </c>
      <c r="F13" s="56">
        <v>540</v>
      </c>
      <c r="G13" s="59" t="s">
        <v>312</v>
      </c>
      <c r="H13" s="60">
        <v>2102</v>
      </c>
      <c r="I13" s="56">
        <v>6</v>
      </c>
      <c r="J13" s="59" t="s">
        <v>50</v>
      </c>
      <c r="K13" s="61">
        <v>2446.69</v>
      </c>
      <c r="L13" s="59" t="s">
        <v>313</v>
      </c>
      <c r="M13" s="62">
        <v>2307.88</v>
      </c>
      <c r="N13" s="63">
        <v>4</v>
      </c>
      <c r="O13" s="62">
        <v>92.31</v>
      </c>
      <c r="P13" s="61">
        <v>0</v>
      </c>
      <c r="Q13" s="62">
        <v>138.81</v>
      </c>
    </row>
    <row r="14" spans="1:17" ht="11.1" customHeight="1" x14ac:dyDescent="0.25">
      <c r="A14" s="56">
        <v>26894</v>
      </c>
      <c r="B14" s="57">
        <v>46043</v>
      </c>
      <c r="C14" s="58" t="s">
        <v>320</v>
      </c>
      <c r="D14" s="59" t="s">
        <v>311</v>
      </c>
      <c r="E14" s="56">
        <v>36</v>
      </c>
      <c r="F14" s="56">
        <v>540</v>
      </c>
      <c r="G14" s="59" t="s">
        <v>312</v>
      </c>
      <c r="H14" s="60">
        <v>2102</v>
      </c>
      <c r="I14" s="56">
        <v>6</v>
      </c>
      <c r="J14" s="59" t="s">
        <v>50</v>
      </c>
      <c r="K14" s="61">
        <v>637.75</v>
      </c>
      <c r="L14" s="59" t="s">
        <v>313</v>
      </c>
      <c r="M14" s="62">
        <v>631.58000000000004</v>
      </c>
      <c r="N14" s="63">
        <v>4</v>
      </c>
      <c r="O14" s="62">
        <v>25.26</v>
      </c>
      <c r="P14" s="61">
        <v>0</v>
      </c>
      <c r="Q14" s="62">
        <v>6.17</v>
      </c>
    </row>
    <row r="15" spans="1:17" ht="11.1" customHeight="1" x14ac:dyDescent="0.25">
      <c r="A15" s="56">
        <v>26895</v>
      </c>
      <c r="B15" s="57">
        <v>46043</v>
      </c>
      <c r="C15" s="58" t="s">
        <v>321</v>
      </c>
      <c r="D15" s="59" t="s">
        <v>311</v>
      </c>
      <c r="E15" s="56">
        <v>36</v>
      </c>
      <c r="F15" s="56">
        <v>540</v>
      </c>
      <c r="G15" s="59" t="s">
        <v>312</v>
      </c>
      <c r="H15" s="60">
        <v>2102</v>
      </c>
      <c r="I15" s="56">
        <v>6</v>
      </c>
      <c r="J15" s="59" t="s">
        <v>50</v>
      </c>
      <c r="K15" s="61">
        <v>3585.24</v>
      </c>
      <c r="L15" s="59" t="s">
        <v>313</v>
      </c>
      <c r="M15" s="62">
        <v>3585.24</v>
      </c>
      <c r="N15" s="63">
        <v>7</v>
      </c>
      <c r="O15" s="62">
        <v>250.97</v>
      </c>
      <c r="P15" s="61">
        <v>0</v>
      </c>
      <c r="Q15" s="62">
        <v>0</v>
      </c>
    </row>
    <row r="16" spans="1:17" ht="11.1" customHeight="1" x14ac:dyDescent="0.25">
      <c r="A16" s="56">
        <v>26896</v>
      </c>
      <c r="B16" s="57">
        <v>46043</v>
      </c>
      <c r="C16" s="58" t="s">
        <v>322</v>
      </c>
      <c r="D16" s="59" t="s">
        <v>311</v>
      </c>
      <c r="E16" s="56">
        <v>36</v>
      </c>
      <c r="F16" s="56">
        <v>540</v>
      </c>
      <c r="G16" s="59" t="s">
        <v>312</v>
      </c>
      <c r="H16" s="60">
        <v>2102</v>
      </c>
      <c r="I16" s="56">
        <v>6</v>
      </c>
      <c r="J16" s="59" t="s">
        <v>50</v>
      </c>
      <c r="K16" s="61">
        <v>4455.46</v>
      </c>
      <c r="L16" s="59" t="s">
        <v>313</v>
      </c>
      <c r="M16" s="62">
        <v>4455.46</v>
      </c>
      <c r="N16" s="63">
        <v>7</v>
      </c>
      <c r="O16" s="62">
        <v>311.88</v>
      </c>
      <c r="P16" s="61">
        <v>0</v>
      </c>
      <c r="Q16" s="62">
        <v>0</v>
      </c>
    </row>
    <row r="17" spans="1:17" ht="11.1" customHeight="1" x14ac:dyDescent="0.25">
      <c r="A17" s="56">
        <v>26897</v>
      </c>
      <c r="B17" s="57">
        <v>46043</v>
      </c>
      <c r="C17" s="58" t="s">
        <v>323</v>
      </c>
      <c r="D17" s="59" t="s">
        <v>311</v>
      </c>
      <c r="E17" s="56">
        <v>36</v>
      </c>
      <c r="F17" s="56">
        <v>540</v>
      </c>
      <c r="G17" s="59" t="s">
        <v>312</v>
      </c>
      <c r="H17" s="60">
        <v>2102</v>
      </c>
      <c r="I17" s="56">
        <v>6</v>
      </c>
      <c r="J17" s="59" t="s">
        <v>50</v>
      </c>
      <c r="K17" s="61">
        <v>862.14</v>
      </c>
      <c r="L17" s="59" t="s">
        <v>313</v>
      </c>
      <c r="M17" s="62">
        <v>862.14</v>
      </c>
      <c r="N17" s="63">
        <v>7</v>
      </c>
      <c r="O17" s="62">
        <v>60.35</v>
      </c>
      <c r="P17" s="61">
        <v>0</v>
      </c>
      <c r="Q17" s="62">
        <v>0</v>
      </c>
    </row>
    <row r="18" spans="1:17" ht="11.1" customHeight="1" x14ac:dyDescent="0.25">
      <c r="A18" s="56">
        <v>26898</v>
      </c>
      <c r="B18" s="57">
        <v>46043</v>
      </c>
      <c r="C18" s="58" t="s">
        <v>324</v>
      </c>
      <c r="D18" s="59" t="s">
        <v>311</v>
      </c>
      <c r="E18" s="56">
        <v>36</v>
      </c>
      <c r="F18" s="56">
        <v>540</v>
      </c>
      <c r="G18" s="59" t="s">
        <v>312</v>
      </c>
      <c r="H18" s="60">
        <v>2102</v>
      </c>
      <c r="I18" s="56">
        <v>6</v>
      </c>
      <c r="J18" s="59" t="s">
        <v>50</v>
      </c>
      <c r="K18" s="61">
        <v>217.36</v>
      </c>
      <c r="L18" s="59" t="s">
        <v>313</v>
      </c>
      <c r="M18" s="62">
        <v>217.36</v>
      </c>
      <c r="N18" s="63">
        <v>7</v>
      </c>
      <c r="O18" s="62">
        <v>15.21</v>
      </c>
      <c r="P18" s="61">
        <v>0</v>
      </c>
      <c r="Q18" s="62">
        <v>0</v>
      </c>
    </row>
    <row r="19" spans="1:17" ht="11.1" customHeight="1" x14ac:dyDescent="0.25">
      <c r="A19" s="56">
        <v>26899</v>
      </c>
      <c r="B19" s="57">
        <v>46043</v>
      </c>
      <c r="C19" s="58" t="s">
        <v>325</v>
      </c>
      <c r="D19" s="59" t="s">
        <v>311</v>
      </c>
      <c r="E19" s="56">
        <v>36</v>
      </c>
      <c r="F19" s="56">
        <v>540</v>
      </c>
      <c r="G19" s="59" t="s">
        <v>312</v>
      </c>
      <c r="H19" s="60">
        <v>2102</v>
      </c>
      <c r="I19" s="56">
        <v>6</v>
      </c>
      <c r="J19" s="59" t="s">
        <v>50</v>
      </c>
      <c r="K19" s="61">
        <v>2745.79</v>
      </c>
      <c r="L19" s="59" t="s">
        <v>313</v>
      </c>
      <c r="M19" s="62">
        <v>2597.64</v>
      </c>
      <c r="N19" s="63">
        <v>7</v>
      </c>
      <c r="O19" s="62">
        <v>181.83</v>
      </c>
      <c r="P19" s="61">
        <v>0</v>
      </c>
      <c r="Q19" s="62">
        <v>148.15</v>
      </c>
    </row>
    <row r="20" spans="1:17" ht="11.1" customHeight="1" x14ac:dyDescent="0.25">
      <c r="A20" s="56">
        <v>26900</v>
      </c>
      <c r="B20" s="57">
        <v>46043</v>
      </c>
      <c r="C20" s="58" t="s">
        <v>326</v>
      </c>
      <c r="D20" s="59" t="s">
        <v>311</v>
      </c>
      <c r="E20" s="56">
        <v>36</v>
      </c>
      <c r="F20" s="56">
        <v>540</v>
      </c>
      <c r="G20" s="59" t="s">
        <v>312</v>
      </c>
      <c r="H20" s="60">
        <v>2102</v>
      </c>
      <c r="I20" s="56">
        <v>6</v>
      </c>
      <c r="J20" s="59" t="s">
        <v>50</v>
      </c>
      <c r="K20" s="61">
        <v>908.08</v>
      </c>
      <c r="L20" s="59" t="s">
        <v>313</v>
      </c>
      <c r="M20" s="62">
        <v>852.66</v>
      </c>
      <c r="N20" s="63">
        <v>4</v>
      </c>
      <c r="O20" s="62">
        <v>34.11</v>
      </c>
      <c r="P20" s="61">
        <v>0</v>
      </c>
      <c r="Q20" s="62">
        <v>55.42</v>
      </c>
    </row>
    <row r="21" spans="1:17" ht="11.1" customHeight="1" x14ac:dyDescent="0.25">
      <c r="A21" s="56">
        <v>26901</v>
      </c>
      <c r="B21" s="57">
        <v>46043</v>
      </c>
      <c r="C21" s="58" t="s">
        <v>327</v>
      </c>
      <c r="D21" s="59" t="s">
        <v>311</v>
      </c>
      <c r="E21" s="56">
        <v>36</v>
      </c>
      <c r="F21" s="56">
        <v>540</v>
      </c>
      <c r="G21" s="59" t="s">
        <v>312</v>
      </c>
      <c r="H21" s="60">
        <v>2102</v>
      </c>
      <c r="I21" s="56">
        <v>6</v>
      </c>
      <c r="J21" s="59" t="s">
        <v>50</v>
      </c>
      <c r="K21" s="61">
        <v>519.76</v>
      </c>
      <c r="L21" s="59" t="s">
        <v>313</v>
      </c>
      <c r="M21" s="62">
        <v>488.04</v>
      </c>
      <c r="N21" s="63">
        <v>4</v>
      </c>
      <c r="O21" s="62">
        <v>19.52</v>
      </c>
      <c r="P21" s="61">
        <v>0</v>
      </c>
      <c r="Q21" s="62">
        <v>31.72</v>
      </c>
    </row>
    <row r="22" spans="1:17" ht="11.1" customHeight="1" x14ac:dyDescent="0.25">
      <c r="A22" s="56">
        <v>26902</v>
      </c>
      <c r="B22" s="57">
        <v>46043</v>
      </c>
      <c r="C22" s="58" t="s">
        <v>328</v>
      </c>
      <c r="D22" s="59" t="s">
        <v>311</v>
      </c>
      <c r="E22" s="56">
        <v>36</v>
      </c>
      <c r="F22" s="56">
        <v>540</v>
      </c>
      <c r="G22" s="59" t="s">
        <v>312</v>
      </c>
      <c r="H22" s="60">
        <v>2102</v>
      </c>
      <c r="I22" s="56">
        <v>6</v>
      </c>
      <c r="J22" s="59" t="s">
        <v>50</v>
      </c>
      <c r="K22" s="61">
        <v>750.7</v>
      </c>
      <c r="L22" s="59" t="s">
        <v>313</v>
      </c>
      <c r="M22" s="62">
        <v>704.88</v>
      </c>
      <c r="N22" s="63">
        <v>7</v>
      </c>
      <c r="O22" s="62">
        <v>49.34</v>
      </c>
      <c r="P22" s="61">
        <v>0</v>
      </c>
      <c r="Q22" s="62">
        <v>45.82</v>
      </c>
    </row>
    <row r="23" spans="1:17" ht="11.1" customHeight="1" x14ac:dyDescent="0.25">
      <c r="A23" s="56">
        <v>26903</v>
      </c>
      <c r="B23" s="57">
        <v>46043</v>
      </c>
      <c r="C23" s="58" t="s">
        <v>329</v>
      </c>
      <c r="D23" s="59" t="s">
        <v>311</v>
      </c>
      <c r="E23" s="56">
        <v>36</v>
      </c>
      <c r="F23" s="56">
        <v>540</v>
      </c>
      <c r="G23" s="59" t="s">
        <v>312</v>
      </c>
      <c r="H23" s="60">
        <v>2102</v>
      </c>
      <c r="I23" s="56">
        <v>6</v>
      </c>
      <c r="J23" s="59" t="s">
        <v>50</v>
      </c>
      <c r="K23" s="61">
        <v>167.82</v>
      </c>
      <c r="L23" s="59" t="s">
        <v>313</v>
      </c>
      <c r="M23" s="62">
        <v>167.82</v>
      </c>
      <c r="N23" s="63">
        <v>7</v>
      </c>
      <c r="O23" s="62">
        <v>11.75</v>
      </c>
      <c r="P23" s="61">
        <v>0</v>
      </c>
      <c r="Q23" s="62">
        <v>0</v>
      </c>
    </row>
    <row r="24" spans="1:17" ht="11.1" customHeight="1" x14ac:dyDescent="0.25">
      <c r="A24" s="56">
        <v>26904</v>
      </c>
      <c r="B24" s="57">
        <v>46043</v>
      </c>
      <c r="C24" s="58" t="s">
        <v>330</v>
      </c>
      <c r="D24" s="59" t="s">
        <v>311</v>
      </c>
      <c r="E24" s="56">
        <v>36</v>
      </c>
      <c r="F24" s="56">
        <v>540</v>
      </c>
      <c r="G24" s="59" t="s">
        <v>312</v>
      </c>
      <c r="H24" s="60">
        <v>2102</v>
      </c>
      <c r="I24" s="56">
        <v>6</v>
      </c>
      <c r="J24" s="59" t="s">
        <v>50</v>
      </c>
      <c r="K24" s="61">
        <v>3189.93</v>
      </c>
      <c r="L24" s="59" t="s">
        <v>313</v>
      </c>
      <c r="M24" s="62">
        <v>3089.52</v>
      </c>
      <c r="N24" s="63">
        <v>7</v>
      </c>
      <c r="O24" s="62">
        <v>216.27</v>
      </c>
      <c r="P24" s="61">
        <v>0</v>
      </c>
      <c r="Q24" s="62">
        <v>100.41</v>
      </c>
    </row>
    <row r="25" spans="1:17" ht="11.1" customHeight="1" x14ac:dyDescent="0.25">
      <c r="A25" s="56">
        <v>26905</v>
      </c>
      <c r="B25" s="57">
        <v>46046</v>
      </c>
      <c r="C25" s="58" t="s">
        <v>331</v>
      </c>
      <c r="D25" s="59" t="s">
        <v>311</v>
      </c>
      <c r="E25" s="56">
        <v>36</v>
      </c>
      <c r="F25" s="56">
        <v>540</v>
      </c>
      <c r="G25" s="59" t="s">
        <v>312</v>
      </c>
      <c r="H25" s="60">
        <v>2102</v>
      </c>
      <c r="I25" s="56">
        <v>6</v>
      </c>
      <c r="J25" s="59" t="s">
        <v>50</v>
      </c>
      <c r="K25" s="61">
        <v>1778.4</v>
      </c>
      <c r="L25" s="59" t="s">
        <v>313</v>
      </c>
      <c r="M25" s="62">
        <v>1778.4</v>
      </c>
      <c r="N25" s="63">
        <v>7</v>
      </c>
      <c r="O25" s="62">
        <v>124.49</v>
      </c>
      <c r="P25" s="61">
        <v>0</v>
      </c>
      <c r="Q25" s="62">
        <v>0</v>
      </c>
    </row>
    <row r="26" spans="1:17" ht="11.1" customHeight="1" x14ac:dyDescent="0.25">
      <c r="A26" s="56">
        <v>26906</v>
      </c>
      <c r="B26" s="57">
        <v>46046</v>
      </c>
      <c r="C26" s="58" t="s">
        <v>332</v>
      </c>
      <c r="D26" s="59" t="s">
        <v>311</v>
      </c>
      <c r="E26" s="56">
        <v>36</v>
      </c>
      <c r="F26" s="56">
        <v>540</v>
      </c>
      <c r="G26" s="59" t="s">
        <v>312</v>
      </c>
      <c r="H26" s="60">
        <v>2102</v>
      </c>
      <c r="I26" s="56">
        <v>6</v>
      </c>
      <c r="J26" s="59" t="s">
        <v>50</v>
      </c>
      <c r="K26" s="61">
        <v>121.27</v>
      </c>
      <c r="L26" s="59" t="s">
        <v>313</v>
      </c>
      <c r="M26" s="62">
        <v>117.45</v>
      </c>
      <c r="N26" s="63">
        <v>4</v>
      </c>
      <c r="O26" s="62">
        <v>4.7</v>
      </c>
      <c r="P26" s="61">
        <v>0</v>
      </c>
      <c r="Q26" s="62">
        <v>3.82</v>
      </c>
    </row>
    <row r="27" spans="1:17" ht="11.1" customHeight="1" x14ac:dyDescent="0.25">
      <c r="A27" s="56">
        <v>26907</v>
      </c>
      <c r="B27" s="57">
        <v>46046</v>
      </c>
      <c r="C27" s="58" t="s">
        <v>333</v>
      </c>
      <c r="D27" s="59" t="s">
        <v>311</v>
      </c>
      <c r="E27" s="56">
        <v>36</v>
      </c>
      <c r="F27" s="56">
        <v>540</v>
      </c>
      <c r="G27" s="59" t="s">
        <v>312</v>
      </c>
      <c r="H27" s="60">
        <v>2102</v>
      </c>
      <c r="I27" s="56">
        <v>6</v>
      </c>
      <c r="J27" s="59" t="s">
        <v>50</v>
      </c>
      <c r="K27" s="61">
        <v>1778.4</v>
      </c>
      <c r="L27" s="59" t="s">
        <v>313</v>
      </c>
      <c r="M27" s="62">
        <v>1778.4</v>
      </c>
      <c r="N27" s="63">
        <v>7</v>
      </c>
      <c r="O27" s="62">
        <v>124.49</v>
      </c>
      <c r="P27" s="61">
        <v>0</v>
      </c>
      <c r="Q27" s="62">
        <v>0</v>
      </c>
    </row>
    <row r="28" spans="1:17" ht="11.1" customHeight="1" x14ac:dyDescent="0.25">
      <c r="A28" s="56">
        <v>26908</v>
      </c>
      <c r="B28" s="57">
        <v>46046</v>
      </c>
      <c r="C28" s="58" t="s">
        <v>334</v>
      </c>
      <c r="D28" s="59" t="s">
        <v>311</v>
      </c>
      <c r="E28" s="56">
        <v>36</v>
      </c>
      <c r="F28" s="56">
        <v>540</v>
      </c>
      <c r="G28" s="59" t="s">
        <v>312</v>
      </c>
      <c r="H28" s="60">
        <v>1949</v>
      </c>
      <c r="I28" s="56">
        <v>64</v>
      </c>
      <c r="J28" s="59" t="s">
        <v>50</v>
      </c>
      <c r="K28" s="61">
        <v>833.03</v>
      </c>
      <c r="L28" s="59" t="s">
        <v>313</v>
      </c>
      <c r="M28" s="62">
        <v>806.81</v>
      </c>
      <c r="N28" s="63">
        <v>4</v>
      </c>
      <c r="O28" s="62">
        <v>32.270000000000003</v>
      </c>
      <c r="P28" s="61">
        <v>0</v>
      </c>
      <c r="Q28" s="62">
        <v>26.22</v>
      </c>
    </row>
    <row r="29" spans="1:17" ht="11.1" customHeight="1" x14ac:dyDescent="0.25">
      <c r="A29" s="56">
        <v>26909</v>
      </c>
      <c r="B29" s="57">
        <v>46050</v>
      </c>
      <c r="C29" s="58" t="s">
        <v>335</v>
      </c>
      <c r="D29" s="59" t="s">
        <v>311</v>
      </c>
      <c r="E29" s="56">
        <v>36</v>
      </c>
      <c r="F29" s="56">
        <v>540</v>
      </c>
      <c r="G29" s="59" t="s">
        <v>312</v>
      </c>
      <c r="H29" s="60">
        <v>1949</v>
      </c>
      <c r="I29" s="56">
        <v>64</v>
      </c>
      <c r="J29" s="59" t="s">
        <v>50</v>
      </c>
      <c r="K29" s="61">
        <v>2499.09</v>
      </c>
      <c r="L29" s="59" t="s">
        <v>313</v>
      </c>
      <c r="M29" s="62">
        <v>2420.4299999999998</v>
      </c>
      <c r="N29" s="63">
        <v>4</v>
      </c>
      <c r="O29" s="62">
        <v>96.82</v>
      </c>
      <c r="P29" s="61">
        <v>0</v>
      </c>
      <c r="Q29" s="62">
        <v>78.66</v>
      </c>
    </row>
    <row r="30" spans="1:17" ht="11.1" customHeight="1" x14ac:dyDescent="0.25">
      <c r="A30" s="56">
        <v>26910</v>
      </c>
      <c r="B30" s="57">
        <v>46050</v>
      </c>
      <c r="C30" s="58" t="s">
        <v>336</v>
      </c>
      <c r="D30" s="59" t="s">
        <v>311</v>
      </c>
      <c r="E30" s="56">
        <v>36</v>
      </c>
      <c r="F30" s="56">
        <v>540</v>
      </c>
      <c r="G30" s="59" t="s">
        <v>312</v>
      </c>
      <c r="H30" s="60">
        <v>1949</v>
      </c>
      <c r="I30" s="56">
        <v>64</v>
      </c>
      <c r="J30" s="59" t="s">
        <v>50</v>
      </c>
      <c r="K30" s="61">
        <v>1666.06</v>
      </c>
      <c r="L30" s="59" t="s">
        <v>313</v>
      </c>
      <c r="M30" s="62">
        <v>1613.62</v>
      </c>
      <c r="N30" s="63">
        <v>4</v>
      </c>
      <c r="O30" s="62">
        <v>64.540000000000006</v>
      </c>
      <c r="P30" s="61">
        <v>0</v>
      </c>
      <c r="Q30" s="62">
        <v>52.44</v>
      </c>
    </row>
    <row r="31" spans="1:17" ht="11.1" customHeight="1" x14ac:dyDescent="0.25">
      <c r="A31" s="56">
        <v>26911</v>
      </c>
      <c r="B31" s="57">
        <v>46053</v>
      </c>
      <c r="C31" s="58" t="s">
        <v>337</v>
      </c>
      <c r="D31" s="59" t="s">
        <v>311</v>
      </c>
      <c r="E31" s="56">
        <v>36</v>
      </c>
      <c r="F31" s="56">
        <v>540</v>
      </c>
      <c r="G31" s="59" t="s">
        <v>312</v>
      </c>
      <c r="H31" s="60">
        <v>2102</v>
      </c>
      <c r="I31" s="56">
        <v>6</v>
      </c>
      <c r="J31" s="59" t="s">
        <v>50</v>
      </c>
      <c r="K31" s="61">
        <v>2812.57</v>
      </c>
      <c r="L31" s="59" t="s">
        <v>313</v>
      </c>
      <c r="M31" s="62">
        <v>2652.74</v>
      </c>
      <c r="N31" s="63">
        <v>4</v>
      </c>
      <c r="O31" s="62">
        <v>106.11</v>
      </c>
      <c r="P31" s="61">
        <v>0</v>
      </c>
      <c r="Q31" s="62">
        <v>159.83000000000001</v>
      </c>
    </row>
    <row r="32" spans="1:17" ht="11.1" customHeight="1" x14ac:dyDescent="0.25">
      <c r="A32" s="56">
        <v>26912</v>
      </c>
      <c r="B32" s="57">
        <v>46053</v>
      </c>
      <c r="C32" s="58" t="s">
        <v>338</v>
      </c>
      <c r="D32" s="59" t="s">
        <v>311</v>
      </c>
      <c r="E32" s="56">
        <v>36</v>
      </c>
      <c r="F32" s="56">
        <v>540</v>
      </c>
      <c r="G32" s="59" t="s">
        <v>312</v>
      </c>
      <c r="H32" s="60">
        <v>2102</v>
      </c>
      <c r="I32" s="56">
        <v>6</v>
      </c>
      <c r="J32" s="59" t="s">
        <v>50</v>
      </c>
      <c r="K32" s="61">
        <v>4214.45</v>
      </c>
      <c r="L32" s="59" t="s">
        <v>313</v>
      </c>
      <c r="M32" s="62">
        <v>3942.72</v>
      </c>
      <c r="N32" s="63">
        <v>4</v>
      </c>
      <c r="O32" s="62">
        <v>157.69999999999999</v>
      </c>
      <c r="P32" s="61">
        <v>0</v>
      </c>
      <c r="Q32" s="62">
        <v>271.73</v>
      </c>
    </row>
    <row r="33" spans="1:17" ht="11.1" customHeight="1" x14ac:dyDescent="0.25">
      <c r="A33" s="56">
        <v>26913</v>
      </c>
      <c r="B33" s="57">
        <v>46053</v>
      </c>
      <c r="C33" s="58" t="s">
        <v>339</v>
      </c>
      <c r="D33" s="59" t="s">
        <v>311</v>
      </c>
      <c r="E33" s="56">
        <v>36</v>
      </c>
      <c r="F33" s="56">
        <v>540</v>
      </c>
      <c r="G33" s="59" t="s">
        <v>312</v>
      </c>
      <c r="H33" s="60">
        <v>2102</v>
      </c>
      <c r="I33" s="56">
        <v>6</v>
      </c>
      <c r="J33" s="59" t="s">
        <v>50</v>
      </c>
      <c r="K33" s="61">
        <v>6281.67</v>
      </c>
      <c r="L33" s="59" t="s">
        <v>313</v>
      </c>
      <c r="M33" s="62">
        <v>6189.87</v>
      </c>
      <c r="N33" s="63">
        <v>7</v>
      </c>
      <c r="O33" s="62">
        <v>433.3</v>
      </c>
      <c r="P33" s="61">
        <v>0</v>
      </c>
      <c r="Q33" s="62">
        <v>91.8</v>
      </c>
    </row>
    <row r="34" spans="1:17" ht="11.1" customHeight="1" x14ac:dyDescent="0.25">
      <c r="A34" s="56">
        <v>26914</v>
      </c>
      <c r="B34" s="57">
        <v>46053</v>
      </c>
      <c r="C34" s="58" t="s">
        <v>340</v>
      </c>
      <c r="D34" s="59" t="s">
        <v>311</v>
      </c>
      <c r="E34" s="56">
        <v>36</v>
      </c>
      <c r="F34" s="56">
        <v>540</v>
      </c>
      <c r="G34" s="59" t="s">
        <v>312</v>
      </c>
      <c r="H34" s="60">
        <v>2102</v>
      </c>
      <c r="I34" s="56">
        <v>6</v>
      </c>
      <c r="J34" s="59" t="s">
        <v>50</v>
      </c>
      <c r="K34" s="61">
        <v>2396.6799999999998</v>
      </c>
      <c r="L34" s="59" t="s">
        <v>313</v>
      </c>
      <c r="M34" s="62">
        <v>2396.6799999999998</v>
      </c>
      <c r="N34" s="63">
        <v>7</v>
      </c>
      <c r="O34" s="62">
        <v>167.76</v>
      </c>
      <c r="P34" s="61">
        <v>0</v>
      </c>
      <c r="Q34" s="62">
        <v>0</v>
      </c>
    </row>
    <row r="35" spans="1:17" ht="11.1" customHeight="1" x14ac:dyDescent="0.25">
      <c r="A35" s="56">
        <v>26915</v>
      </c>
      <c r="B35" s="57">
        <v>46053</v>
      </c>
      <c r="C35" s="58" t="s">
        <v>341</v>
      </c>
      <c r="D35" s="59" t="s">
        <v>311</v>
      </c>
      <c r="E35" s="56">
        <v>36</v>
      </c>
      <c r="F35" s="56">
        <v>540</v>
      </c>
      <c r="G35" s="59" t="s">
        <v>312</v>
      </c>
      <c r="H35" s="60">
        <v>2102</v>
      </c>
      <c r="I35" s="56">
        <v>6</v>
      </c>
      <c r="J35" s="59" t="s">
        <v>50</v>
      </c>
      <c r="K35" s="61">
        <v>4428.96</v>
      </c>
      <c r="L35" s="59" t="s">
        <v>313</v>
      </c>
      <c r="M35" s="62">
        <v>4428.96</v>
      </c>
      <c r="N35" s="63">
        <v>7</v>
      </c>
      <c r="O35" s="62">
        <v>310.02999999999997</v>
      </c>
      <c r="P35" s="61">
        <v>0</v>
      </c>
      <c r="Q35" s="62">
        <v>0</v>
      </c>
    </row>
    <row r="36" spans="1:17" ht="11.1" customHeight="1" x14ac:dyDescent="0.25">
      <c r="A36" s="56">
        <v>26916</v>
      </c>
      <c r="B36" s="57">
        <v>46053</v>
      </c>
      <c r="C36" s="58" t="s">
        <v>342</v>
      </c>
      <c r="D36" s="59" t="s">
        <v>311</v>
      </c>
      <c r="E36" s="56">
        <v>36</v>
      </c>
      <c r="F36" s="56">
        <v>540</v>
      </c>
      <c r="G36" s="59" t="s">
        <v>312</v>
      </c>
      <c r="H36" s="60">
        <v>2102</v>
      </c>
      <c r="I36" s="56">
        <v>6</v>
      </c>
      <c r="J36" s="59" t="s">
        <v>50</v>
      </c>
      <c r="K36" s="61">
        <v>1830.32</v>
      </c>
      <c r="L36" s="59" t="s">
        <v>313</v>
      </c>
      <c r="M36" s="62">
        <v>1830.32</v>
      </c>
      <c r="N36" s="63">
        <v>7</v>
      </c>
      <c r="O36" s="62">
        <v>128.13</v>
      </c>
      <c r="P36" s="61">
        <v>0</v>
      </c>
      <c r="Q36" s="62">
        <v>0</v>
      </c>
    </row>
    <row r="37" spans="1:17" ht="11.1" customHeight="1" x14ac:dyDescent="0.25">
      <c r="A37" s="56">
        <v>26917</v>
      </c>
      <c r="B37" s="57">
        <v>46053</v>
      </c>
      <c r="C37" s="58" t="s">
        <v>343</v>
      </c>
      <c r="D37" s="59" t="s">
        <v>311</v>
      </c>
      <c r="E37" s="56">
        <v>36</v>
      </c>
      <c r="F37" s="56">
        <v>540</v>
      </c>
      <c r="G37" s="59" t="s">
        <v>312</v>
      </c>
      <c r="H37" s="60">
        <v>2102</v>
      </c>
      <c r="I37" s="56">
        <v>6</v>
      </c>
      <c r="J37" s="59" t="s">
        <v>50</v>
      </c>
      <c r="K37" s="61">
        <v>177.84</v>
      </c>
      <c r="L37" s="59" t="s">
        <v>313</v>
      </c>
      <c r="M37" s="62">
        <v>177.84</v>
      </c>
      <c r="N37" s="63">
        <v>7</v>
      </c>
      <c r="O37" s="62">
        <v>12.45</v>
      </c>
      <c r="P37" s="61">
        <v>0</v>
      </c>
      <c r="Q37" s="62">
        <v>0</v>
      </c>
    </row>
    <row r="38" spans="1:17" ht="11.1" customHeight="1" x14ac:dyDescent="0.25">
      <c r="A38" s="56">
        <v>26918</v>
      </c>
      <c r="B38" s="57">
        <v>46053</v>
      </c>
      <c r="C38" s="58" t="s">
        <v>344</v>
      </c>
      <c r="D38" s="59" t="s">
        <v>311</v>
      </c>
      <c r="E38" s="56">
        <v>36</v>
      </c>
      <c r="F38" s="56">
        <v>540</v>
      </c>
      <c r="G38" s="59" t="s">
        <v>312</v>
      </c>
      <c r="H38" s="60">
        <v>2102</v>
      </c>
      <c r="I38" s="56">
        <v>6</v>
      </c>
      <c r="J38" s="59" t="s">
        <v>50</v>
      </c>
      <c r="K38" s="61">
        <v>1618.2</v>
      </c>
      <c r="L38" s="59" t="s">
        <v>313</v>
      </c>
      <c r="M38" s="62">
        <v>1519.44</v>
      </c>
      <c r="N38" s="63">
        <v>7</v>
      </c>
      <c r="O38" s="62">
        <v>106.36</v>
      </c>
      <c r="P38" s="61">
        <v>0</v>
      </c>
      <c r="Q38" s="62">
        <v>98.76</v>
      </c>
    </row>
    <row r="39" spans="1:17" ht="11.1" customHeight="1" x14ac:dyDescent="0.25">
      <c r="A39" s="56">
        <v>26919</v>
      </c>
      <c r="B39" s="57">
        <v>46053</v>
      </c>
      <c r="C39" s="58" t="s">
        <v>345</v>
      </c>
      <c r="D39" s="59" t="s">
        <v>311</v>
      </c>
      <c r="E39" s="56">
        <v>36</v>
      </c>
      <c r="F39" s="56">
        <v>540</v>
      </c>
      <c r="G39" s="59" t="s">
        <v>312</v>
      </c>
      <c r="H39" s="60">
        <v>2102</v>
      </c>
      <c r="I39" s="56">
        <v>6</v>
      </c>
      <c r="J39" s="59" t="s">
        <v>50</v>
      </c>
      <c r="K39" s="61">
        <v>2394.0100000000002</v>
      </c>
      <c r="L39" s="59" t="s">
        <v>313</v>
      </c>
      <c r="M39" s="62">
        <v>2247.9</v>
      </c>
      <c r="N39" s="63">
        <v>4</v>
      </c>
      <c r="O39" s="62">
        <v>89.92</v>
      </c>
      <c r="P39" s="61">
        <v>0</v>
      </c>
      <c r="Q39" s="62">
        <v>146.11000000000001</v>
      </c>
    </row>
    <row r="40" spans="1:17" ht="11.1" customHeight="1" x14ac:dyDescent="0.25">
      <c r="A40" s="56">
        <v>26920</v>
      </c>
      <c r="B40" s="57">
        <v>46053</v>
      </c>
      <c r="C40" s="58" t="s">
        <v>346</v>
      </c>
      <c r="D40" s="59" t="s">
        <v>311</v>
      </c>
      <c r="E40" s="56">
        <v>36</v>
      </c>
      <c r="F40" s="56">
        <v>540</v>
      </c>
      <c r="G40" s="59" t="s">
        <v>312</v>
      </c>
      <c r="H40" s="60">
        <v>2102</v>
      </c>
      <c r="I40" s="56">
        <v>6</v>
      </c>
      <c r="J40" s="59" t="s">
        <v>50</v>
      </c>
      <c r="K40" s="61">
        <v>519.76</v>
      </c>
      <c r="L40" s="59" t="s">
        <v>313</v>
      </c>
      <c r="M40" s="62">
        <v>488.04</v>
      </c>
      <c r="N40" s="63">
        <v>4</v>
      </c>
      <c r="O40" s="62">
        <v>19.52</v>
      </c>
      <c r="P40" s="61">
        <v>0</v>
      </c>
      <c r="Q40" s="62">
        <v>31.72</v>
      </c>
    </row>
    <row r="41" spans="1:17" ht="11.1" customHeight="1" x14ac:dyDescent="0.25">
      <c r="A41" s="56">
        <v>26921</v>
      </c>
      <c r="B41" s="57">
        <v>46053</v>
      </c>
      <c r="C41" s="58" t="s">
        <v>347</v>
      </c>
      <c r="D41" s="59" t="s">
        <v>311</v>
      </c>
      <c r="E41" s="56">
        <v>36</v>
      </c>
      <c r="F41" s="56">
        <v>540</v>
      </c>
      <c r="G41" s="59" t="s">
        <v>312</v>
      </c>
      <c r="H41" s="60">
        <v>2102</v>
      </c>
      <c r="I41" s="56">
        <v>6</v>
      </c>
      <c r="J41" s="59" t="s">
        <v>50</v>
      </c>
      <c r="K41" s="61">
        <v>245.76</v>
      </c>
      <c r="L41" s="59" t="s">
        <v>313</v>
      </c>
      <c r="M41" s="62">
        <v>230.76</v>
      </c>
      <c r="N41" s="63">
        <v>7</v>
      </c>
      <c r="O41" s="62">
        <v>16.149999999999999</v>
      </c>
      <c r="P41" s="61">
        <v>0</v>
      </c>
      <c r="Q41" s="62">
        <v>15</v>
      </c>
    </row>
    <row r="42" spans="1:17" ht="11.1" customHeight="1" x14ac:dyDescent="0.25">
      <c r="A42" s="15" t="s">
        <v>348</v>
      </c>
      <c r="B42" s="15"/>
      <c r="C42" s="15"/>
      <c r="D42" s="15"/>
      <c r="E42" s="15"/>
      <c r="F42" s="15"/>
      <c r="G42" s="15"/>
      <c r="H42" s="15"/>
      <c r="I42" s="15"/>
    </row>
    <row r="43" spans="1:17" ht="11.1" customHeight="1" x14ac:dyDescent="0.25">
      <c r="K43" s="61">
        <v>92918.85</v>
      </c>
      <c r="L43" s="59" t="s">
        <v>313</v>
      </c>
      <c r="M43" s="62">
        <v>90009.14</v>
      </c>
      <c r="O43" s="62">
        <v>5112.1899999999996</v>
      </c>
      <c r="P43" s="61">
        <v>0</v>
      </c>
      <c r="Q43" s="62">
        <v>2909.71</v>
      </c>
    </row>
    <row r="44" spans="1:17" ht="11.1" customHeight="1" x14ac:dyDescent="0.25">
      <c r="A44" s="56">
        <v>26922</v>
      </c>
      <c r="B44" s="57">
        <v>46050</v>
      </c>
      <c r="C44" s="58" t="s">
        <v>349</v>
      </c>
      <c r="D44" s="59" t="s">
        <v>350</v>
      </c>
      <c r="E44" s="56">
        <v>36</v>
      </c>
      <c r="F44" s="56">
        <v>1150</v>
      </c>
      <c r="G44" s="59" t="s">
        <v>312</v>
      </c>
      <c r="H44" s="60">
        <v>2102</v>
      </c>
      <c r="I44" s="56">
        <v>6</v>
      </c>
      <c r="J44" s="59" t="s">
        <v>50</v>
      </c>
      <c r="K44" s="61">
        <v>1385.62</v>
      </c>
      <c r="L44" s="59" t="s">
        <v>313</v>
      </c>
      <c r="M44" s="62">
        <v>1342</v>
      </c>
      <c r="N44" s="63">
        <v>7</v>
      </c>
      <c r="O44" s="62">
        <v>93.94</v>
      </c>
      <c r="P44" s="61">
        <v>0</v>
      </c>
      <c r="Q44" s="62">
        <v>43.62</v>
      </c>
    </row>
    <row r="45" spans="1:17" ht="11.1" customHeight="1" x14ac:dyDescent="0.25">
      <c r="A45" s="15" t="s">
        <v>348</v>
      </c>
      <c r="B45" s="15"/>
      <c r="C45" s="15"/>
      <c r="D45" s="15"/>
      <c r="E45" s="15"/>
      <c r="F45" s="15"/>
      <c r="G45" s="15"/>
      <c r="H45" s="15"/>
      <c r="I45" s="15"/>
    </row>
    <row r="46" spans="1:17" ht="11.1" customHeight="1" x14ac:dyDescent="0.25">
      <c r="K46" s="61">
        <v>1385.62</v>
      </c>
      <c r="L46" s="59" t="s">
        <v>313</v>
      </c>
      <c r="M46" s="62">
        <v>1342</v>
      </c>
      <c r="O46" s="62">
        <v>93.94</v>
      </c>
      <c r="P46" s="61">
        <v>0</v>
      </c>
      <c r="Q46" s="62">
        <v>43.62</v>
      </c>
    </row>
    <row r="47" spans="1:17" ht="11.1" customHeight="1" x14ac:dyDescent="0.25">
      <c r="A47" s="56">
        <v>26858</v>
      </c>
      <c r="B47" s="57">
        <v>46030</v>
      </c>
      <c r="C47" s="58" t="s">
        <v>351</v>
      </c>
      <c r="D47" s="59" t="s">
        <v>352</v>
      </c>
      <c r="E47" s="56">
        <v>36</v>
      </c>
      <c r="F47" s="56">
        <v>952</v>
      </c>
      <c r="G47" s="59" t="s">
        <v>353</v>
      </c>
      <c r="H47" s="60">
        <v>1202</v>
      </c>
      <c r="I47" s="56">
        <v>38</v>
      </c>
      <c r="J47" s="59" t="s">
        <v>26</v>
      </c>
      <c r="K47" s="61">
        <v>131</v>
      </c>
      <c r="L47" s="59" t="s">
        <v>313</v>
      </c>
      <c r="M47" s="62">
        <v>131</v>
      </c>
      <c r="N47" s="63">
        <v>20</v>
      </c>
      <c r="O47" s="62">
        <v>26.2</v>
      </c>
      <c r="P47" s="61">
        <v>0</v>
      </c>
      <c r="Q47" s="62">
        <v>0</v>
      </c>
    </row>
    <row r="48" spans="1:17" ht="11.1" customHeight="1" x14ac:dyDescent="0.25">
      <c r="A48" s="15" t="s">
        <v>348</v>
      </c>
      <c r="B48" s="15"/>
      <c r="C48" s="15"/>
      <c r="D48" s="15"/>
      <c r="E48" s="15"/>
      <c r="F48" s="15"/>
      <c r="G48" s="15"/>
      <c r="H48" s="15"/>
      <c r="I48" s="15"/>
    </row>
    <row r="49" spans="1:17" ht="11.1" customHeight="1" x14ac:dyDescent="0.25">
      <c r="K49" s="61">
        <v>131</v>
      </c>
      <c r="L49" s="59" t="s">
        <v>313</v>
      </c>
      <c r="M49" s="62">
        <v>131</v>
      </c>
      <c r="O49" s="62">
        <v>26.2</v>
      </c>
      <c r="P49" s="61">
        <v>0</v>
      </c>
      <c r="Q49" s="62">
        <v>0</v>
      </c>
    </row>
    <row r="50" spans="1:17" ht="11.1" customHeight="1" x14ac:dyDescent="0.25">
      <c r="A50" s="56">
        <v>26860</v>
      </c>
      <c r="B50" s="57">
        <v>46035</v>
      </c>
      <c r="C50" s="58" t="s">
        <v>354</v>
      </c>
      <c r="D50" s="59" t="s">
        <v>352</v>
      </c>
      <c r="E50" s="56">
        <v>36</v>
      </c>
      <c r="F50" s="56">
        <v>1164</v>
      </c>
      <c r="G50" s="59" t="s">
        <v>355</v>
      </c>
      <c r="H50" s="60">
        <v>2202</v>
      </c>
      <c r="I50" s="56">
        <v>38</v>
      </c>
      <c r="J50" s="59" t="s">
        <v>34</v>
      </c>
      <c r="K50" s="61">
        <v>18.8</v>
      </c>
      <c r="L50" s="59" t="s">
        <v>313</v>
      </c>
      <c r="M50" s="62">
        <v>18.8</v>
      </c>
      <c r="N50" s="63">
        <v>12</v>
      </c>
      <c r="O50" s="62">
        <v>2.2599999999999998</v>
      </c>
      <c r="P50" s="61">
        <v>0</v>
      </c>
      <c r="Q50" s="62">
        <v>0</v>
      </c>
    </row>
    <row r="51" spans="1:17" ht="11.1" customHeight="1" x14ac:dyDescent="0.25">
      <c r="A51" s="15" t="s">
        <v>348</v>
      </c>
      <c r="B51" s="15"/>
      <c r="C51" s="15"/>
      <c r="D51" s="15"/>
      <c r="E51" s="15"/>
      <c r="F51" s="15"/>
      <c r="G51" s="15"/>
      <c r="H51" s="15"/>
      <c r="I51" s="15"/>
    </row>
    <row r="52" spans="1:17" ht="11.1" customHeight="1" x14ac:dyDescent="0.25">
      <c r="K52" s="61">
        <v>18.8</v>
      </c>
      <c r="L52" s="59" t="s">
        <v>313</v>
      </c>
      <c r="M52" s="62">
        <v>18.8</v>
      </c>
      <c r="O52" s="62">
        <v>2.2599999999999998</v>
      </c>
      <c r="P52" s="61">
        <v>0</v>
      </c>
      <c r="Q52" s="62">
        <v>0</v>
      </c>
    </row>
    <row r="53" spans="1:17" ht="11.1" customHeight="1" x14ac:dyDescent="0.25">
      <c r="A53" s="56">
        <v>28699</v>
      </c>
      <c r="B53" s="57">
        <v>46045</v>
      </c>
      <c r="C53" s="58" t="s">
        <v>356</v>
      </c>
      <c r="D53" s="59" t="s">
        <v>75</v>
      </c>
      <c r="E53" s="56">
        <v>39</v>
      </c>
      <c r="F53" s="56">
        <v>1265</v>
      </c>
      <c r="G53" s="59" t="s">
        <v>357</v>
      </c>
      <c r="H53" s="60">
        <v>1933</v>
      </c>
      <c r="I53" s="56">
        <v>29</v>
      </c>
      <c r="J53" s="59" t="s">
        <v>26</v>
      </c>
      <c r="K53" s="61">
        <v>38</v>
      </c>
      <c r="L53" s="59" t="s">
        <v>358</v>
      </c>
      <c r="M53" s="62">
        <v>38</v>
      </c>
      <c r="N53" s="63">
        <v>2</v>
      </c>
      <c r="O53" s="62">
        <v>0.76</v>
      </c>
      <c r="P53" s="61">
        <v>0</v>
      </c>
      <c r="Q53" s="62">
        <v>0</v>
      </c>
    </row>
    <row r="54" spans="1:17" ht="11.1" customHeight="1" x14ac:dyDescent="0.25">
      <c r="A54" s="56">
        <v>28700</v>
      </c>
      <c r="B54" s="57">
        <v>46045</v>
      </c>
      <c r="C54" s="58" t="s">
        <v>359</v>
      </c>
      <c r="D54" s="59" t="s">
        <v>75</v>
      </c>
      <c r="E54" s="56">
        <v>39</v>
      </c>
      <c r="F54" s="56">
        <v>1265</v>
      </c>
      <c r="G54" s="59" t="s">
        <v>357</v>
      </c>
      <c r="H54" s="60">
        <v>1933</v>
      </c>
      <c r="I54" s="56">
        <v>29</v>
      </c>
      <c r="J54" s="59" t="s">
        <v>26</v>
      </c>
      <c r="K54" s="61">
        <v>38</v>
      </c>
      <c r="L54" s="59" t="s">
        <v>358</v>
      </c>
      <c r="M54" s="62">
        <v>38</v>
      </c>
      <c r="N54" s="63">
        <v>2</v>
      </c>
      <c r="O54" s="62">
        <v>0.76</v>
      </c>
      <c r="P54" s="61">
        <v>0</v>
      </c>
      <c r="Q54" s="62">
        <v>0</v>
      </c>
    </row>
    <row r="55" spans="1:17" ht="11.1" customHeight="1" x14ac:dyDescent="0.25">
      <c r="A55" s="56">
        <v>28701</v>
      </c>
      <c r="B55" s="57">
        <v>46046</v>
      </c>
      <c r="C55" s="58" t="s">
        <v>360</v>
      </c>
      <c r="D55" s="59" t="s">
        <v>75</v>
      </c>
      <c r="E55" s="56">
        <v>39</v>
      </c>
      <c r="F55" s="56">
        <v>1265</v>
      </c>
      <c r="G55" s="59" t="s">
        <v>357</v>
      </c>
      <c r="H55" s="60">
        <v>1933</v>
      </c>
      <c r="I55" s="56">
        <v>29</v>
      </c>
      <c r="J55" s="59" t="s">
        <v>26</v>
      </c>
      <c r="K55" s="61">
        <v>38</v>
      </c>
      <c r="L55" s="59" t="s">
        <v>358</v>
      </c>
      <c r="M55" s="62">
        <v>38</v>
      </c>
      <c r="N55" s="63">
        <v>2</v>
      </c>
      <c r="O55" s="62">
        <v>0.76</v>
      </c>
      <c r="P55" s="61">
        <v>0</v>
      </c>
      <c r="Q55" s="62">
        <v>0</v>
      </c>
    </row>
    <row r="56" spans="1:17" ht="11.1" customHeight="1" x14ac:dyDescent="0.25">
      <c r="A56" s="56">
        <v>28702</v>
      </c>
      <c r="B56" s="57">
        <v>46046</v>
      </c>
      <c r="C56" s="58" t="s">
        <v>361</v>
      </c>
      <c r="D56" s="59" t="s">
        <v>75</v>
      </c>
      <c r="E56" s="56">
        <v>39</v>
      </c>
      <c r="F56" s="56">
        <v>1265</v>
      </c>
      <c r="G56" s="59" t="s">
        <v>357</v>
      </c>
      <c r="H56" s="60">
        <v>1933</v>
      </c>
      <c r="I56" s="56">
        <v>29</v>
      </c>
      <c r="J56" s="59" t="s">
        <v>26</v>
      </c>
      <c r="K56" s="61">
        <v>38</v>
      </c>
      <c r="L56" s="59" t="s">
        <v>358</v>
      </c>
      <c r="M56" s="62">
        <v>38</v>
      </c>
      <c r="N56" s="63">
        <v>2</v>
      </c>
      <c r="O56" s="62">
        <v>0.76</v>
      </c>
      <c r="P56" s="61">
        <v>0</v>
      </c>
      <c r="Q56" s="62">
        <v>0</v>
      </c>
    </row>
    <row r="57" spans="1:17" ht="11.1" customHeight="1" x14ac:dyDescent="0.25">
      <c r="A57" s="56">
        <v>28703</v>
      </c>
      <c r="B57" s="57">
        <v>46046</v>
      </c>
      <c r="C57" s="58" t="s">
        <v>362</v>
      </c>
      <c r="D57" s="59" t="s">
        <v>75</v>
      </c>
      <c r="E57" s="56">
        <v>39</v>
      </c>
      <c r="F57" s="56">
        <v>1265</v>
      </c>
      <c r="G57" s="59" t="s">
        <v>357</v>
      </c>
      <c r="H57" s="60">
        <v>1933</v>
      </c>
      <c r="I57" s="56">
        <v>29</v>
      </c>
      <c r="J57" s="59" t="s">
        <v>26</v>
      </c>
      <c r="K57" s="61">
        <v>38</v>
      </c>
      <c r="L57" s="59" t="s">
        <v>358</v>
      </c>
      <c r="M57" s="62">
        <v>38</v>
      </c>
      <c r="N57" s="63">
        <v>2</v>
      </c>
      <c r="O57" s="62">
        <v>0.76</v>
      </c>
      <c r="P57" s="61">
        <v>0</v>
      </c>
      <c r="Q57" s="62">
        <v>0</v>
      </c>
    </row>
    <row r="58" spans="1:17" ht="11.1" customHeight="1" x14ac:dyDescent="0.25">
      <c r="A58" s="56">
        <v>28704</v>
      </c>
      <c r="B58" s="57">
        <v>46046</v>
      </c>
      <c r="C58" s="58" t="s">
        <v>363</v>
      </c>
      <c r="D58" s="59" t="s">
        <v>75</v>
      </c>
      <c r="E58" s="56">
        <v>39</v>
      </c>
      <c r="F58" s="56">
        <v>1265</v>
      </c>
      <c r="G58" s="59" t="s">
        <v>357</v>
      </c>
      <c r="H58" s="60">
        <v>1933</v>
      </c>
      <c r="I58" s="56">
        <v>29</v>
      </c>
      <c r="J58" s="59" t="s">
        <v>26</v>
      </c>
      <c r="K58" s="61">
        <v>38</v>
      </c>
      <c r="L58" s="59" t="s">
        <v>358</v>
      </c>
      <c r="M58" s="62">
        <v>38</v>
      </c>
      <c r="N58" s="63">
        <v>2</v>
      </c>
      <c r="O58" s="62">
        <v>0.76</v>
      </c>
      <c r="P58" s="61">
        <v>0</v>
      </c>
      <c r="Q58" s="62">
        <v>0</v>
      </c>
    </row>
    <row r="59" spans="1:17" ht="11.1" customHeight="1" x14ac:dyDescent="0.25">
      <c r="A59" s="56">
        <v>28705</v>
      </c>
      <c r="B59" s="57">
        <v>46046</v>
      </c>
      <c r="C59" s="58" t="s">
        <v>364</v>
      </c>
      <c r="D59" s="59" t="s">
        <v>75</v>
      </c>
      <c r="E59" s="56">
        <v>39</v>
      </c>
      <c r="F59" s="56">
        <v>1265</v>
      </c>
      <c r="G59" s="59" t="s">
        <v>357</v>
      </c>
      <c r="H59" s="60">
        <v>1933</v>
      </c>
      <c r="I59" s="56">
        <v>29</v>
      </c>
      <c r="J59" s="59" t="s">
        <v>26</v>
      </c>
      <c r="K59" s="61">
        <v>38</v>
      </c>
      <c r="L59" s="59" t="s">
        <v>358</v>
      </c>
      <c r="M59" s="62">
        <v>38</v>
      </c>
      <c r="N59" s="63">
        <v>2</v>
      </c>
      <c r="O59" s="62">
        <v>0.76</v>
      </c>
      <c r="P59" s="61">
        <v>0</v>
      </c>
      <c r="Q59" s="62">
        <v>0</v>
      </c>
    </row>
    <row r="60" spans="1:17" ht="11.1" customHeight="1" x14ac:dyDescent="0.25">
      <c r="A60" s="15" t="s">
        <v>348</v>
      </c>
      <c r="B60" s="15"/>
      <c r="C60" s="15"/>
      <c r="D60" s="15"/>
      <c r="E60" s="15"/>
      <c r="F60" s="15"/>
      <c r="G60" s="15"/>
      <c r="H60" s="15"/>
      <c r="I60" s="15"/>
    </row>
    <row r="61" spans="1:17" ht="11.1" customHeight="1" x14ac:dyDescent="0.25">
      <c r="K61" s="61">
        <v>266</v>
      </c>
      <c r="L61" s="59" t="s">
        <v>358</v>
      </c>
      <c r="M61" s="62">
        <v>266</v>
      </c>
      <c r="O61" s="62">
        <v>5.32</v>
      </c>
      <c r="P61" s="61">
        <v>0</v>
      </c>
      <c r="Q61" s="62">
        <v>0</v>
      </c>
    </row>
    <row r="62" spans="1:17" ht="11.1" customHeight="1" x14ac:dyDescent="0.25">
      <c r="A62" s="15" t="s">
        <v>296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</row>
    <row r="63" spans="1:17" ht="11.1" customHeight="1" x14ac:dyDescent="0.25">
      <c r="A63" s="10" t="s">
        <v>184</v>
      </c>
      <c r="B63" s="10" t="s">
        <v>297</v>
      </c>
      <c r="C63" s="10" t="s">
        <v>298</v>
      </c>
      <c r="D63" s="55" t="s">
        <v>299</v>
      </c>
      <c r="E63" s="10" t="s">
        <v>300</v>
      </c>
      <c r="F63" s="10" t="s">
        <v>184</v>
      </c>
      <c r="G63" s="55" t="s">
        <v>301</v>
      </c>
      <c r="H63" s="10" t="s">
        <v>302</v>
      </c>
      <c r="I63" s="10" t="s">
        <v>303</v>
      </c>
      <c r="J63" s="55" t="s">
        <v>24</v>
      </c>
      <c r="K63" s="15" t="s">
        <v>304</v>
      </c>
      <c r="L63" s="55" t="s">
        <v>305</v>
      </c>
      <c r="M63" s="10" t="s">
        <v>306</v>
      </c>
      <c r="N63" s="10" t="s">
        <v>307</v>
      </c>
      <c r="O63" s="10" t="s">
        <v>73</v>
      </c>
      <c r="P63" s="15" t="s">
        <v>308</v>
      </c>
      <c r="Q63" s="10" t="s">
        <v>309</v>
      </c>
    </row>
    <row r="64" spans="1:17" ht="11.1" customHeight="1" x14ac:dyDescent="0.25">
      <c r="A64" s="56">
        <v>28804</v>
      </c>
      <c r="B64" s="57">
        <v>46045</v>
      </c>
      <c r="C64" s="58" t="s">
        <v>365</v>
      </c>
      <c r="D64" s="59" t="s">
        <v>75</v>
      </c>
      <c r="E64" s="56">
        <v>39</v>
      </c>
      <c r="F64" s="56">
        <v>1266</v>
      </c>
      <c r="G64" s="59" t="s">
        <v>366</v>
      </c>
      <c r="H64" s="60">
        <v>1933</v>
      </c>
      <c r="I64" s="56">
        <v>29</v>
      </c>
      <c r="J64" s="59" t="s">
        <v>26</v>
      </c>
      <c r="K64" s="61">
        <v>5.3</v>
      </c>
      <c r="L64" s="59" t="s">
        <v>358</v>
      </c>
      <c r="M64" s="62">
        <v>5.3</v>
      </c>
      <c r="N64" s="63">
        <v>2</v>
      </c>
      <c r="O64" s="62">
        <v>0.11</v>
      </c>
      <c r="P64" s="61">
        <v>0</v>
      </c>
      <c r="Q64" s="62">
        <v>0</v>
      </c>
    </row>
    <row r="65" spans="1:17" ht="11.1" customHeight="1" x14ac:dyDescent="0.25">
      <c r="A65" s="56">
        <v>28805</v>
      </c>
      <c r="B65" s="57">
        <v>46045</v>
      </c>
      <c r="C65" s="58" t="s">
        <v>367</v>
      </c>
      <c r="D65" s="59" t="s">
        <v>75</v>
      </c>
      <c r="E65" s="56">
        <v>39</v>
      </c>
      <c r="F65" s="56">
        <v>1266</v>
      </c>
      <c r="G65" s="59" t="s">
        <v>366</v>
      </c>
      <c r="H65" s="60">
        <v>1933</v>
      </c>
      <c r="I65" s="56">
        <v>29</v>
      </c>
      <c r="J65" s="59" t="s">
        <v>26</v>
      </c>
      <c r="K65" s="61">
        <v>5.31</v>
      </c>
      <c r="L65" s="59" t="s">
        <v>358</v>
      </c>
      <c r="M65" s="62">
        <v>5.31</v>
      </c>
      <c r="N65" s="63">
        <v>2</v>
      </c>
      <c r="O65" s="62">
        <v>0.11</v>
      </c>
      <c r="P65" s="61">
        <v>0</v>
      </c>
      <c r="Q65" s="62">
        <v>0</v>
      </c>
    </row>
    <row r="66" spans="1:17" ht="11.1" customHeight="1" x14ac:dyDescent="0.25">
      <c r="A66" s="56">
        <v>28806</v>
      </c>
      <c r="B66" s="57">
        <v>46046</v>
      </c>
      <c r="C66" s="58" t="s">
        <v>368</v>
      </c>
      <c r="D66" s="59" t="s">
        <v>75</v>
      </c>
      <c r="E66" s="56">
        <v>39</v>
      </c>
      <c r="F66" s="56">
        <v>1266</v>
      </c>
      <c r="G66" s="59" t="s">
        <v>366</v>
      </c>
      <c r="H66" s="60">
        <v>1933</v>
      </c>
      <c r="I66" s="56">
        <v>29</v>
      </c>
      <c r="J66" s="59" t="s">
        <v>26</v>
      </c>
      <c r="K66" s="61">
        <v>5.3</v>
      </c>
      <c r="L66" s="59" t="s">
        <v>358</v>
      </c>
      <c r="M66" s="62">
        <v>5.3</v>
      </c>
      <c r="N66" s="63">
        <v>2</v>
      </c>
      <c r="O66" s="62">
        <v>0.11</v>
      </c>
      <c r="P66" s="61">
        <v>0</v>
      </c>
      <c r="Q66" s="62">
        <v>0</v>
      </c>
    </row>
    <row r="67" spans="1:17" ht="11.1" customHeight="1" x14ac:dyDescent="0.25">
      <c r="A67" s="56">
        <v>28807</v>
      </c>
      <c r="B67" s="57">
        <v>46046</v>
      </c>
      <c r="C67" s="58" t="s">
        <v>369</v>
      </c>
      <c r="D67" s="59" t="s">
        <v>75</v>
      </c>
      <c r="E67" s="56">
        <v>39</v>
      </c>
      <c r="F67" s="56">
        <v>1266</v>
      </c>
      <c r="G67" s="59" t="s">
        <v>366</v>
      </c>
      <c r="H67" s="60">
        <v>1933</v>
      </c>
      <c r="I67" s="56">
        <v>29</v>
      </c>
      <c r="J67" s="59" t="s">
        <v>26</v>
      </c>
      <c r="K67" s="61">
        <v>5.31</v>
      </c>
      <c r="L67" s="59" t="s">
        <v>358</v>
      </c>
      <c r="M67" s="62">
        <v>5.31</v>
      </c>
      <c r="N67" s="63">
        <v>2</v>
      </c>
      <c r="O67" s="62">
        <v>0.11</v>
      </c>
      <c r="P67" s="61">
        <v>0</v>
      </c>
      <c r="Q67" s="62">
        <v>0</v>
      </c>
    </row>
    <row r="68" spans="1:17" ht="11.1" customHeight="1" x14ac:dyDescent="0.25">
      <c r="A68" s="56">
        <v>28808</v>
      </c>
      <c r="B68" s="57">
        <v>46046</v>
      </c>
      <c r="C68" s="58" t="s">
        <v>370</v>
      </c>
      <c r="D68" s="59" t="s">
        <v>75</v>
      </c>
      <c r="E68" s="56">
        <v>39</v>
      </c>
      <c r="F68" s="56">
        <v>1266</v>
      </c>
      <c r="G68" s="59" t="s">
        <v>366</v>
      </c>
      <c r="H68" s="60">
        <v>1933</v>
      </c>
      <c r="I68" s="56">
        <v>29</v>
      </c>
      <c r="J68" s="59" t="s">
        <v>26</v>
      </c>
      <c r="K68" s="61">
        <v>5.31</v>
      </c>
      <c r="L68" s="59" t="s">
        <v>358</v>
      </c>
      <c r="M68" s="62">
        <v>5.31</v>
      </c>
      <c r="N68" s="63">
        <v>2</v>
      </c>
      <c r="O68" s="62">
        <v>0.11</v>
      </c>
      <c r="P68" s="61">
        <v>0</v>
      </c>
      <c r="Q68" s="62">
        <v>0</v>
      </c>
    </row>
    <row r="69" spans="1:17" ht="11.1" customHeight="1" x14ac:dyDescent="0.25">
      <c r="A69" s="56">
        <v>28809</v>
      </c>
      <c r="B69" s="57">
        <v>46046</v>
      </c>
      <c r="C69" s="58" t="s">
        <v>371</v>
      </c>
      <c r="D69" s="59" t="s">
        <v>75</v>
      </c>
      <c r="E69" s="56">
        <v>39</v>
      </c>
      <c r="F69" s="56">
        <v>1266</v>
      </c>
      <c r="G69" s="59" t="s">
        <v>366</v>
      </c>
      <c r="H69" s="60">
        <v>1933</v>
      </c>
      <c r="I69" s="56">
        <v>29</v>
      </c>
      <c r="J69" s="59" t="s">
        <v>26</v>
      </c>
      <c r="K69" s="61">
        <v>5.31</v>
      </c>
      <c r="L69" s="59" t="s">
        <v>358</v>
      </c>
      <c r="M69" s="62">
        <v>5.31</v>
      </c>
      <c r="N69" s="63">
        <v>2</v>
      </c>
      <c r="O69" s="62">
        <v>0.11</v>
      </c>
      <c r="P69" s="61">
        <v>0</v>
      </c>
      <c r="Q69" s="62">
        <v>0</v>
      </c>
    </row>
    <row r="70" spans="1:17" ht="11.1" customHeight="1" x14ac:dyDescent="0.25">
      <c r="A70" s="56">
        <v>28810</v>
      </c>
      <c r="B70" s="57">
        <v>46046</v>
      </c>
      <c r="C70" s="58" t="s">
        <v>372</v>
      </c>
      <c r="D70" s="59" t="s">
        <v>75</v>
      </c>
      <c r="E70" s="56">
        <v>39</v>
      </c>
      <c r="F70" s="56">
        <v>1266</v>
      </c>
      <c r="G70" s="59" t="s">
        <v>366</v>
      </c>
      <c r="H70" s="60">
        <v>1933</v>
      </c>
      <c r="I70" s="56">
        <v>29</v>
      </c>
      <c r="J70" s="59" t="s">
        <v>26</v>
      </c>
      <c r="K70" s="61">
        <v>5.31</v>
      </c>
      <c r="L70" s="59" t="s">
        <v>358</v>
      </c>
      <c r="M70" s="62">
        <v>5.31</v>
      </c>
      <c r="N70" s="63">
        <v>2</v>
      </c>
      <c r="O70" s="62">
        <v>0.11</v>
      </c>
      <c r="P70" s="61">
        <v>0</v>
      </c>
      <c r="Q70" s="62">
        <v>0</v>
      </c>
    </row>
    <row r="71" spans="1:17" ht="11.1" customHeight="1" x14ac:dyDescent="0.25">
      <c r="A71" s="15" t="s">
        <v>348</v>
      </c>
      <c r="B71" s="15"/>
      <c r="C71" s="15"/>
      <c r="D71" s="15"/>
      <c r="E71" s="15"/>
      <c r="F71" s="15"/>
      <c r="G71" s="15"/>
      <c r="H71" s="15"/>
      <c r="I71" s="15"/>
    </row>
    <row r="72" spans="1:17" ht="11.1" customHeight="1" x14ac:dyDescent="0.25">
      <c r="K72" s="61">
        <v>37.15</v>
      </c>
      <c r="L72" s="59" t="s">
        <v>358</v>
      </c>
      <c r="M72" s="62">
        <v>37.15</v>
      </c>
      <c r="O72" s="62">
        <v>0.77</v>
      </c>
      <c r="P72" s="61">
        <v>0</v>
      </c>
      <c r="Q72" s="62">
        <v>0</v>
      </c>
    </row>
    <row r="73" spans="1:17" ht="11.1" customHeight="1" x14ac:dyDescent="0.25">
      <c r="A73" s="56">
        <v>26959</v>
      </c>
      <c r="B73" s="57">
        <v>46053</v>
      </c>
      <c r="C73" s="58" t="s">
        <v>373</v>
      </c>
      <c r="D73" s="59" t="s">
        <v>374</v>
      </c>
      <c r="E73" s="56">
        <v>36</v>
      </c>
      <c r="F73" s="56">
        <v>542</v>
      </c>
      <c r="G73" s="59" t="s">
        <v>375</v>
      </c>
      <c r="H73" s="60">
        <v>2102</v>
      </c>
      <c r="I73" s="56">
        <v>6</v>
      </c>
      <c r="J73" s="59" t="s">
        <v>50</v>
      </c>
      <c r="K73" s="61">
        <v>6764.65</v>
      </c>
      <c r="L73" s="59" t="s">
        <v>313</v>
      </c>
      <c r="M73" s="62">
        <v>6764.65</v>
      </c>
      <c r="N73" s="63">
        <v>7</v>
      </c>
      <c r="O73" s="62">
        <v>473.53</v>
      </c>
      <c r="P73" s="61">
        <v>0</v>
      </c>
      <c r="Q73" s="62">
        <v>0</v>
      </c>
    </row>
    <row r="74" spans="1:17" ht="11.1" customHeight="1" x14ac:dyDescent="0.25">
      <c r="A74" s="56">
        <v>26960</v>
      </c>
      <c r="B74" s="57">
        <v>46053</v>
      </c>
      <c r="C74" s="58" t="s">
        <v>376</v>
      </c>
      <c r="D74" s="59" t="s">
        <v>374</v>
      </c>
      <c r="E74" s="56">
        <v>36</v>
      </c>
      <c r="F74" s="56">
        <v>542</v>
      </c>
      <c r="G74" s="59" t="s">
        <v>375</v>
      </c>
      <c r="H74" s="60">
        <v>2102</v>
      </c>
      <c r="I74" s="56">
        <v>6</v>
      </c>
      <c r="J74" s="59" t="s">
        <v>50</v>
      </c>
      <c r="K74" s="61">
        <v>17129.189999999999</v>
      </c>
      <c r="L74" s="59" t="s">
        <v>313</v>
      </c>
      <c r="M74" s="62">
        <v>17057.16</v>
      </c>
      <c r="N74" s="63">
        <v>7</v>
      </c>
      <c r="O74" s="62">
        <v>1194</v>
      </c>
      <c r="P74" s="61">
        <v>0</v>
      </c>
      <c r="Q74" s="62">
        <v>72.03</v>
      </c>
    </row>
    <row r="75" spans="1:17" ht="11.1" customHeight="1" x14ac:dyDescent="0.25">
      <c r="A75" s="15" t="s">
        <v>348</v>
      </c>
      <c r="B75" s="15"/>
      <c r="C75" s="15"/>
      <c r="D75" s="15"/>
      <c r="E75" s="15"/>
      <c r="F75" s="15"/>
      <c r="G75" s="15"/>
      <c r="H75" s="15"/>
      <c r="I75" s="15"/>
    </row>
    <row r="76" spans="1:17" ht="11.1" customHeight="1" x14ac:dyDescent="0.25">
      <c r="K76" s="61">
        <v>23893.84</v>
      </c>
      <c r="L76" s="59" t="s">
        <v>313</v>
      </c>
      <c r="M76" s="62">
        <v>23821.81</v>
      </c>
      <c r="O76" s="62">
        <v>1667.53</v>
      </c>
      <c r="P76" s="61">
        <v>0</v>
      </c>
      <c r="Q76" s="62">
        <v>72.03</v>
      </c>
    </row>
    <row r="77" spans="1:17" ht="11.1" customHeight="1" x14ac:dyDescent="0.25">
      <c r="A77" s="56">
        <v>26925</v>
      </c>
      <c r="B77" s="57">
        <v>46031</v>
      </c>
      <c r="C77" s="58" t="s">
        <v>377</v>
      </c>
      <c r="D77" s="59" t="s">
        <v>374</v>
      </c>
      <c r="E77" s="56">
        <v>36</v>
      </c>
      <c r="F77" s="56">
        <v>653</v>
      </c>
      <c r="G77" s="59" t="s">
        <v>375</v>
      </c>
      <c r="H77" s="60">
        <v>2102</v>
      </c>
      <c r="I77" s="56">
        <v>6</v>
      </c>
      <c r="J77" s="59" t="s">
        <v>50</v>
      </c>
      <c r="K77" s="61">
        <v>286.05</v>
      </c>
      <c r="L77" s="59" t="s">
        <v>313</v>
      </c>
      <c r="M77" s="62">
        <v>286.05</v>
      </c>
      <c r="N77" s="63">
        <v>7</v>
      </c>
      <c r="O77" s="62">
        <v>20.02</v>
      </c>
      <c r="P77" s="61">
        <v>0</v>
      </c>
      <c r="Q77" s="62">
        <v>0</v>
      </c>
    </row>
    <row r="78" spans="1:17" ht="11.1" customHeight="1" x14ac:dyDescent="0.25">
      <c r="A78" s="56">
        <v>26926</v>
      </c>
      <c r="B78" s="57">
        <v>46031</v>
      </c>
      <c r="C78" s="58" t="s">
        <v>378</v>
      </c>
      <c r="D78" s="59" t="s">
        <v>374</v>
      </c>
      <c r="E78" s="56">
        <v>36</v>
      </c>
      <c r="F78" s="56">
        <v>653</v>
      </c>
      <c r="G78" s="59" t="s">
        <v>375</v>
      </c>
      <c r="H78" s="60">
        <v>2102</v>
      </c>
      <c r="I78" s="56">
        <v>6</v>
      </c>
      <c r="J78" s="59" t="s">
        <v>50</v>
      </c>
      <c r="K78" s="61">
        <v>1974.77</v>
      </c>
      <c r="L78" s="59" t="s">
        <v>313</v>
      </c>
      <c r="M78" s="62">
        <v>1974.77</v>
      </c>
      <c r="N78" s="63">
        <v>7</v>
      </c>
      <c r="O78" s="62">
        <v>138.22999999999999</v>
      </c>
      <c r="P78" s="61">
        <v>0</v>
      </c>
      <c r="Q78" s="62">
        <v>0</v>
      </c>
    </row>
    <row r="79" spans="1:17" ht="11.1" customHeight="1" x14ac:dyDescent="0.25">
      <c r="A79" s="56">
        <v>26927</v>
      </c>
      <c r="B79" s="57">
        <v>46031</v>
      </c>
      <c r="C79" s="58" t="s">
        <v>379</v>
      </c>
      <c r="D79" s="59" t="s">
        <v>374</v>
      </c>
      <c r="E79" s="56">
        <v>36</v>
      </c>
      <c r="F79" s="56">
        <v>653</v>
      </c>
      <c r="G79" s="59" t="s">
        <v>375</v>
      </c>
      <c r="H79" s="60">
        <v>2102</v>
      </c>
      <c r="I79" s="56">
        <v>6</v>
      </c>
      <c r="J79" s="59" t="s">
        <v>50</v>
      </c>
      <c r="K79" s="61">
        <v>1727.01</v>
      </c>
      <c r="L79" s="59" t="s">
        <v>313</v>
      </c>
      <c r="M79" s="62">
        <v>1637.69</v>
      </c>
      <c r="N79" s="63">
        <v>7</v>
      </c>
      <c r="O79" s="62">
        <v>114.63</v>
      </c>
      <c r="P79" s="61">
        <v>0</v>
      </c>
      <c r="Q79" s="62">
        <v>89.32</v>
      </c>
    </row>
    <row r="80" spans="1:17" ht="11.1" customHeight="1" x14ac:dyDescent="0.25">
      <c r="A80" s="56">
        <v>26928</v>
      </c>
      <c r="B80" s="57">
        <v>46031</v>
      </c>
      <c r="C80" s="58" t="s">
        <v>380</v>
      </c>
      <c r="D80" s="59" t="s">
        <v>374</v>
      </c>
      <c r="E80" s="56">
        <v>36</v>
      </c>
      <c r="F80" s="56">
        <v>653</v>
      </c>
      <c r="G80" s="59" t="s">
        <v>375</v>
      </c>
      <c r="H80" s="60">
        <v>2102</v>
      </c>
      <c r="I80" s="56">
        <v>6</v>
      </c>
      <c r="J80" s="59" t="s">
        <v>50</v>
      </c>
      <c r="K80" s="61">
        <v>3460.52</v>
      </c>
      <c r="L80" s="59" t="s">
        <v>313</v>
      </c>
      <c r="M80" s="62">
        <v>3424.11</v>
      </c>
      <c r="N80" s="63">
        <v>7</v>
      </c>
      <c r="O80" s="62">
        <v>239.68</v>
      </c>
      <c r="P80" s="61">
        <v>0</v>
      </c>
      <c r="Q80" s="62">
        <v>36.409999999999997</v>
      </c>
    </row>
    <row r="81" spans="1:17" ht="11.1" customHeight="1" x14ac:dyDescent="0.25">
      <c r="A81" s="56">
        <v>26929</v>
      </c>
      <c r="B81" s="57">
        <v>46031</v>
      </c>
      <c r="C81" s="58" t="s">
        <v>381</v>
      </c>
      <c r="D81" s="59" t="s">
        <v>374</v>
      </c>
      <c r="E81" s="56">
        <v>36</v>
      </c>
      <c r="F81" s="56">
        <v>653</v>
      </c>
      <c r="G81" s="59" t="s">
        <v>375</v>
      </c>
      <c r="H81" s="60">
        <v>2102</v>
      </c>
      <c r="I81" s="56">
        <v>6</v>
      </c>
      <c r="J81" s="59" t="s">
        <v>50</v>
      </c>
      <c r="K81" s="61">
        <v>2087.9499999999998</v>
      </c>
      <c r="L81" s="59" t="s">
        <v>313</v>
      </c>
      <c r="M81" s="62">
        <v>1967.86</v>
      </c>
      <c r="N81" s="63">
        <v>7</v>
      </c>
      <c r="O81" s="62">
        <v>137.75</v>
      </c>
      <c r="P81" s="61">
        <v>0</v>
      </c>
      <c r="Q81" s="62">
        <v>120.09</v>
      </c>
    </row>
    <row r="82" spans="1:17" ht="11.1" customHeight="1" x14ac:dyDescent="0.25">
      <c r="A82" s="56">
        <v>26930</v>
      </c>
      <c r="B82" s="57">
        <v>46031</v>
      </c>
      <c r="C82" s="58" t="s">
        <v>382</v>
      </c>
      <c r="D82" s="59" t="s">
        <v>374</v>
      </c>
      <c r="E82" s="56">
        <v>36</v>
      </c>
      <c r="F82" s="56">
        <v>653</v>
      </c>
      <c r="G82" s="59" t="s">
        <v>375</v>
      </c>
      <c r="H82" s="60">
        <v>2102</v>
      </c>
      <c r="I82" s="56">
        <v>6</v>
      </c>
      <c r="J82" s="59" t="s">
        <v>50</v>
      </c>
      <c r="K82" s="61">
        <v>531.97</v>
      </c>
      <c r="L82" s="59" t="s">
        <v>313</v>
      </c>
      <c r="M82" s="62">
        <v>499.5</v>
      </c>
      <c r="N82" s="63">
        <v>7</v>
      </c>
      <c r="O82" s="62">
        <v>34.97</v>
      </c>
      <c r="P82" s="61">
        <v>0</v>
      </c>
      <c r="Q82" s="62">
        <v>32.47</v>
      </c>
    </row>
    <row r="83" spans="1:17" ht="11.1" customHeight="1" x14ac:dyDescent="0.25">
      <c r="A83" s="56">
        <v>26931</v>
      </c>
      <c r="B83" s="57">
        <v>46031</v>
      </c>
      <c r="C83" s="58" t="s">
        <v>383</v>
      </c>
      <c r="D83" s="59" t="s">
        <v>374</v>
      </c>
      <c r="E83" s="56">
        <v>36</v>
      </c>
      <c r="F83" s="56">
        <v>653</v>
      </c>
      <c r="G83" s="59" t="s">
        <v>375</v>
      </c>
      <c r="H83" s="60">
        <v>2102</v>
      </c>
      <c r="I83" s="56">
        <v>6</v>
      </c>
      <c r="J83" s="59" t="s">
        <v>50</v>
      </c>
      <c r="K83" s="61">
        <v>1002.83</v>
      </c>
      <c r="L83" s="59" t="s">
        <v>313</v>
      </c>
      <c r="M83" s="62">
        <v>971.26</v>
      </c>
      <c r="N83" s="63">
        <v>7</v>
      </c>
      <c r="O83" s="62">
        <v>67.989999999999995</v>
      </c>
      <c r="P83" s="61">
        <v>0</v>
      </c>
      <c r="Q83" s="62">
        <v>31.57</v>
      </c>
    </row>
    <row r="84" spans="1:17" ht="11.1" customHeight="1" x14ac:dyDescent="0.25">
      <c r="A84" s="56">
        <v>26932</v>
      </c>
      <c r="B84" s="57">
        <v>46031</v>
      </c>
      <c r="C84" s="58" t="s">
        <v>384</v>
      </c>
      <c r="D84" s="59" t="s">
        <v>374</v>
      </c>
      <c r="E84" s="56">
        <v>36</v>
      </c>
      <c r="F84" s="56">
        <v>653</v>
      </c>
      <c r="G84" s="59" t="s">
        <v>375</v>
      </c>
      <c r="H84" s="60">
        <v>2102</v>
      </c>
      <c r="I84" s="56">
        <v>6</v>
      </c>
      <c r="J84" s="59" t="s">
        <v>50</v>
      </c>
      <c r="K84" s="61">
        <v>2958.22</v>
      </c>
      <c r="L84" s="59" t="s">
        <v>313</v>
      </c>
      <c r="M84" s="62">
        <v>2859.23</v>
      </c>
      <c r="N84" s="63">
        <v>7</v>
      </c>
      <c r="O84" s="62">
        <v>200.14</v>
      </c>
      <c r="P84" s="61">
        <v>0</v>
      </c>
      <c r="Q84" s="62">
        <v>98.99</v>
      </c>
    </row>
    <row r="85" spans="1:17" ht="11.1" customHeight="1" x14ac:dyDescent="0.25">
      <c r="A85" s="56">
        <v>26933</v>
      </c>
      <c r="B85" s="57">
        <v>46031</v>
      </c>
      <c r="C85" s="58" t="s">
        <v>385</v>
      </c>
      <c r="D85" s="59" t="s">
        <v>374</v>
      </c>
      <c r="E85" s="56">
        <v>36</v>
      </c>
      <c r="F85" s="56">
        <v>653</v>
      </c>
      <c r="G85" s="59" t="s">
        <v>375</v>
      </c>
      <c r="H85" s="60">
        <v>2102</v>
      </c>
      <c r="I85" s="56">
        <v>6</v>
      </c>
      <c r="J85" s="59" t="s">
        <v>50</v>
      </c>
      <c r="K85" s="61">
        <v>286.05</v>
      </c>
      <c r="L85" s="59" t="s">
        <v>313</v>
      </c>
      <c r="M85" s="62">
        <v>286.05</v>
      </c>
      <c r="N85" s="63">
        <v>7</v>
      </c>
      <c r="O85" s="62">
        <v>20.02</v>
      </c>
      <c r="P85" s="61">
        <v>0</v>
      </c>
      <c r="Q85" s="62">
        <v>0</v>
      </c>
    </row>
    <row r="86" spans="1:17" ht="11.1" customHeight="1" x14ac:dyDescent="0.25">
      <c r="A86" s="56">
        <v>26934</v>
      </c>
      <c r="B86" s="57">
        <v>46031</v>
      </c>
      <c r="C86" s="58" t="s">
        <v>386</v>
      </c>
      <c r="D86" s="59" t="s">
        <v>374</v>
      </c>
      <c r="E86" s="56">
        <v>36</v>
      </c>
      <c r="F86" s="56">
        <v>653</v>
      </c>
      <c r="G86" s="59" t="s">
        <v>375</v>
      </c>
      <c r="H86" s="60">
        <v>2102</v>
      </c>
      <c r="I86" s="56">
        <v>6</v>
      </c>
      <c r="J86" s="59" t="s">
        <v>50</v>
      </c>
      <c r="K86" s="61">
        <v>742.21</v>
      </c>
      <c r="L86" s="59" t="s">
        <v>313</v>
      </c>
      <c r="M86" s="62">
        <v>718.85</v>
      </c>
      <c r="N86" s="63">
        <v>7</v>
      </c>
      <c r="O86" s="62">
        <v>50.32</v>
      </c>
      <c r="P86" s="61">
        <v>0</v>
      </c>
      <c r="Q86" s="62">
        <v>23.36</v>
      </c>
    </row>
    <row r="87" spans="1:17" ht="11.1" customHeight="1" x14ac:dyDescent="0.25">
      <c r="A87" s="56">
        <v>26935</v>
      </c>
      <c r="B87" s="57">
        <v>46034</v>
      </c>
      <c r="C87" s="58" t="s">
        <v>387</v>
      </c>
      <c r="D87" s="59" t="s">
        <v>374</v>
      </c>
      <c r="E87" s="56">
        <v>36</v>
      </c>
      <c r="F87" s="56">
        <v>653</v>
      </c>
      <c r="G87" s="59" t="s">
        <v>375</v>
      </c>
      <c r="H87" s="60">
        <v>2102</v>
      </c>
      <c r="I87" s="56">
        <v>6</v>
      </c>
      <c r="J87" s="59" t="s">
        <v>50</v>
      </c>
      <c r="K87" s="61">
        <v>19710.79</v>
      </c>
      <c r="L87" s="59" t="s">
        <v>313</v>
      </c>
      <c r="M87" s="62">
        <v>7132.35</v>
      </c>
      <c r="N87" s="63">
        <v>4</v>
      </c>
      <c r="O87" s="62">
        <v>285.27999999999997</v>
      </c>
      <c r="P87" s="61">
        <v>0</v>
      </c>
      <c r="Q87" s="62">
        <v>231.78</v>
      </c>
    </row>
    <row r="88" spans="1:17" ht="11.1" customHeight="1" x14ac:dyDescent="0.25">
      <c r="L88" s="59" t="s">
        <v>313</v>
      </c>
      <c r="M88" s="62">
        <v>11877.15</v>
      </c>
      <c r="N88" s="63">
        <v>7</v>
      </c>
      <c r="O88" s="62">
        <v>831.4</v>
      </c>
      <c r="P88" s="61">
        <v>0</v>
      </c>
      <c r="Q88" s="62">
        <v>469.51</v>
      </c>
    </row>
    <row r="89" spans="1:17" ht="11.1" customHeight="1" x14ac:dyDescent="0.25">
      <c r="A89" s="56">
        <v>26936</v>
      </c>
      <c r="B89" s="57">
        <v>46034</v>
      </c>
      <c r="C89" s="58" t="s">
        <v>388</v>
      </c>
      <c r="D89" s="59" t="s">
        <v>374</v>
      </c>
      <c r="E89" s="56">
        <v>36</v>
      </c>
      <c r="F89" s="56">
        <v>653</v>
      </c>
      <c r="G89" s="59" t="s">
        <v>375</v>
      </c>
      <c r="H89" s="60">
        <v>2102</v>
      </c>
      <c r="I89" s="56">
        <v>6</v>
      </c>
      <c r="J89" s="59" t="s">
        <v>50</v>
      </c>
      <c r="K89" s="61">
        <v>122980.76</v>
      </c>
      <c r="L89" s="59" t="s">
        <v>313</v>
      </c>
      <c r="M89" s="62">
        <v>118931.38</v>
      </c>
      <c r="N89" s="63">
        <v>7</v>
      </c>
      <c r="O89" s="62">
        <v>8325.2000000000007</v>
      </c>
      <c r="P89" s="61">
        <v>0</v>
      </c>
      <c r="Q89" s="62">
        <v>4049.38</v>
      </c>
    </row>
    <row r="90" spans="1:17" ht="11.1" customHeight="1" x14ac:dyDescent="0.25">
      <c r="A90" s="56">
        <v>26937</v>
      </c>
      <c r="B90" s="57">
        <v>46035</v>
      </c>
      <c r="C90" s="58" t="s">
        <v>389</v>
      </c>
      <c r="D90" s="59" t="s">
        <v>374</v>
      </c>
      <c r="E90" s="56">
        <v>36</v>
      </c>
      <c r="F90" s="56">
        <v>653</v>
      </c>
      <c r="G90" s="59" t="s">
        <v>375</v>
      </c>
      <c r="H90" s="60">
        <v>2102</v>
      </c>
      <c r="I90" s="56">
        <v>6</v>
      </c>
      <c r="J90" s="59" t="s">
        <v>50</v>
      </c>
      <c r="K90" s="61">
        <v>2103.5500000000002</v>
      </c>
      <c r="L90" s="59" t="s">
        <v>313</v>
      </c>
      <c r="M90" s="62">
        <v>2037.34</v>
      </c>
      <c r="N90" s="63">
        <v>7</v>
      </c>
      <c r="O90" s="62">
        <v>142.61000000000001</v>
      </c>
      <c r="P90" s="61">
        <v>0</v>
      </c>
      <c r="Q90" s="62">
        <v>66.209999999999994</v>
      </c>
    </row>
    <row r="91" spans="1:17" ht="11.1" customHeight="1" x14ac:dyDescent="0.25">
      <c r="A91" s="56">
        <v>26938</v>
      </c>
      <c r="B91" s="57">
        <v>46036</v>
      </c>
      <c r="C91" s="58" t="s">
        <v>390</v>
      </c>
      <c r="D91" s="59" t="s">
        <v>374</v>
      </c>
      <c r="E91" s="56">
        <v>36</v>
      </c>
      <c r="F91" s="56">
        <v>653</v>
      </c>
      <c r="G91" s="59" t="s">
        <v>375</v>
      </c>
      <c r="H91" s="60">
        <v>2102</v>
      </c>
      <c r="I91" s="56">
        <v>6</v>
      </c>
      <c r="J91" s="59" t="s">
        <v>50</v>
      </c>
      <c r="K91" s="61">
        <v>15081.45</v>
      </c>
      <c r="L91" s="59" t="s">
        <v>313</v>
      </c>
      <c r="M91" s="62">
        <v>14606.72</v>
      </c>
      <c r="N91" s="63">
        <v>7</v>
      </c>
      <c r="O91" s="62">
        <v>1022.47</v>
      </c>
      <c r="P91" s="61">
        <v>0</v>
      </c>
      <c r="Q91" s="62">
        <v>474.73</v>
      </c>
    </row>
    <row r="92" spans="1:17" ht="11.1" customHeight="1" x14ac:dyDescent="0.25">
      <c r="A92" s="56">
        <v>26939</v>
      </c>
      <c r="B92" s="57">
        <v>46038</v>
      </c>
      <c r="C92" s="58" t="s">
        <v>391</v>
      </c>
      <c r="D92" s="59" t="s">
        <v>374</v>
      </c>
      <c r="E92" s="56">
        <v>36</v>
      </c>
      <c r="F92" s="56">
        <v>653</v>
      </c>
      <c r="G92" s="59" t="s">
        <v>375</v>
      </c>
      <c r="H92" s="60">
        <v>2102</v>
      </c>
      <c r="I92" s="56">
        <v>6</v>
      </c>
      <c r="J92" s="59" t="s">
        <v>50</v>
      </c>
      <c r="K92" s="61">
        <v>4456.4799999999996</v>
      </c>
      <c r="L92" s="59" t="s">
        <v>313</v>
      </c>
      <c r="M92" s="62">
        <v>4431.21</v>
      </c>
      <c r="N92" s="63">
        <v>7</v>
      </c>
      <c r="O92" s="62">
        <v>310.19</v>
      </c>
      <c r="P92" s="61">
        <v>0</v>
      </c>
      <c r="Q92" s="62">
        <v>25.27</v>
      </c>
    </row>
    <row r="93" spans="1:17" ht="11.1" customHeight="1" x14ac:dyDescent="0.25">
      <c r="A93" s="56">
        <v>26940</v>
      </c>
      <c r="B93" s="57">
        <v>46038</v>
      </c>
      <c r="C93" s="58" t="s">
        <v>392</v>
      </c>
      <c r="D93" s="59" t="s">
        <v>374</v>
      </c>
      <c r="E93" s="56">
        <v>36</v>
      </c>
      <c r="F93" s="56">
        <v>653</v>
      </c>
      <c r="G93" s="59" t="s">
        <v>375</v>
      </c>
      <c r="H93" s="60">
        <v>2102</v>
      </c>
      <c r="I93" s="56">
        <v>6</v>
      </c>
      <c r="J93" s="59" t="s">
        <v>50</v>
      </c>
      <c r="K93" s="61">
        <v>55503.06</v>
      </c>
      <c r="L93" s="59" t="s">
        <v>313</v>
      </c>
      <c r="M93" s="62">
        <v>13086.1</v>
      </c>
      <c r="N93" s="63">
        <v>4</v>
      </c>
      <c r="O93" s="62">
        <v>523.44000000000005</v>
      </c>
      <c r="P93" s="61">
        <v>0</v>
      </c>
      <c r="Q93" s="62">
        <v>396.18</v>
      </c>
    </row>
    <row r="94" spans="1:17" ht="11.1" customHeight="1" x14ac:dyDescent="0.25">
      <c r="L94" s="59" t="s">
        <v>313</v>
      </c>
      <c r="M94" s="62">
        <v>40158.11</v>
      </c>
      <c r="N94" s="63">
        <v>7</v>
      </c>
      <c r="O94" s="62">
        <v>2811.05</v>
      </c>
      <c r="P94" s="61">
        <v>0</v>
      </c>
      <c r="Q94" s="62">
        <v>1862.67</v>
      </c>
    </row>
    <row r="95" spans="1:17" ht="11.1" customHeight="1" x14ac:dyDescent="0.25">
      <c r="A95" s="56">
        <v>26941</v>
      </c>
      <c r="B95" s="57">
        <v>46042</v>
      </c>
      <c r="C95" s="58" t="s">
        <v>393</v>
      </c>
      <c r="D95" s="59" t="s">
        <v>374</v>
      </c>
      <c r="E95" s="56">
        <v>36</v>
      </c>
      <c r="F95" s="56">
        <v>653</v>
      </c>
      <c r="G95" s="59" t="s">
        <v>375</v>
      </c>
      <c r="H95" s="60">
        <v>2102</v>
      </c>
      <c r="I95" s="56">
        <v>6</v>
      </c>
      <c r="J95" s="59" t="s">
        <v>50</v>
      </c>
      <c r="K95" s="61">
        <v>64182.75</v>
      </c>
      <c r="L95" s="59" t="s">
        <v>313</v>
      </c>
      <c r="M95" s="62">
        <v>61689.95</v>
      </c>
      <c r="N95" s="63">
        <v>7</v>
      </c>
      <c r="O95" s="62">
        <v>4318.29</v>
      </c>
      <c r="P95" s="61">
        <v>0</v>
      </c>
      <c r="Q95" s="62">
        <v>2492.8000000000002</v>
      </c>
    </row>
    <row r="96" spans="1:17" ht="11.1" customHeight="1" x14ac:dyDescent="0.25">
      <c r="A96" s="56">
        <v>26942</v>
      </c>
      <c r="B96" s="57">
        <v>46042</v>
      </c>
      <c r="C96" s="58" t="s">
        <v>394</v>
      </c>
      <c r="D96" s="59" t="s">
        <v>374</v>
      </c>
      <c r="E96" s="56">
        <v>36</v>
      </c>
      <c r="F96" s="56">
        <v>653</v>
      </c>
      <c r="G96" s="59" t="s">
        <v>375</v>
      </c>
      <c r="H96" s="60">
        <v>2102</v>
      </c>
      <c r="I96" s="56">
        <v>6</v>
      </c>
      <c r="J96" s="59" t="s">
        <v>50</v>
      </c>
      <c r="K96" s="61">
        <v>29212.68</v>
      </c>
      <c r="L96" s="59" t="s">
        <v>313</v>
      </c>
      <c r="M96" s="62">
        <v>28293.13</v>
      </c>
      <c r="N96" s="63">
        <v>7</v>
      </c>
      <c r="O96" s="62">
        <v>1980.52</v>
      </c>
      <c r="P96" s="61">
        <v>0</v>
      </c>
      <c r="Q96" s="62">
        <v>919.55</v>
      </c>
    </row>
    <row r="97" spans="1:17" ht="11.1" customHeight="1" x14ac:dyDescent="0.25">
      <c r="A97" s="56">
        <v>26943</v>
      </c>
      <c r="B97" s="57">
        <v>46042</v>
      </c>
      <c r="C97" s="58" t="s">
        <v>395</v>
      </c>
      <c r="D97" s="59" t="s">
        <v>374</v>
      </c>
      <c r="E97" s="56">
        <v>36</v>
      </c>
      <c r="F97" s="56">
        <v>653</v>
      </c>
      <c r="G97" s="59" t="s">
        <v>375</v>
      </c>
      <c r="H97" s="60">
        <v>2102</v>
      </c>
      <c r="I97" s="56">
        <v>6</v>
      </c>
      <c r="J97" s="59" t="s">
        <v>50</v>
      </c>
      <c r="K97" s="61">
        <v>1318.29</v>
      </c>
      <c r="L97" s="59" t="s">
        <v>313</v>
      </c>
      <c r="M97" s="62">
        <v>1237.83</v>
      </c>
      <c r="N97" s="63">
        <v>7</v>
      </c>
      <c r="O97" s="62">
        <v>86.65</v>
      </c>
      <c r="P97" s="61">
        <v>0</v>
      </c>
      <c r="Q97" s="62">
        <v>80.459999999999994</v>
      </c>
    </row>
    <row r="98" spans="1:17" ht="11.1" customHeight="1" x14ac:dyDescent="0.25">
      <c r="A98" s="56">
        <v>26944</v>
      </c>
      <c r="B98" s="57">
        <v>46042</v>
      </c>
      <c r="C98" s="58" t="s">
        <v>396</v>
      </c>
      <c r="D98" s="59" t="s">
        <v>374</v>
      </c>
      <c r="E98" s="56">
        <v>36</v>
      </c>
      <c r="F98" s="56">
        <v>653</v>
      </c>
      <c r="G98" s="59" t="s">
        <v>375</v>
      </c>
      <c r="H98" s="60">
        <v>2102</v>
      </c>
      <c r="I98" s="56">
        <v>6</v>
      </c>
      <c r="J98" s="59" t="s">
        <v>50</v>
      </c>
      <c r="K98" s="61">
        <v>341.38</v>
      </c>
      <c r="L98" s="59" t="s">
        <v>313</v>
      </c>
      <c r="M98" s="62">
        <v>330.64</v>
      </c>
      <c r="N98" s="63">
        <v>7</v>
      </c>
      <c r="O98" s="62">
        <v>23.15</v>
      </c>
      <c r="P98" s="61">
        <v>0</v>
      </c>
      <c r="Q98" s="62">
        <v>10.74</v>
      </c>
    </row>
    <row r="99" spans="1:17" ht="11.1" customHeight="1" x14ac:dyDescent="0.25">
      <c r="A99" s="56">
        <v>26945</v>
      </c>
      <c r="B99" s="57">
        <v>46042</v>
      </c>
      <c r="C99" s="58" t="s">
        <v>397</v>
      </c>
      <c r="D99" s="59" t="s">
        <v>374</v>
      </c>
      <c r="E99" s="56">
        <v>36</v>
      </c>
      <c r="F99" s="56">
        <v>653</v>
      </c>
      <c r="G99" s="59" t="s">
        <v>375</v>
      </c>
      <c r="H99" s="60">
        <v>2102</v>
      </c>
      <c r="I99" s="56">
        <v>6</v>
      </c>
      <c r="J99" s="59" t="s">
        <v>50</v>
      </c>
      <c r="K99" s="61">
        <v>397.81</v>
      </c>
      <c r="L99" s="59" t="s">
        <v>313</v>
      </c>
      <c r="M99" s="62">
        <v>373.53</v>
      </c>
      <c r="N99" s="63">
        <v>7</v>
      </c>
      <c r="O99" s="62">
        <v>26.15</v>
      </c>
      <c r="P99" s="61">
        <v>0</v>
      </c>
      <c r="Q99" s="62">
        <v>24.28</v>
      </c>
    </row>
    <row r="100" spans="1:17" ht="11.1" customHeight="1" x14ac:dyDescent="0.25">
      <c r="A100" s="56">
        <v>26946</v>
      </c>
      <c r="B100" s="57">
        <v>46046</v>
      </c>
      <c r="C100" s="58" t="s">
        <v>398</v>
      </c>
      <c r="D100" s="59" t="s">
        <v>374</v>
      </c>
      <c r="E100" s="56">
        <v>36</v>
      </c>
      <c r="F100" s="56">
        <v>653</v>
      </c>
      <c r="G100" s="59" t="s">
        <v>375</v>
      </c>
      <c r="H100" s="60">
        <v>2102</v>
      </c>
      <c r="I100" s="56">
        <v>6</v>
      </c>
      <c r="J100" s="59" t="s">
        <v>50</v>
      </c>
      <c r="K100" s="61">
        <v>38982.339999999997</v>
      </c>
      <c r="L100" s="59" t="s">
        <v>313</v>
      </c>
      <c r="M100" s="62">
        <v>7532.23</v>
      </c>
      <c r="N100" s="63">
        <v>4</v>
      </c>
      <c r="O100" s="62">
        <v>301.27999999999997</v>
      </c>
      <c r="P100" s="61">
        <v>0</v>
      </c>
      <c r="Q100" s="62">
        <v>235.07</v>
      </c>
    </row>
    <row r="101" spans="1:17" ht="11.1" customHeight="1" x14ac:dyDescent="0.25">
      <c r="L101" s="59" t="s">
        <v>313</v>
      </c>
      <c r="M101" s="62">
        <v>29865.91</v>
      </c>
      <c r="N101" s="63">
        <v>7</v>
      </c>
      <c r="O101" s="62">
        <v>2090.59</v>
      </c>
      <c r="P101" s="61">
        <v>0</v>
      </c>
      <c r="Q101" s="62">
        <v>1349.13</v>
      </c>
    </row>
    <row r="102" spans="1:17" ht="11.1" customHeight="1" x14ac:dyDescent="0.25">
      <c r="A102" s="56">
        <v>26947</v>
      </c>
      <c r="B102" s="57">
        <v>46046</v>
      </c>
      <c r="C102" s="58" t="s">
        <v>399</v>
      </c>
      <c r="D102" s="59" t="s">
        <v>374</v>
      </c>
      <c r="E102" s="56">
        <v>36</v>
      </c>
      <c r="F102" s="56">
        <v>653</v>
      </c>
      <c r="G102" s="59" t="s">
        <v>375</v>
      </c>
      <c r="H102" s="60">
        <v>2102</v>
      </c>
      <c r="I102" s="56">
        <v>6</v>
      </c>
      <c r="J102" s="59" t="s">
        <v>50</v>
      </c>
      <c r="K102" s="61">
        <v>441.32</v>
      </c>
      <c r="L102" s="59" t="s">
        <v>313</v>
      </c>
      <c r="M102" s="62">
        <v>427.43</v>
      </c>
      <c r="N102" s="63">
        <v>7</v>
      </c>
      <c r="O102" s="62">
        <v>29.92</v>
      </c>
      <c r="P102" s="61">
        <v>0</v>
      </c>
      <c r="Q102" s="62">
        <v>13.89</v>
      </c>
    </row>
    <row r="103" spans="1:17" ht="11.1" customHeight="1" x14ac:dyDescent="0.25">
      <c r="A103" s="56">
        <v>26948</v>
      </c>
      <c r="B103" s="57">
        <v>46049</v>
      </c>
      <c r="C103" s="58" t="s">
        <v>400</v>
      </c>
      <c r="D103" s="59" t="s">
        <v>374</v>
      </c>
      <c r="E103" s="56">
        <v>36</v>
      </c>
      <c r="F103" s="56">
        <v>653</v>
      </c>
      <c r="G103" s="59" t="s">
        <v>375</v>
      </c>
      <c r="H103" s="60">
        <v>2102</v>
      </c>
      <c r="I103" s="56">
        <v>6</v>
      </c>
      <c r="J103" s="59" t="s">
        <v>50</v>
      </c>
      <c r="K103" s="61">
        <v>72266.2</v>
      </c>
      <c r="L103" s="59" t="s">
        <v>313</v>
      </c>
      <c r="M103" s="62">
        <v>69481.11</v>
      </c>
      <c r="N103" s="63">
        <v>7</v>
      </c>
      <c r="O103" s="62">
        <v>4863.67</v>
      </c>
      <c r="P103" s="61">
        <v>0</v>
      </c>
      <c r="Q103" s="62">
        <v>2785.09</v>
      </c>
    </row>
    <row r="104" spans="1:17" ht="11.1" customHeight="1" x14ac:dyDescent="0.25">
      <c r="A104" s="56">
        <v>26949</v>
      </c>
      <c r="B104" s="57">
        <v>46050</v>
      </c>
      <c r="C104" s="58" t="s">
        <v>401</v>
      </c>
      <c r="D104" s="59" t="s">
        <v>374</v>
      </c>
      <c r="E104" s="56">
        <v>36</v>
      </c>
      <c r="F104" s="56">
        <v>653</v>
      </c>
      <c r="G104" s="59" t="s">
        <v>375</v>
      </c>
      <c r="H104" s="60">
        <v>2102</v>
      </c>
      <c r="I104" s="56">
        <v>6</v>
      </c>
      <c r="J104" s="59" t="s">
        <v>50</v>
      </c>
      <c r="K104" s="61">
        <v>6582.56</v>
      </c>
      <c r="L104" s="59" t="s">
        <v>313</v>
      </c>
      <c r="M104" s="62">
        <v>6582.56</v>
      </c>
      <c r="N104" s="63">
        <v>7</v>
      </c>
      <c r="O104" s="62">
        <v>460.78</v>
      </c>
      <c r="P104" s="61">
        <v>0</v>
      </c>
      <c r="Q104" s="62">
        <v>0</v>
      </c>
    </row>
    <row r="105" spans="1:17" ht="11.1" customHeight="1" x14ac:dyDescent="0.25">
      <c r="A105" s="56">
        <v>26950</v>
      </c>
      <c r="B105" s="57">
        <v>46050</v>
      </c>
      <c r="C105" s="58" t="s">
        <v>402</v>
      </c>
      <c r="D105" s="59" t="s">
        <v>374</v>
      </c>
      <c r="E105" s="56">
        <v>36</v>
      </c>
      <c r="F105" s="56">
        <v>653</v>
      </c>
      <c r="G105" s="59" t="s">
        <v>375</v>
      </c>
      <c r="H105" s="60">
        <v>2102</v>
      </c>
      <c r="I105" s="56">
        <v>6</v>
      </c>
      <c r="J105" s="59" t="s">
        <v>50</v>
      </c>
      <c r="K105" s="61">
        <v>29133.51</v>
      </c>
      <c r="L105" s="59" t="s">
        <v>313</v>
      </c>
      <c r="M105" s="62">
        <v>28221.22</v>
      </c>
      <c r="N105" s="63">
        <v>7</v>
      </c>
      <c r="O105" s="62">
        <v>1975.48</v>
      </c>
      <c r="P105" s="61">
        <v>0</v>
      </c>
      <c r="Q105" s="62">
        <v>912.29</v>
      </c>
    </row>
    <row r="106" spans="1:17" ht="11.1" customHeight="1" x14ac:dyDescent="0.25">
      <c r="A106" s="56">
        <v>26951</v>
      </c>
      <c r="B106" s="57">
        <v>46050</v>
      </c>
      <c r="C106" s="58" t="s">
        <v>403</v>
      </c>
      <c r="D106" s="59" t="s">
        <v>374</v>
      </c>
      <c r="E106" s="56">
        <v>36</v>
      </c>
      <c r="F106" s="56">
        <v>653</v>
      </c>
      <c r="G106" s="59" t="s">
        <v>375</v>
      </c>
      <c r="H106" s="60">
        <v>2102</v>
      </c>
      <c r="I106" s="56">
        <v>6</v>
      </c>
      <c r="J106" s="59" t="s">
        <v>50</v>
      </c>
      <c r="K106" s="61">
        <v>4441.21</v>
      </c>
      <c r="L106" s="59" t="s">
        <v>313</v>
      </c>
      <c r="M106" s="62">
        <v>4301.42</v>
      </c>
      <c r="N106" s="63">
        <v>7</v>
      </c>
      <c r="O106" s="62">
        <v>301.10000000000002</v>
      </c>
      <c r="P106" s="61">
        <v>0</v>
      </c>
      <c r="Q106" s="62">
        <v>139.79</v>
      </c>
    </row>
    <row r="107" spans="1:17" ht="11.1" customHeight="1" x14ac:dyDescent="0.25">
      <c r="A107" s="56">
        <v>26952</v>
      </c>
      <c r="B107" s="57">
        <v>46050</v>
      </c>
      <c r="C107" s="58" t="s">
        <v>404</v>
      </c>
      <c r="D107" s="59" t="s">
        <v>374</v>
      </c>
      <c r="E107" s="56">
        <v>36</v>
      </c>
      <c r="F107" s="56">
        <v>653</v>
      </c>
      <c r="G107" s="59" t="s">
        <v>375</v>
      </c>
      <c r="H107" s="60">
        <v>2102</v>
      </c>
      <c r="I107" s="56">
        <v>6</v>
      </c>
      <c r="J107" s="59" t="s">
        <v>50</v>
      </c>
      <c r="K107" s="61">
        <v>26737.87</v>
      </c>
      <c r="L107" s="59" t="s">
        <v>313</v>
      </c>
      <c r="M107" s="62">
        <v>3618.7</v>
      </c>
      <c r="N107" s="63">
        <v>4</v>
      </c>
      <c r="O107" s="62">
        <v>144.74</v>
      </c>
      <c r="P107" s="61">
        <v>0</v>
      </c>
      <c r="Q107" s="62">
        <v>117.61</v>
      </c>
    </row>
    <row r="108" spans="1:17" ht="11.1" customHeight="1" x14ac:dyDescent="0.25">
      <c r="L108" s="59" t="s">
        <v>313</v>
      </c>
      <c r="M108" s="62">
        <v>21990.37</v>
      </c>
      <c r="N108" s="63">
        <v>7</v>
      </c>
      <c r="O108" s="62">
        <v>1539.3</v>
      </c>
      <c r="P108" s="61">
        <v>0</v>
      </c>
      <c r="Q108" s="62">
        <v>1011.19</v>
      </c>
    </row>
    <row r="109" spans="1:17" ht="11.1" customHeight="1" x14ac:dyDescent="0.25">
      <c r="A109" s="56">
        <v>26953</v>
      </c>
      <c r="B109" s="57">
        <v>46052</v>
      </c>
      <c r="C109" s="58" t="s">
        <v>405</v>
      </c>
      <c r="D109" s="59" t="s">
        <v>374</v>
      </c>
      <c r="E109" s="56">
        <v>36</v>
      </c>
      <c r="F109" s="56">
        <v>653</v>
      </c>
      <c r="G109" s="59" t="s">
        <v>375</v>
      </c>
      <c r="H109" s="60">
        <v>2102</v>
      </c>
      <c r="I109" s="56">
        <v>6</v>
      </c>
      <c r="J109" s="59" t="s">
        <v>50</v>
      </c>
      <c r="K109" s="61">
        <v>75601.399999999994</v>
      </c>
      <c r="L109" s="59" t="s">
        <v>313</v>
      </c>
      <c r="M109" s="62">
        <v>72673.06</v>
      </c>
      <c r="N109" s="63">
        <v>7</v>
      </c>
      <c r="O109" s="62">
        <v>5087.1499999999996</v>
      </c>
      <c r="P109" s="61">
        <v>0</v>
      </c>
      <c r="Q109" s="62">
        <v>2928.34</v>
      </c>
    </row>
    <row r="110" spans="1:17" ht="11.1" customHeight="1" x14ac:dyDescent="0.25">
      <c r="A110" s="56">
        <v>26954</v>
      </c>
      <c r="B110" s="57">
        <v>46052</v>
      </c>
      <c r="C110" s="58" t="s">
        <v>406</v>
      </c>
      <c r="D110" s="59" t="s">
        <v>374</v>
      </c>
      <c r="E110" s="56">
        <v>36</v>
      </c>
      <c r="F110" s="56">
        <v>653</v>
      </c>
      <c r="G110" s="59" t="s">
        <v>375</v>
      </c>
      <c r="H110" s="60">
        <v>2102</v>
      </c>
      <c r="I110" s="56">
        <v>6</v>
      </c>
      <c r="J110" s="59" t="s">
        <v>50</v>
      </c>
      <c r="K110" s="61">
        <v>75601.399999999994</v>
      </c>
      <c r="L110" s="59" t="s">
        <v>313</v>
      </c>
      <c r="M110" s="62">
        <v>72673.06</v>
      </c>
      <c r="N110" s="63">
        <v>7</v>
      </c>
      <c r="O110" s="62">
        <v>5087.1499999999996</v>
      </c>
      <c r="P110" s="61">
        <v>0</v>
      </c>
      <c r="Q110" s="62">
        <v>2928.34</v>
      </c>
    </row>
    <row r="111" spans="1:17" ht="11.1" customHeight="1" x14ac:dyDescent="0.25">
      <c r="A111" s="56">
        <v>26955</v>
      </c>
      <c r="B111" s="57">
        <v>46052</v>
      </c>
      <c r="C111" s="58" t="s">
        <v>407</v>
      </c>
      <c r="D111" s="59" t="s">
        <v>374</v>
      </c>
      <c r="E111" s="56">
        <v>36</v>
      </c>
      <c r="F111" s="56">
        <v>653</v>
      </c>
      <c r="G111" s="59" t="s">
        <v>375</v>
      </c>
      <c r="H111" s="60">
        <v>2102</v>
      </c>
      <c r="I111" s="56">
        <v>6</v>
      </c>
      <c r="J111" s="59" t="s">
        <v>50</v>
      </c>
      <c r="K111" s="61">
        <v>340.92</v>
      </c>
      <c r="L111" s="59" t="s">
        <v>313</v>
      </c>
      <c r="M111" s="62">
        <v>330.19</v>
      </c>
      <c r="N111" s="63">
        <v>7</v>
      </c>
      <c r="O111" s="62">
        <v>23.11</v>
      </c>
      <c r="P111" s="61">
        <v>0</v>
      </c>
      <c r="Q111" s="62">
        <v>10.73</v>
      </c>
    </row>
    <row r="112" spans="1:17" ht="11.1" customHeight="1" x14ac:dyDescent="0.25">
      <c r="A112" s="56">
        <v>26956</v>
      </c>
      <c r="B112" s="57">
        <v>46052</v>
      </c>
      <c r="C112" s="58" t="s">
        <v>408</v>
      </c>
      <c r="D112" s="59" t="s">
        <v>374</v>
      </c>
      <c r="E112" s="56">
        <v>36</v>
      </c>
      <c r="F112" s="56">
        <v>653</v>
      </c>
      <c r="G112" s="59" t="s">
        <v>375</v>
      </c>
      <c r="H112" s="60">
        <v>2102</v>
      </c>
      <c r="I112" s="56">
        <v>6</v>
      </c>
      <c r="J112" s="59" t="s">
        <v>50</v>
      </c>
      <c r="K112" s="61">
        <v>279</v>
      </c>
      <c r="L112" s="59" t="s">
        <v>313</v>
      </c>
      <c r="M112" s="62">
        <v>270.22000000000003</v>
      </c>
      <c r="N112" s="63">
        <v>7</v>
      </c>
      <c r="O112" s="62">
        <v>18.920000000000002</v>
      </c>
      <c r="P112" s="61">
        <v>0</v>
      </c>
      <c r="Q112" s="62">
        <v>8.7799999999999994</v>
      </c>
    </row>
    <row r="113" spans="1:17" ht="11.1" customHeight="1" x14ac:dyDescent="0.25">
      <c r="A113" s="56">
        <v>26957</v>
      </c>
      <c r="B113" s="57">
        <v>46052</v>
      </c>
      <c r="C113" s="58" t="s">
        <v>409</v>
      </c>
      <c r="D113" s="59" t="s">
        <v>374</v>
      </c>
      <c r="E113" s="56">
        <v>36</v>
      </c>
      <c r="F113" s="56">
        <v>653</v>
      </c>
      <c r="G113" s="59" t="s">
        <v>375</v>
      </c>
      <c r="H113" s="60">
        <v>2102</v>
      </c>
      <c r="I113" s="56">
        <v>6</v>
      </c>
      <c r="J113" s="59" t="s">
        <v>50</v>
      </c>
      <c r="K113" s="61">
        <v>500.61</v>
      </c>
      <c r="L113" s="59" t="s">
        <v>313</v>
      </c>
      <c r="M113" s="62">
        <v>484.85</v>
      </c>
      <c r="N113" s="63">
        <v>7</v>
      </c>
      <c r="O113" s="62">
        <v>33.94</v>
      </c>
      <c r="P113" s="61">
        <v>0</v>
      </c>
      <c r="Q113" s="62">
        <v>15.76</v>
      </c>
    </row>
    <row r="114" spans="1:17" ht="11.1" customHeight="1" x14ac:dyDescent="0.25">
      <c r="A114" s="56">
        <v>26958</v>
      </c>
      <c r="B114" s="57">
        <v>46052</v>
      </c>
      <c r="C114" s="58" t="s">
        <v>410</v>
      </c>
      <c r="D114" s="59" t="s">
        <v>374</v>
      </c>
      <c r="E114" s="56">
        <v>36</v>
      </c>
      <c r="F114" s="56">
        <v>653</v>
      </c>
      <c r="G114" s="59" t="s">
        <v>375</v>
      </c>
      <c r="H114" s="60">
        <v>2102</v>
      </c>
      <c r="I114" s="56">
        <v>6</v>
      </c>
      <c r="J114" s="59" t="s">
        <v>50</v>
      </c>
      <c r="K114" s="61">
        <v>2141.16</v>
      </c>
      <c r="L114" s="59" t="s">
        <v>313</v>
      </c>
      <c r="M114" s="62">
        <v>2073.77</v>
      </c>
      <c r="N114" s="63">
        <v>7</v>
      </c>
      <c r="O114" s="62">
        <v>145.16999999999999</v>
      </c>
      <c r="P114" s="61">
        <v>0</v>
      </c>
      <c r="Q114" s="62">
        <v>67.39</v>
      </c>
    </row>
    <row r="115" spans="1:17" ht="11.1" customHeight="1" x14ac:dyDescent="0.25">
      <c r="A115" s="15" t="s">
        <v>348</v>
      </c>
      <c r="B115" s="15"/>
      <c r="C115" s="15"/>
      <c r="D115" s="15"/>
      <c r="E115" s="15"/>
      <c r="F115" s="15"/>
      <c r="G115" s="15"/>
      <c r="H115" s="15"/>
      <c r="I115" s="15"/>
    </row>
    <row r="116" spans="1:17" ht="11.1" customHeight="1" x14ac:dyDescent="0.25">
      <c r="K116" s="61">
        <v>663396.07999999996</v>
      </c>
      <c r="L116" s="59" t="s">
        <v>313</v>
      </c>
      <c r="M116" s="62">
        <v>639336.91</v>
      </c>
      <c r="O116" s="62">
        <v>43812.45</v>
      </c>
      <c r="P116" s="61">
        <v>0</v>
      </c>
      <c r="Q116" s="62">
        <v>24059.17</v>
      </c>
    </row>
    <row r="117" spans="1:17" ht="11.1" customHeight="1" x14ac:dyDescent="0.25">
      <c r="A117" s="56">
        <v>27022</v>
      </c>
      <c r="B117" s="57">
        <v>46041</v>
      </c>
      <c r="C117" s="58" t="s">
        <v>411</v>
      </c>
      <c r="D117" s="59" t="s">
        <v>412</v>
      </c>
      <c r="E117" s="56">
        <v>36</v>
      </c>
      <c r="F117" s="56">
        <v>1090</v>
      </c>
      <c r="G117" s="59" t="s">
        <v>413</v>
      </c>
      <c r="H117" s="60">
        <v>1403</v>
      </c>
      <c r="I117" s="56">
        <v>8</v>
      </c>
      <c r="J117" s="59" t="s">
        <v>26</v>
      </c>
      <c r="K117" s="61">
        <v>644.38</v>
      </c>
      <c r="L117" s="59" t="s">
        <v>313</v>
      </c>
      <c r="M117" s="62">
        <v>0</v>
      </c>
      <c r="N117" s="63">
        <v>20</v>
      </c>
      <c r="O117" s="62">
        <v>0</v>
      </c>
      <c r="P117" s="61">
        <v>0</v>
      </c>
      <c r="Q117" s="62">
        <v>644.38</v>
      </c>
    </row>
    <row r="118" spans="1:17" ht="11.1" customHeight="1" x14ac:dyDescent="0.25">
      <c r="A118" s="56">
        <v>27023</v>
      </c>
      <c r="B118" s="57">
        <v>46042</v>
      </c>
      <c r="C118" s="58" t="s">
        <v>414</v>
      </c>
      <c r="D118" s="59" t="s">
        <v>412</v>
      </c>
      <c r="E118" s="56">
        <v>36</v>
      </c>
      <c r="F118" s="56">
        <v>1090</v>
      </c>
      <c r="G118" s="59" t="s">
        <v>413</v>
      </c>
      <c r="H118" s="60">
        <v>1403</v>
      </c>
      <c r="I118" s="56">
        <v>8</v>
      </c>
      <c r="J118" s="59" t="s">
        <v>26</v>
      </c>
      <c r="K118" s="61">
        <v>644.38</v>
      </c>
      <c r="L118" s="59" t="s">
        <v>313</v>
      </c>
      <c r="M118" s="62">
        <v>0</v>
      </c>
      <c r="N118" s="63">
        <v>20</v>
      </c>
      <c r="O118" s="62">
        <v>0</v>
      </c>
      <c r="P118" s="61">
        <v>0</v>
      </c>
      <c r="Q118" s="62">
        <v>644.38</v>
      </c>
    </row>
    <row r="119" spans="1:17" ht="11.1" customHeight="1" x14ac:dyDescent="0.25">
      <c r="A119" s="56">
        <v>27024</v>
      </c>
      <c r="B119" s="57">
        <v>46052</v>
      </c>
      <c r="C119" s="58" t="s">
        <v>415</v>
      </c>
      <c r="D119" s="59" t="s">
        <v>412</v>
      </c>
      <c r="E119" s="56">
        <v>36</v>
      </c>
      <c r="F119" s="56">
        <v>1090</v>
      </c>
      <c r="G119" s="59" t="s">
        <v>413</v>
      </c>
      <c r="H119" s="60">
        <v>1403</v>
      </c>
      <c r="I119" s="56">
        <v>8</v>
      </c>
      <c r="J119" s="59" t="s">
        <v>26</v>
      </c>
      <c r="K119" s="61">
        <v>1620.55</v>
      </c>
      <c r="L119" s="59" t="s">
        <v>313</v>
      </c>
      <c r="M119" s="62">
        <v>0</v>
      </c>
      <c r="N119" s="63">
        <v>20</v>
      </c>
      <c r="O119" s="62">
        <v>0</v>
      </c>
      <c r="P119" s="61">
        <v>0</v>
      </c>
      <c r="Q119" s="62">
        <v>1620.55</v>
      </c>
    </row>
    <row r="120" spans="1:17" ht="11.1" customHeight="1" x14ac:dyDescent="0.25">
      <c r="A120" s="15" t="s">
        <v>296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</row>
    <row r="121" spans="1:17" ht="11.1" customHeight="1" x14ac:dyDescent="0.25">
      <c r="A121" s="10" t="s">
        <v>184</v>
      </c>
      <c r="B121" s="10" t="s">
        <v>297</v>
      </c>
      <c r="C121" s="10" t="s">
        <v>298</v>
      </c>
      <c r="D121" s="55" t="s">
        <v>299</v>
      </c>
      <c r="E121" s="10" t="s">
        <v>300</v>
      </c>
      <c r="F121" s="10" t="s">
        <v>184</v>
      </c>
      <c r="G121" s="55" t="s">
        <v>301</v>
      </c>
      <c r="H121" s="10" t="s">
        <v>302</v>
      </c>
      <c r="I121" s="10" t="s">
        <v>303</v>
      </c>
      <c r="J121" s="55" t="s">
        <v>24</v>
      </c>
      <c r="K121" s="15" t="s">
        <v>304</v>
      </c>
      <c r="L121" s="55" t="s">
        <v>305</v>
      </c>
      <c r="M121" s="10" t="s">
        <v>306</v>
      </c>
      <c r="N121" s="10" t="s">
        <v>307</v>
      </c>
      <c r="O121" s="10" t="s">
        <v>73</v>
      </c>
      <c r="P121" s="15" t="s">
        <v>308</v>
      </c>
      <c r="Q121" s="10" t="s">
        <v>309</v>
      </c>
    </row>
    <row r="122" spans="1:17" ht="11.1" customHeight="1" x14ac:dyDescent="0.25">
      <c r="A122" s="15" t="s">
        <v>348</v>
      </c>
      <c r="B122" s="15"/>
      <c r="C122" s="15"/>
      <c r="D122" s="15"/>
      <c r="E122" s="15"/>
      <c r="F122" s="15"/>
      <c r="G122" s="15"/>
      <c r="H122" s="15"/>
      <c r="I122" s="15"/>
    </row>
    <row r="123" spans="1:17" ht="11.1" customHeight="1" x14ac:dyDescent="0.25">
      <c r="K123" s="61">
        <v>2909.31</v>
      </c>
      <c r="L123" s="59" t="s">
        <v>313</v>
      </c>
      <c r="M123" s="62">
        <v>0</v>
      </c>
      <c r="O123" s="62">
        <v>0</v>
      </c>
      <c r="P123" s="61">
        <v>0</v>
      </c>
      <c r="Q123" s="62">
        <v>2909.31</v>
      </c>
    </row>
    <row r="124" spans="1:17" ht="11.1" customHeight="1" x14ac:dyDescent="0.25">
      <c r="A124" s="56">
        <v>26986</v>
      </c>
      <c r="B124" s="57">
        <v>46038</v>
      </c>
      <c r="C124" s="58" t="s">
        <v>416</v>
      </c>
      <c r="D124" s="59" t="s">
        <v>412</v>
      </c>
      <c r="E124" s="56">
        <v>36</v>
      </c>
      <c r="F124" s="56">
        <v>545</v>
      </c>
      <c r="G124" s="59" t="s">
        <v>417</v>
      </c>
      <c r="H124" s="60">
        <v>2102</v>
      </c>
      <c r="I124" s="56">
        <v>6</v>
      </c>
      <c r="J124" s="59" t="s">
        <v>50</v>
      </c>
      <c r="K124" s="61">
        <v>5737.5</v>
      </c>
      <c r="L124" s="59" t="s">
        <v>313</v>
      </c>
      <c r="M124" s="62">
        <v>2529.84</v>
      </c>
      <c r="N124" s="63">
        <v>4</v>
      </c>
      <c r="O124" s="62">
        <v>101.19</v>
      </c>
      <c r="P124" s="61">
        <v>0</v>
      </c>
      <c r="Q124" s="62">
        <v>49.63</v>
      </c>
    </row>
    <row r="125" spans="1:17" ht="11.1" customHeight="1" x14ac:dyDescent="0.25">
      <c r="L125" s="59" t="s">
        <v>313</v>
      </c>
      <c r="M125" s="62">
        <v>3123.12</v>
      </c>
      <c r="N125" s="63">
        <v>7</v>
      </c>
      <c r="O125" s="62">
        <v>218.63</v>
      </c>
      <c r="P125" s="61">
        <v>0</v>
      </c>
      <c r="Q125" s="62">
        <v>34.909999999999997</v>
      </c>
    </row>
    <row r="126" spans="1:17" ht="11.1" customHeight="1" x14ac:dyDescent="0.25">
      <c r="A126" s="15" t="s">
        <v>348</v>
      </c>
      <c r="B126" s="15"/>
      <c r="C126" s="15"/>
      <c r="D126" s="15"/>
      <c r="E126" s="15"/>
      <c r="F126" s="15"/>
      <c r="G126" s="15"/>
      <c r="H126" s="15"/>
      <c r="I126" s="15"/>
    </row>
    <row r="127" spans="1:17" ht="11.1" customHeight="1" x14ac:dyDescent="0.25">
      <c r="K127" s="61">
        <v>5737.5</v>
      </c>
      <c r="L127" s="59" t="s">
        <v>313</v>
      </c>
      <c r="M127" s="62">
        <v>5652.96</v>
      </c>
      <c r="O127" s="62">
        <v>319.82</v>
      </c>
      <c r="P127" s="61">
        <v>0</v>
      </c>
      <c r="Q127" s="62">
        <v>84.54</v>
      </c>
    </row>
    <row r="128" spans="1:17" ht="11.1" customHeight="1" x14ac:dyDescent="0.25">
      <c r="A128" s="56">
        <v>26988</v>
      </c>
      <c r="B128" s="57">
        <v>46042</v>
      </c>
      <c r="C128" s="58" t="s">
        <v>418</v>
      </c>
      <c r="D128" s="59" t="s">
        <v>352</v>
      </c>
      <c r="E128" s="56">
        <v>36</v>
      </c>
      <c r="F128" s="56">
        <v>546</v>
      </c>
      <c r="G128" s="59" t="s">
        <v>419</v>
      </c>
      <c r="H128" s="60">
        <v>2102</v>
      </c>
      <c r="I128" s="56">
        <v>6</v>
      </c>
      <c r="J128" s="59" t="s">
        <v>41</v>
      </c>
      <c r="K128" s="61">
        <v>18163.060000000001</v>
      </c>
      <c r="L128" s="59" t="s">
        <v>313</v>
      </c>
      <c r="M128" s="62">
        <v>135.25</v>
      </c>
      <c r="N128" s="63">
        <v>4</v>
      </c>
      <c r="O128" s="62">
        <v>5.41</v>
      </c>
      <c r="P128" s="61">
        <v>0</v>
      </c>
      <c r="Q128" s="62">
        <v>8.7899999999999991</v>
      </c>
    </row>
    <row r="129" spans="1:17" ht="11.1" customHeight="1" x14ac:dyDescent="0.25">
      <c r="L129" s="59" t="s">
        <v>313</v>
      </c>
      <c r="M129" s="62">
        <v>16919.28</v>
      </c>
      <c r="N129" s="63">
        <v>7</v>
      </c>
      <c r="O129" s="62">
        <v>1184.3399999999999</v>
      </c>
      <c r="P129" s="61">
        <v>0</v>
      </c>
      <c r="Q129" s="62">
        <v>1099.74</v>
      </c>
    </row>
    <row r="130" spans="1:17" ht="11.1" customHeight="1" x14ac:dyDescent="0.25">
      <c r="A130" s="15" t="s">
        <v>348</v>
      </c>
      <c r="B130" s="15"/>
      <c r="C130" s="15"/>
      <c r="D130" s="15"/>
      <c r="E130" s="15"/>
      <c r="F130" s="15"/>
      <c r="G130" s="15"/>
      <c r="H130" s="15"/>
      <c r="I130" s="15"/>
    </row>
    <row r="131" spans="1:17" ht="11.1" customHeight="1" x14ac:dyDescent="0.25">
      <c r="K131" s="61">
        <v>18163.060000000001</v>
      </c>
      <c r="L131" s="59" t="s">
        <v>313</v>
      </c>
      <c r="M131" s="62">
        <v>17054.53</v>
      </c>
      <c r="O131" s="62">
        <v>1189.75</v>
      </c>
      <c r="P131" s="61">
        <v>0</v>
      </c>
      <c r="Q131" s="62">
        <v>1108.53</v>
      </c>
    </row>
    <row r="132" spans="1:17" ht="11.1" customHeight="1" x14ac:dyDescent="0.25">
      <c r="A132" s="56">
        <v>27021</v>
      </c>
      <c r="B132" s="57">
        <v>46036</v>
      </c>
      <c r="C132" s="58" t="s">
        <v>420</v>
      </c>
      <c r="D132" s="59" t="s">
        <v>352</v>
      </c>
      <c r="E132" s="56">
        <v>36</v>
      </c>
      <c r="F132" s="56">
        <v>1172</v>
      </c>
      <c r="G132" s="59" t="s">
        <v>421</v>
      </c>
      <c r="H132" s="60">
        <v>1102</v>
      </c>
      <c r="I132" s="56">
        <v>6</v>
      </c>
      <c r="J132" s="59" t="s">
        <v>26</v>
      </c>
      <c r="K132" s="61">
        <v>27.1</v>
      </c>
      <c r="L132" s="59" t="s">
        <v>313</v>
      </c>
      <c r="M132" s="62">
        <v>27.1</v>
      </c>
      <c r="N132" s="63">
        <v>12</v>
      </c>
      <c r="O132" s="62">
        <v>3.25</v>
      </c>
      <c r="P132" s="61">
        <v>0</v>
      </c>
      <c r="Q132" s="62">
        <v>0</v>
      </c>
    </row>
    <row r="133" spans="1:17" ht="11.1" customHeight="1" x14ac:dyDescent="0.25">
      <c r="A133" s="15" t="s">
        <v>348</v>
      </c>
      <c r="B133" s="15"/>
      <c r="C133" s="15"/>
      <c r="D133" s="15"/>
      <c r="E133" s="15"/>
      <c r="F133" s="15"/>
      <c r="G133" s="15"/>
      <c r="H133" s="15"/>
      <c r="I133" s="15"/>
    </row>
    <row r="134" spans="1:17" ht="11.1" customHeight="1" x14ac:dyDescent="0.25">
      <c r="K134" s="61">
        <v>27.1</v>
      </c>
      <c r="L134" s="59" t="s">
        <v>313</v>
      </c>
      <c r="M134" s="62">
        <v>27.1</v>
      </c>
      <c r="O134" s="62">
        <v>3.25</v>
      </c>
      <c r="P134" s="61">
        <v>0</v>
      </c>
      <c r="Q134" s="62">
        <v>0</v>
      </c>
    </row>
    <row r="135" spans="1:17" ht="11.1" customHeight="1" x14ac:dyDescent="0.25">
      <c r="A135" s="56">
        <v>26881</v>
      </c>
      <c r="B135" s="57">
        <v>46044</v>
      </c>
      <c r="C135" s="58" t="s">
        <v>422</v>
      </c>
      <c r="D135" s="59" t="s">
        <v>423</v>
      </c>
      <c r="E135" s="56">
        <v>36</v>
      </c>
      <c r="F135" s="56">
        <v>1113</v>
      </c>
      <c r="G135" s="59" t="s">
        <v>424</v>
      </c>
      <c r="H135" s="60">
        <v>2102</v>
      </c>
      <c r="I135" s="56">
        <v>6</v>
      </c>
      <c r="J135" s="59" t="s">
        <v>38</v>
      </c>
      <c r="K135" s="61">
        <v>3755.4</v>
      </c>
      <c r="L135" s="59" t="s">
        <v>313</v>
      </c>
      <c r="M135" s="62">
        <v>629.29999999999995</v>
      </c>
      <c r="N135" s="63">
        <v>4</v>
      </c>
      <c r="O135" s="62">
        <v>25.18</v>
      </c>
      <c r="P135" s="61">
        <v>0</v>
      </c>
      <c r="Q135" s="62">
        <v>32.72</v>
      </c>
    </row>
    <row r="136" spans="1:17" ht="11.1" customHeight="1" x14ac:dyDescent="0.25">
      <c r="L136" s="59" t="s">
        <v>313</v>
      </c>
      <c r="M136" s="62">
        <v>2159.19</v>
      </c>
      <c r="N136" s="63">
        <v>7</v>
      </c>
      <c r="O136" s="62">
        <v>151.13999999999999</v>
      </c>
      <c r="P136" s="61">
        <v>0</v>
      </c>
      <c r="Q136" s="62">
        <v>934.19</v>
      </c>
    </row>
    <row r="137" spans="1:17" ht="11.1" customHeight="1" x14ac:dyDescent="0.25">
      <c r="A137" s="15" t="s">
        <v>348</v>
      </c>
      <c r="B137" s="15"/>
      <c r="C137" s="15"/>
      <c r="D137" s="15"/>
      <c r="E137" s="15"/>
      <c r="F137" s="15"/>
      <c r="G137" s="15"/>
      <c r="H137" s="15"/>
      <c r="I137" s="15"/>
    </row>
    <row r="138" spans="1:17" ht="11.1" customHeight="1" x14ac:dyDescent="0.25">
      <c r="K138" s="61">
        <v>3755.4</v>
      </c>
      <c r="L138" s="59" t="s">
        <v>313</v>
      </c>
      <c r="M138" s="62">
        <v>2788.49</v>
      </c>
      <c r="O138" s="62">
        <v>176.32</v>
      </c>
      <c r="P138" s="61">
        <v>0</v>
      </c>
      <c r="Q138" s="62">
        <v>966.91</v>
      </c>
    </row>
    <row r="139" spans="1:17" ht="11.1" customHeight="1" x14ac:dyDescent="0.25">
      <c r="A139" s="56">
        <v>26980</v>
      </c>
      <c r="B139" s="57">
        <v>46029</v>
      </c>
      <c r="C139" s="58" t="s">
        <v>425</v>
      </c>
      <c r="D139" s="59" t="s">
        <v>352</v>
      </c>
      <c r="E139" s="56">
        <v>36</v>
      </c>
      <c r="F139" s="56">
        <v>726</v>
      </c>
      <c r="G139" s="59" t="s">
        <v>426</v>
      </c>
      <c r="H139" s="60">
        <v>2102</v>
      </c>
      <c r="I139" s="56">
        <v>6</v>
      </c>
      <c r="J139" s="59" t="s">
        <v>50</v>
      </c>
      <c r="K139" s="61">
        <v>69610.87</v>
      </c>
      <c r="L139" s="59" t="s">
        <v>313</v>
      </c>
      <c r="M139" s="62">
        <v>68185.8</v>
      </c>
      <c r="N139" s="63">
        <v>7</v>
      </c>
      <c r="O139" s="62">
        <v>4773.01</v>
      </c>
      <c r="P139" s="61">
        <v>0</v>
      </c>
      <c r="Q139" s="62">
        <v>1425.07</v>
      </c>
    </row>
    <row r="140" spans="1:17" ht="11.1" customHeight="1" x14ac:dyDescent="0.25">
      <c r="A140" s="56">
        <v>26981</v>
      </c>
      <c r="B140" s="57">
        <v>46029</v>
      </c>
      <c r="C140" s="58" t="s">
        <v>427</v>
      </c>
      <c r="D140" s="59" t="s">
        <v>352</v>
      </c>
      <c r="E140" s="56">
        <v>36</v>
      </c>
      <c r="F140" s="56">
        <v>726</v>
      </c>
      <c r="G140" s="59" t="s">
        <v>426</v>
      </c>
      <c r="H140" s="60">
        <v>2102</v>
      </c>
      <c r="I140" s="56">
        <v>6</v>
      </c>
      <c r="J140" s="59" t="s">
        <v>50</v>
      </c>
      <c r="K140" s="61">
        <v>157019.79</v>
      </c>
      <c r="L140" s="59" t="s">
        <v>313</v>
      </c>
      <c r="M140" s="62">
        <v>541.54999999999995</v>
      </c>
      <c r="N140" s="63">
        <v>4</v>
      </c>
      <c r="O140" s="62">
        <v>21.65</v>
      </c>
      <c r="P140" s="61">
        <v>0</v>
      </c>
      <c r="Q140" s="62">
        <v>8.8699999999999992</v>
      </c>
    </row>
    <row r="141" spans="1:17" ht="11.1" customHeight="1" x14ac:dyDescent="0.25">
      <c r="L141" s="59" t="s">
        <v>313</v>
      </c>
      <c r="M141" s="62">
        <v>152382.85</v>
      </c>
      <c r="N141" s="63">
        <v>7</v>
      </c>
      <c r="O141" s="62">
        <v>10666.81</v>
      </c>
      <c r="P141" s="61">
        <v>0</v>
      </c>
      <c r="Q141" s="62">
        <v>4086.52</v>
      </c>
    </row>
    <row r="142" spans="1:17" ht="11.1" customHeight="1" x14ac:dyDescent="0.25">
      <c r="A142" s="56">
        <v>26982</v>
      </c>
      <c r="B142" s="57">
        <v>46029</v>
      </c>
      <c r="C142" s="58" t="s">
        <v>428</v>
      </c>
      <c r="D142" s="59" t="s">
        <v>352</v>
      </c>
      <c r="E142" s="56">
        <v>36</v>
      </c>
      <c r="F142" s="56">
        <v>726</v>
      </c>
      <c r="G142" s="59" t="s">
        <v>426</v>
      </c>
      <c r="H142" s="60">
        <v>2102</v>
      </c>
      <c r="I142" s="56">
        <v>6</v>
      </c>
      <c r="J142" s="59" t="s">
        <v>50</v>
      </c>
      <c r="K142" s="61">
        <v>67151.55</v>
      </c>
      <c r="L142" s="59" t="s">
        <v>313</v>
      </c>
      <c r="M142" s="62">
        <v>546.71</v>
      </c>
      <c r="N142" s="63">
        <v>4</v>
      </c>
      <c r="O142" s="62">
        <v>21.87</v>
      </c>
      <c r="P142" s="61">
        <v>0</v>
      </c>
      <c r="Q142" s="62">
        <v>35.54</v>
      </c>
    </row>
    <row r="143" spans="1:17" ht="11.1" customHeight="1" x14ac:dyDescent="0.25">
      <c r="L143" s="59" t="s">
        <v>313</v>
      </c>
      <c r="M143" s="62">
        <v>63077.38</v>
      </c>
      <c r="N143" s="63">
        <v>7</v>
      </c>
      <c r="O143" s="62">
        <v>4415.42</v>
      </c>
      <c r="P143" s="61">
        <v>0</v>
      </c>
      <c r="Q143" s="62">
        <v>3491.92</v>
      </c>
    </row>
    <row r="144" spans="1:17" ht="11.1" customHeight="1" x14ac:dyDescent="0.25">
      <c r="A144" s="56">
        <v>26983</v>
      </c>
      <c r="B144" s="57">
        <v>46030</v>
      </c>
      <c r="C144" s="58" t="s">
        <v>429</v>
      </c>
      <c r="D144" s="59" t="s">
        <v>352</v>
      </c>
      <c r="E144" s="56">
        <v>36</v>
      </c>
      <c r="F144" s="56">
        <v>726</v>
      </c>
      <c r="G144" s="59" t="s">
        <v>426</v>
      </c>
      <c r="H144" s="60">
        <v>2102</v>
      </c>
      <c r="I144" s="56">
        <v>6</v>
      </c>
      <c r="J144" s="59" t="s">
        <v>50</v>
      </c>
      <c r="K144" s="61">
        <v>871.1</v>
      </c>
      <c r="L144" s="59" t="s">
        <v>313</v>
      </c>
      <c r="M144" s="62">
        <v>871.1</v>
      </c>
      <c r="N144" s="63">
        <v>7</v>
      </c>
      <c r="O144" s="62">
        <v>60.98</v>
      </c>
      <c r="P144" s="61">
        <v>0</v>
      </c>
      <c r="Q144" s="62">
        <v>0</v>
      </c>
    </row>
    <row r="145" spans="1:17" ht="11.1" customHeight="1" x14ac:dyDescent="0.25">
      <c r="A145" s="56">
        <v>26984</v>
      </c>
      <c r="B145" s="57">
        <v>46042</v>
      </c>
      <c r="C145" s="58" t="s">
        <v>430</v>
      </c>
      <c r="D145" s="59" t="s">
        <v>352</v>
      </c>
      <c r="E145" s="56">
        <v>36</v>
      </c>
      <c r="F145" s="56">
        <v>726</v>
      </c>
      <c r="G145" s="59" t="s">
        <v>426</v>
      </c>
      <c r="H145" s="60">
        <v>2102</v>
      </c>
      <c r="I145" s="56">
        <v>6</v>
      </c>
      <c r="J145" s="59" t="s">
        <v>50</v>
      </c>
      <c r="K145" s="61">
        <v>6964.56</v>
      </c>
      <c r="L145" s="59" t="s">
        <v>313</v>
      </c>
      <c r="M145" s="62">
        <v>6763.72</v>
      </c>
      <c r="N145" s="63">
        <v>7</v>
      </c>
      <c r="O145" s="62">
        <v>473.46</v>
      </c>
      <c r="P145" s="61">
        <v>0</v>
      </c>
      <c r="Q145" s="62">
        <v>200.84</v>
      </c>
    </row>
    <row r="146" spans="1:17" ht="11.1" customHeight="1" x14ac:dyDescent="0.25">
      <c r="A146" s="56">
        <v>26985</v>
      </c>
      <c r="B146" s="57">
        <v>46043</v>
      </c>
      <c r="C146" s="58" t="s">
        <v>431</v>
      </c>
      <c r="D146" s="59" t="s">
        <v>352</v>
      </c>
      <c r="E146" s="56">
        <v>36</v>
      </c>
      <c r="F146" s="56">
        <v>726</v>
      </c>
      <c r="G146" s="59" t="s">
        <v>426</v>
      </c>
      <c r="H146" s="60">
        <v>2102</v>
      </c>
      <c r="I146" s="56">
        <v>6</v>
      </c>
      <c r="J146" s="59" t="s">
        <v>50</v>
      </c>
      <c r="K146" s="61">
        <v>10485.66</v>
      </c>
      <c r="L146" s="59" t="s">
        <v>313</v>
      </c>
      <c r="M146" s="62">
        <v>10155.6</v>
      </c>
      <c r="N146" s="63">
        <v>7</v>
      </c>
      <c r="O146" s="62">
        <v>710.89</v>
      </c>
      <c r="P146" s="61">
        <v>0</v>
      </c>
      <c r="Q146" s="62">
        <v>330.06</v>
      </c>
    </row>
    <row r="147" spans="1:17" ht="11.1" customHeight="1" x14ac:dyDescent="0.25">
      <c r="A147" s="15" t="s">
        <v>348</v>
      </c>
      <c r="B147" s="15"/>
      <c r="C147" s="15"/>
      <c r="D147" s="15"/>
      <c r="E147" s="15"/>
      <c r="F147" s="15"/>
      <c r="G147" s="15"/>
      <c r="H147" s="15"/>
      <c r="I147" s="15"/>
    </row>
    <row r="148" spans="1:17" ht="11.1" customHeight="1" x14ac:dyDescent="0.25">
      <c r="K148" s="61">
        <v>312103.53000000003</v>
      </c>
      <c r="L148" s="59" t="s">
        <v>313</v>
      </c>
      <c r="M148" s="62">
        <v>302524.71000000002</v>
      </c>
      <c r="O148" s="62">
        <v>21144.09</v>
      </c>
      <c r="P148" s="61">
        <v>0</v>
      </c>
      <c r="Q148" s="62">
        <v>9578.82</v>
      </c>
    </row>
    <row r="149" spans="1:17" ht="11.1" customHeight="1" x14ac:dyDescent="0.25">
      <c r="A149" s="56">
        <v>28864</v>
      </c>
      <c r="B149" s="57">
        <v>46034</v>
      </c>
      <c r="C149" s="58" t="s">
        <v>432</v>
      </c>
      <c r="D149" s="59" t="s">
        <v>75</v>
      </c>
      <c r="E149" s="56">
        <v>39</v>
      </c>
      <c r="F149" s="56">
        <v>1270</v>
      </c>
      <c r="G149" s="59" t="s">
        <v>433</v>
      </c>
      <c r="H149" s="60">
        <v>1933</v>
      </c>
      <c r="I149" s="56">
        <v>29</v>
      </c>
      <c r="J149" s="59" t="s">
        <v>26</v>
      </c>
      <c r="K149" s="61">
        <v>1080</v>
      </c>
      <c r="L149" s="59" t="s">
        <v>358</v>
      </c>
      <c r="M149" s="62">
        <v>1080</v>
      </c>
      <c r="N149" s="63">
        <v>5</v>
      </c>
      <c r="O149" s="62">
        <v>54</v>
      </c>
      <c r="P149" s="61">
        <v>0</v>
      </c>
      <c r="Q149" s="62">
        <v>0</v>
      </c>
    </row>
    <row r="150" spans="1:17" ht="11.1" customHeight="1" x14ac:dyDescent="0.25">
      <c r="A150" s="15" t="s">
        <v>348</v>
      </c>
      <c r="B150" s="15"/>
      <c r="C150" s="15"/>
      <c r="D150" s="15"/>
      <c r="E150" s="15"/>
      <c r="F150" s="15"/>
      <c r="G150" s="15"/>
      <c r="H150" s="15"/>
      <c r="I150" s="15"/>
    </row>
    <row r="151" spans="1:17" ht="11.1" customHeight="1" x14ac:dyDescent="0.25">
      <c r="K151" s="61">
        <v>1080</v>
      </c>
      <c r="L151" s="59" t="s">
        <v>358</v>
      </c>
      <c r="M151" s="62">
        <v>1080</v>
      </c>
      <c r="O151" s="62">
        <v>54</v>
      </c>
      <c r="P151" s="61">
        <v>0</v>
      </c>
      <c r="Q151" s="62">
        <v>0</v>
      </c>
    </row>
    <row r="152" spans="1:17" ht="11.1" customHeight="1" x14ac:dyDescent="0.25">
      <c r="A152" s="56">
        <v>26875</v>
      </c>
      <c r="B152" s="57">
        <v>46048</v>
      </c>
      <c r="C152" s="58" t="s">
        <v>434</v>
      </c>
      <c r="D152" s="59" t="s">
        <v>352</v>
      </c>
      <c r="E152" s="56">
        <v>36</v>
      </c>
      <c r="F152" s="56">
        <v>792</v>
      </c>
      <c r="G152" s="59" t="s">
        <v>435</v>
      </c>
      <c r="H152" s="60">
        <v>1202</v>
      </c>
      <c r="I152" s="56">
        <v>38</v>
      </c>
      <c r="J152" s="59" t="s">
        <v>26</v>
      </c>
      <c r="K152" s="61">
        <v>78.27</v>
      </c>
      <c r="L152" s="59" t="s">
        <v>313</v>
      </c>
      <c r="M152" s="62">
        <v>78.27</v>
      </c>
      <c r="N152" s="63">
        <v>20</v>
      </c>
      <c r="O152" s="62">
        <v>15.65</v>
      </c>
      <c r="P152" s="61">
        <v>0</v>
      </c>
      <c r="Q152" s="62">
        <v>0</v>
      </c>
    </row>
    <row r="153" spans="1:17" ht="11.1" customHeight="1" x14ac:dyDescent="0.25">
      <c r="A153" s="56">
        <v>26876</v>
      </c>
      <c r="B153" s="57">
        <v>46048</v>
      </c>
      <c r="C153" s="58" t="s">
        <v>434</v>
      </c>
      <c r="D153" s="59" t="s">
        <v>352</v>
      </c>
      <c r="E153" s="56">
        <v>36</v>
      </c>
      <c r="F153" s="56">
        <v>792</v>
      </c>
      <c r="G153" s="59" t="s">
        <v>435</v>
      </c>
      <c r="H153" s="60">
        <v>1411</v>
      </c>
      <c r="I153" s="56">
        <v>40</v>
      </c>
      <c r="J153" s="59" t="s">
        <v>26</v>
      </c>
      <c r="K153" s="61">
        <v>96.97</v>
      </c>
      <c r="L153" s="59" t="s">
        <v>313</v>
      </c>
      <c r="M153" s="62">
        <v>90.64</v>
      </c>
      <c r="N153" s="63">
        <v>20</v>
      </c>
      <c r="O153" s="62">
        <v>18.13</v>
      </c>
      <c r="P153" s="61">
        <v>0</v>
      </c>
      <c r="Q153" s="62">
        <v>6.33</v>
      </c>
    </row>
    <row r="154" spans="1:17" ht="11.1" customHeight="1" x14ac:dyDescent="0.25">
      <c r="L154" s="59" t="s">
        <v>436</v>
      </c>
      <c r="M154" s="62">
        <v>122.36</v>
      </c>
      <c r="N154" s="63">
        <v>20</v>
      </c>
      <c r="O154" s="62">
        <v>6.33</v>
      </c>
      <c r="P154" s="61">
        <v>0</v>
      </c>
      <c r="Q154" s="62">
        <v>0</v>
      </c>
    </row>
    <row r="155" spans="1:17" ht="11.1" customHeight="1" x14ac:dyDescent="0.25">
      <c r="A155" s="56">
        <v>26878</v>
      </c>
      <c r="B155" s="57">
        <v>46050</v>
      </c>
      <c r="C155" s="58" t="s">
        <v>437</v>
      </c>
      <c r="D155" s="59" t="s">
        <v>352</v>
      </c>
      <c r="E155" s="56">
        <v>36</v>
      </c>
      <c r="F155" s="56">
        <v>792</v>
      </c>
      <c r="G155" s="59" t="s">
        <v>435</v>
      </c>
      <c r="H155" s="60">
        <v>1202</v>
      </c>
      <c r="I155" s="56">
        <v>38</v>
      </c>
      <c r="J155" s="59" t="s">
        <v>26</v>
      </c>
      <c r="K155" s="61">
        <v>385.69</v>
      </c>
      <c r="L155" s="59" t="s">
        <v>313</v>
      </c>
      <c r="M155" s="62">
        <v>385.69</v>
      </c>
      <c r="N155" s="63">
        <v>20</v>
      </c>
      <c r="O155" s="62">
        <v>77.14</v>
      </c>
      <c r="P155" s="61">
        <v>0</v>
      </c>
      <c r="Q155" s="62">
        <v>0</v>
      </c>
    </row>
    <row r="156" spans="1:17" ht="11.1" customHeight="1" x14ac:dyDescent="0.25">
      <c r="A156" s="56">
        <v>26879</v>
      </c>
      <c r="B156" s="57">
        <v>46050</v>
      </c>
      <c r="C156" s="58" t="s">
        <v>437</v>
      </c>
      <c r="D156" s="59" t="s">
        <v>352</v>
      </c>
      <c r="E156" s="56">
        <v>36</v>
      </c>
      <c r="F156" s="56">
        <v>792</v>
      </c>
      <c r="G156" s="59" t="s">
        <v>435</v>
      </c>
      <c r="H156" s="60">
        <v>1411</v>
      </c>
      <c r="I156" s="56">
        <v>40</v>
      </c>
      <c r="J156" s="59" t="s">
        <v>26</v>
      </c>
      <c r="K156" s="61">
        <v>314.19</v>
      </c>
      <c r="L156" s="59" t="s">
        <v>313</v>
      </c>
      <c r="M156" s="62">
        <v>293.64</v>
      </c>
      <c r="N156" s="63">
        <v>20</v>
      </c>
      <c r="O156" s="62">
        <v>58.73</v>
      </c>
      <c r="P156" s="61">
        <v>0</v>
      </c>
      <c r="Q156" s="62">
        <v>20.55</v>
      </c>
    </row>
    <row r="157" spans="1:17" ht="11.1" customHeight="1" x14ac:dyDescent="0.25">
      <c r="L157" s="59" t="s">
        <v>436</v>
      </c>
      <c r="M157" s="62">
        <v>396.41</v>
      </c>
      <c r="N157" s="63">
        <v>20</v>
      </c>
      <c r="O157" s="62">
        <v>20.55</v>
      </c>
      <c r="P157" s="61">
        <v>0</v>
      </c>
      <c r="Q157" s="62">
        <v>0</v>
      </c>
    </row>
    <row r="158" spans="1:17" ht="11.1" customHeight="1" x14ac:dyDescent="0.25">
      <c r="A158" s="15" t="s">
        <v>348</v>
      </c>
      <c r="B158" s="15"/>
      <c r="C158" s="15"/>
      <c r="D158" s="15"/>
      <c r="E158" s="15"/>
      <c r="F158" s="15"/>
      <c r="G158" s="15"/>
      <c r="H158" s="15"/>
      <c r="I158" s="15"/>
    </row>
    <row r="159" spans="1:17" ht="11.1" customHeight="1" x14ac:dyDescent="0.25">
      <c r="K159" s="61">
        <v>875.12</v>
      </c>
      <c r="L159" s="59" t="s">
        <v>313</v>
      </c>
      <c r="M159" s="62">
        <v>848.24</v>
      </c>
      <c r="O159" s="62">
        <v>169.65</v>
      </c>
      <c r="P159" s="61">
        <v>0</v>
      </c>
      <c r="Q159" s="62">
        <v>26.88</v>
      </c>
    </row>
    <row r="160" spans="1:17" ht="11.1" customHeight="1" x14ac:dyDescent="0.25">
      <c r="L160" s="59" t="s">
        <v>436</v>
      </c>
      <c r="M160" s="62">
        <v>518.77</v>
      </c>
      <c r="O160" s="62">
        <v>26.88</v>
      </c>
      <c r="P160" s="61">
        <v>0</v>
      </c>
      <c r="Q160" s="62">
        <v>0</v>
      </c>
    </row>
    <row r="161" spans="1:17" ht="11.1" customHeight="1" x14ac:dyDescent="0.25">
      <c r="A161" s="56">
        <v>28457</v>
      </c>
      <c r="B161" s="57">
        <v>46036</v>
      </c>
      <c r="C161" s="58" t="s">
        <v>438</v>
      </c>
      <c r="D161" s="59" t="s">
        <v>75</v>
      </c>
      <c r="E161" s="56">
        <v>39</v>
      </c>
      <c r="F161" s="56">
        <v>1241</v>
      </c>
      <c r="G161" s="59" t="s">
        <v>439</v>
      </c>
      <c r="H161" s="60">
        <v>2933</v>
      </c>
      <c r="I161" s="56">
        <v>29</v>
      </c>
      <c r="J161" s="59" t="s">
        <v>50</v>
      </c>
      <c r="K161" s="61">
        <v>884.31</v>
      </c>
      <c r="L161" s="59" t="s">
        <v>358</v>
      </c>
      <c r="M161" s="62">
        <v>884.31</v>
      </c>
      <c r="N161" s="63">
        <v>2</v>
      </c>
      <c r="O161" s="62">
        <v>17.690000000000001</v>
      </c>
      <c r="P161" s="61">
        <v>0</v>
      </c>
      <c r="Q161" s="62">
        <v>0</v>
      </c>
    </row>
    <row r="162" spans="1:17" ht="11.1" customHeight="1" x14ac:dyDescent="0.25">
      <c r="L162" s="59" t="s">
        <v>440</v>
      </c>
      <c r="M162" s="62">
        <v>884.31</v>
      </c>
      <c r="N162" s="63">
        <v>1.5</v>
      </c>
      <c r="O162" s="62">
        <v>13.26</v>
      </c>
      <c r="P162" s="61">
        <v>0</v>
      </c>
      <c r="Q162" s="62">
        <v>0</v>
      </c>
    </row>
    <row r="163" spans="1:17" ht="11.1" customHeight="1" x14ac:dyDescent="0.25">
      <c r="A163" s="15" t="s">
        <v>348</v>
      </c>
      <c r="B163" s="15"/>
      <c r="C163" s="15"/>
      <c r="D163" s="15"/>
      <c r="E163" s="15"/>
      <c r="F163" s="15"/>
      <c r="G163" s="15"/>
      <c r="H163" s="15"/>
      <c r="I163" s="15"/>
    </row>
    <row r="164" spans="1:17" ht="11.1" customHeight="1" x14ac:dyDescent="0.25">
      <c r="K164" s="61">
        <v>884.31</v>
      </c>
      <c r="L164" s="59" t="s">
        <v>358</v>
      </c>
      <c r="M164" s="62">
        <v>884.31</v>
      </c>
      <c r="O164" s="62">
        <v>17.690000000000001</v>
      </c>
      <c r="P164" s="61">
        <v>0</v>
      </c>
      <c r="Q164" s="62">
        <v>0</v>
      </c>
    </row>
    <row r="165" spans="1:17" ht="11.1" customHeight="1" x14ac:dyDescent="0.25">
      <c r="L165" s="59" t="s">
        <v>440</v>
      </c>
      <c r="M165" s="62">
        <v>884.31</v>
      </c>
      <c r="O165" s="62">
        <v>13.26</v>
      </c>
      <c r="P165" s="61">
        <v>0</v>
      </c>
      <c r="Q165" s="62">
        <v>0</v>
      </c>
    </row>
    <row r="166" spans="1:17" ht="11.1" customHeight="1" x14ac:dyDescent="0.25">
      <c r="A166" s="56">
        <v>28513</v>
      </c>
      <c r="B166" s="57">
        <v>46026</v>
      </c>
      <c r="C166" s="58" t="s">
        <v>441</v>
      </c>
      <c r="D166" s="59" t="s">
        <v>75</v>
      </c>
      <c r="E166" s="56">
        <v>39</v>
      </c>
      <c r="F166" s="56">
        <v>1253</v>
      </c>
      <c r="G166" s="59" t="s">
        <v>442</v>
      </c>
      <c r="H166" s="60">
        <v>2933</v>
      </c>
      <c r="I166" s="56">
        <v>29</v>
      </c>
      <c r="J166" s="59" t="s">
        <v>34</v>
      </c>
      <c r="K166" s="61">
        <v>10.75</v>
      </c>
      <c r="L166" s="59" t="s">
        <v>358</v>
      </c>
      <c r="M166" s="62">
        <v>10.75</v>
      </c>
      <c r="N166" s="63">
        <v>2</v>
      </c>
      <c r="O166" s="62">
        <v>0.22</v>
      </c>
      <c r="P166" s="61">
        <v>0</v>
      </c>
      <c r="Q166" s="62">
        <v>0</v>
      </c>
    </row>
    <row r="167" spans="1:17" ht="11.1" customHeight="1" x14ac:dyDescent="0.25">
      <c r="A167" s="56">
        <v>28514</v>
      </c>
      <c r="B167" s="57">
        <v>46036</v>
      </c>
      <c r="C167" s="58" t="s">
        <v>443</v>
      </c>
      <c r="D167" s="59" t="s">
        <v>75</v>
      </c>
      <c r="E167" s="56">
        <v>39</v>
      </c>
      <c r="F167" s="56">
        <v>1253</v>
      </c>
      <c r="G167" s="59" t="s">
        <v>442</v>
      </c>
      <c r="H167" s="60">
        <v>2933</v>
      </c>
      <c r="I167" s="56">
        <v>29</v>
      </c>
      <c r="J167" s="59" t="s">
        <v>34</v>
      </c>
      <c r="K167" s="61">
        <v>10.75</v>
      </c>
      <c r="L167" s="59" t="s">
        <v>358</v>
      </c>
      <c r="M167" s="62">
        <v>10.75</v>
      </c>
      <c r="N167" s="63">
        <v>2</v>
      </c>
      <c r="O167" s="62">
        <v>0.22</v>
      </c>
      <c r="P167" s="61">
        <v>0</v>
      </c>
      <c r="Q167" s="62">
        <v>0</v>
      </c>
    </row>
    <row r="168" spans="1:17" ht="11.1" customHeight="1" x14ac:dyDescent="0.25">
      <c r="A168" s="56">
        <v>28515</v>
      </c>
      <c r="B168" s="57">
        <v>46048</v>
      </c>
      <c r="C168" s="58" t="s">
        <v>444</v>
      </c>
      <c r="D168" s="59" t="s">
        <v>75</v>
      </c>
      <c r="E168" s="56">
        <v>39</v>
      </c>
      <c r="F168" s="56">
        <v>1253</v>
      </c>
      <c r="G168" s="59" t="s">
        <v>442</v>
      </c>
      <c r="H168" s="60">
        <v>2933</v>
      </c>
      <c r="I168" s="56">
        <v>29</v>
      </c>
      <c r="J168" s="59" t="s">
        <v>34</v>
      </c>
      <c r="K168" s="61">
        <v>10.75</v>
      </c>
      <c r="L168" s="59" t="s">
        <v>358</v>
      </c>
      <c r="M168" s="62">
        <v>10.75</v>
      </c>
      <c r="N168" s="63">
        <v>2</v>
      </c>
      <c r="O168" s="62">
        <v>0.22</v>
      </c>
      <c r="P168" s="61">
        <v>0</v>
      </c>
      <c r="Q168" s="62">
        <v>0</v>
      </c>
    </row>
    <row r="169" spans="1:17" ht="11.1" customHeight="1" x14ac:dyDescent="0.25">
      <c r="A169" s="15" t="s">
        <v>348</v>
      </c>
      <c r="B169" s="15"/>
      <c r="C169" s="15"/>
      <c r="D169" s="15"/>
      <c r="E169" s="15"/>
      <c r="F169" s="15"/>
      <c r="G169" s="15"/>
      <c r="H169" s="15"/>
      <c r="I169" s="15"/>
    </row>
    <row r="170" spans="1:17" ht="11.1" customHeight="1" x14ac:dyDescent="0.25">
      <c r="K170" s="61">
        <v>32.25</v>
      </c>
      <c r="L170" s="59" t="s">
        <v>358</v>
      </c>
      <c r="M170" s="62">
        <v>32.25</v>
      </c>
      <c r="O170" s="62">
        <v>0.66</v>
      </c>
      <c r="P170" s="61">
        <v>0</v>
      </c>
      <c r="Q170" s="62">
        <v>0</v>
      </c>
    </row>
    <row r="171" spans="1:17" ht="11.1" customHeight="1" x14ac:dyDescent="0.25">
      <c r="A171" s="56">
        <v>26869</v>
      </c>
      <c r="B171" s="57">
        <v>46042</v>
      </c>
      <c r="C171" s="58" t="s">
        <v>445</v>
      </c>
      <c r="D171" s="59" t="s">
        <v>352</v>
      </c>
      <c r="E171" s="56">
        <v>36</v>
      </c>
      <c r="F171" s="56">
        <v>790</v>
      </c>
      <c r="G171" s="59" t="s">
        <v>446</v>
      </c>
      <c r="H171" s="60">
        <v>1202</v>
      </c>
      <c r="I171" s="56">
        <v>38</v>
      </c>
      <c r="J171" s="59" t="s">
        <v>26</v>
      </c>
      <c r="K171" s="61">
        <v>749.5</v>
      </c>
      <c r="L171" s="59" t="s">
        <v>313</v>
      </c>
      <c r="M171" s="62">
        <v>749.5</v>
      </c>
      <c r="N171" s="63">
        <v>20</v>
      </c>
      <c r="O171" s="62">
        <v>149.9</v>
      </c>
      <c r="P171" s="61">
        <v>0</v>
      </c>
      <c r="Q171" s="62">
        <v>0</v>
      </c>
    </row>
    <row r="172" spans="1:17" ht="11.1" customHeight="1" x14ac:dyDescent="0.25">
      <c r="A172" s="15" t="s">
        <v>296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</row>
    <row r="173" spans="1:17" ht="11.1" customHeight="1" x14ac:dyDescent="0.25">
      <c r="A173" s="10" t="s">
        <v>184</v>
      </c>
      <c r="B173" s="10" t="s">
        <v>297</v>
      </c>
      <c r="C173" s="10" t="s">
        <v>298</v>
      </c>
      <c r="D173" s="55" t="s">
        <v>299</v>
      </c>
      <c r="E173" s="10" t="s">
        <v>300</v>
      </c>
      <c r="F173" s="10" t="s">
        <v>184</v>
      </c>
      <c r="G173" s="55" t="s">
        <v>301</v>
      </c>
      <c r="H173" s="10" t="s">
        <v>302</v>
      </c>
      <c r="I173" s="10" t="s">
        <v>303</v>
      </c>
      <c r="J173" s="55" t="s">
        <v>24</v>
      </c>
      <c r="K173" s="15" t="s">
        <v>304</v>
      </c>
      <c r="L173" s="55" t="s">
        <v>305</v>
      </c>
      <c r="M173" s="10" t="s">
        <v>306</v>
      </c>
      <c r="N173" s="10" t="s">
        <v>307</v>
      </c>
      <c r="O173" s="10" t="s">
        <v>73</v>
      </c>
      <c r="P173" s="15" t="s">
        <v>308</v>
      </c>
      <c r="Q173" s="10" t="s">
        <v>309</v>
      </c>
    </row>
    <row r="174" spans="1:17" ht="11.1" customHeight="1" x14ac:dyDescent="0.25">
      <c r="A174" s="15" t="s">
        <v>348</v>
      </c>
      <c r="B174" s="15"/>
      <c r="C174" s="15"/>
      <c r="D174" s="15"/>
      <c r="E174" s="15"/>
      <c r="F174" s="15"/>
      <c r="G174" s="15"/>
      <c r="H174" s="15"/>
      <c r="I174" s="15"/>
    </row>
    <row r="175" spans="1:17" ht="11.1" customHeight="1" x14ac:dyDescent="0.25">
      <c r="K175" s="61">
        <v>749.5</v>
      </c>
      <c r="L175" s="59" t="s">
        <v>313</v>
      </c>
      <c r="M175" s="62">
        <v>749.5</v>
      </c>
      <c r="O175" s="62">
        <v>149.9</v>
      </c>
      <c r="P175" s="61">
        <v>0</v>
      </c>
      <c r="Q175" s="62">
        <v>0</v>
      </c>
    </row>
    <row r="176" spans="1:17" ht="11.1" customHeight="1" x14ac:dyDescent="0.25">
      <c r="A176" s="56">
        <v>27005</v>
      </c>
      <c r="B176" s="57">
        <v>46028</v>
      </c>
      <c r="C176" s="58" t="s">
        <v>447</v>
      </c>
      <c r="D176" s="59" t="s">
        <v>352</v>
      </c>
      <c r="E176" s="56">
        <v>36</v>
      </c>
      <c r="F176" s="56">
        <v>688</v>
      </c>
      <c r="G176" s="59" t="s">
        <v>448</v>
      </c>
      <c r="H176" s="60">
        <v>1407</v>
      </c>
      <c r="I176" s="56">
        <v>14</v>
      </c>
      <c r="J176" s="59" t="s">
        <v>26</v>
      </c>
      <c r="K176" s="61">
        <v>1141.3599999999999</v>
      </c>
      <c r="L176" s="59" t="s">
        <v>313</v>
      </c>
      <c r="M176" s="62">
        <v>0</v>
      </c>
      <c r="N176" s="63">
        <v>0</v>
      </c>
      <c r="O176" s="62">
        <v>0</v>
      </c>
      <c r="P176" s="61">
        <v>0</v>
      </c>
      <c r="Q176" s="62">
        <v>1141.3599999999999</v>
      </c>
    </row>
    <row r="177" spans="1:17" ht="11.1" customHeight="1" x14ac:dyDescent="0.25">
      <c r="L177" s="59" t="s">
        <v>436</v>
      </c>
      <c r="M177" s="62">
        <v>1141.3599999999999</v>
      </c>
      <c r="N177" s="63">
        <v>0</v>
      </c>
      <c r="O177" s="62">
        <v>0</v>
      </c>
      <c r="P177" s="61">
        <v>0</v>
      </c>
      <c r="Q177" s="62">
        <v>0</v>
      </c>
    </row>
    <row r="178" spans="1:17" ht="11.1" customHeight="1" x14ac:dyDescent="0.25">
      <c r="A178" s="56">
        <v>27006</v>
      </c>
      <c r="B178" s="57">
        <v>46028</v>
      </c>
      <c r="C178" s="58" t="s">
        <v>447</v>
      </c>
      <c r="D178" s="59" t="s">
        <v>352</v>
      </c>
      <c r="E178" s="56">
        <v>36</v>
      </c>
      <c r="F178" s="56">
        <v>688</v>
      </c>
      <c r="G178" s="59" t="s">
        <v>448</v>
      </c>
      <c r="H178" s="60">
        <v>1556</v>
      </c>
      <c r="I178" s="56">
        <v>12</v>
      </c>
      <c r="J178" s="59" t="s">
        <v>26</v>
      </c>
      <c r="K178" s="61">
        <v>1371.52</v>
      </c>
      <c r="L178" s="59" t="s">
        <v>75</v>
      </c>
      <c r="M178" s="62">
        <v>0</v>
      </c>
      <c r="N178" s="63">
        <v>0</v>
      </c>
      <c r="O178" s="62">
        <v>0</v>
      </c>
      <c r="P178" s="61">
        <v>0</v>
      </c>
      <c r="Q178" s="62">
        <v>0</v>
      </c>
    </row>
    <row r="179" spans="1:17" ht="11.1" customHeight="1" x14ac:dyDescent="0.25">
      <c r="A179" s="56">
        <v>27007</v>
      </c>
      <c r="B179" s="57">
        <v>46043</v>
      </c>
      <c r="C179" s="58" t="s">
        <v>449</v>
      </c>
      <c r="D179" s="59" t="s">
        <v>352</v>
      </c>
      <c r="E179" s="56">
        <v>36</v>
      </c>
      <c r="F179" s="56">
        <v>688</v>
      </c>
      <c r="G179" s="59" t="s">
        <v>448</v>
      </c>
      <c r="H179" s="60">
        <v>1407</v>
      </c>
      <c r="I179" s="56">
        <v>14</v>
      </c>
      <c r="J179" s="59" t="s">
        <v>26</v>
      </c>
      <c r="K179" s="61">
        <v>44.83</v>
      </c>
      <c r="L179" s="59" t="s">
        <v>313</v>
      </c>
      <c r="M179" s="62">
        <v>0</v>
      </c>
      <c r="N179" s="63">
        <v>0</v>
      </c>
      <c r="O179" s="62">
        <v>0</v>
      </c>
      <c r="P179" s="61">
        <v>0</v>
      </c>
      <c r="Q179" s="62">
        <v>44.83</v>
      </c>
    </row>
    <row r="180" spans="1:17" ht="11.1" customHeight="1" x14ac:dyDescent="0.25">
      <c r="L180" s="59" t="s">
        <v>436</v>
      </c>
      <c r="M180" s="62">
        <v>44.83</v>
      </c>
      <c r="N180" s="63">
        <v>0</v>
      </c>
      <c r="O180" s="62">
        <v>0</v>
      </c>
      <c r="P180" s="61">
        <v>0</v>
      </c>
      <c r="Q180" s="62">
        <v>0</v>
      </c>
    </row>
    <row r="181" spans="1:17" ht="11.1" customHeight="1" x14ac:dyDescent="0.25">
      <c r="A181" s="56">
        <v>27008</v>
      </c>
      <c r="B181" s="57">
        <v>46043</v>
      </c>
      <c r="C181" s="58" t="s">
        <v>449</v>
      </c>
      <c r="D181" s="59" t="s">
        <v>352</v>
      </c>
      <c r="E181" s="56">
        <v>36</v>
      </c>
      <c r="F181" s="56">
        <v>688</v>
      </c>
      <c r="G181" s="59" t="s">
        <v>448</v>
      </c>
      <c r="H181" s="60">
        <v>1556</v>
      </c>
      <c r="I181" s="56">
        <v>12</v>
      </c>
      <c r="J181" s="59" t="s">
        <v>26</v>
      </c>
      <c r="K181" s="61">
        <v>123.68</v>
      </c>
      <c r="L181" s="59" t="s">
        <v>75</v>
      </c>
      <c r="M181" s="62">
        <v>0</v>
      </c>
      <c r="N181" s="63">
        <v>0</v>
      </c>
      <c r="O181" s="62">
        <v>0</v>
      </c>
      <c r="P181" s="61">
        <v>0</v>
      </c>
      <c r="Q181" s="62">
        <v>0</v>
      </c>
    </row>
    <row r="182" spans="1:17" ht="11.1" customHeight="1" x14ac:dyDescent="0.25">
      <c r="A182" s="56">
        <v>27009</v>
      </c>
      <c r="B182" s="57">
        <v>46049</v>
      </c>
      <c r="C182" s="58" t="s">
        <v>450</v>
      </c>
      <c r="D182" s="59" t="s">
        <v>352</v>
      </c>
      <c r="E182" s="56">
        <v>36</v>
      </c>
      <c r="F182" s="56">
        <v>688</v>
      </c>
      <c r="G182" s="59" t="s">
        <v>448</v>
      </c>
      <c r="H182" s="60">
        <v>1407</v>
      </c>
      <c r="I182" s="56">
        <v>14</v>
      </c>
      <c r="J182" s="59" t="s">
        <v>26</v>
      </c>
      <c r="K182" s="61">
        <v>231.32</v>
      </c>
      <c r="L182" s="59" t="s">
        <v>313</v>
      </c>
      <c r="M182" s="62">
        <v>0</v>
      </c>
      <c r="N182" s="63">
        <v>0</v>
      </c>
      <c r="O182" s="62">
        <v>0</v>
      </c>
      <c r="P182" s="61">
        <v>0</v>
      </c>
      <c r="Q182" s="62">
        <v>231.32</v>
      </c>
    </row>
    <row r="183" spans="1:17" ht="11.1" customHeight="1" x14ac:dyDescent="0.25">
      <c r="L183" s="59" t="s">
        <v>436</v>
      </c>
      <c r="M183" s="62">
        <v>231.32</v>
      </c>
      <c r="N183" s="63">
        <v>0</v>
      </c>
      <c r="O183" s="62">
        <v>0</v>
      </c>
      <c r="P183" s="61">
        <v>0</v>
      </c>
      <c r="Q183" s="62">
        <v>0</v>
      </c>
    </row>
    <row r="184" spans="1:17" ht="11.1" customHeight="1" x14ac:dyDescent="0.25">
      <c r="A184" s="56">
        <v>27010</v>
      </c>
      <c r="B184" s="57">
        <v>46049</v>
      </c>
      <c r="C184" s="58" t="s">
        <v>450</v>
      </c>
      <c r="D184" s="59" t="s">
        <v>352</v>
      </c>
      <c r="E184" s="56">
        <v>36</v>
      </c>
      <c r="F184" s="56">
        <v>688</v>
      </c>
      <c r="G184" s="59" t="s">
        <v>448</v>
      </c>
      <c r="H184" s="60">
        <v>1556</v>
      </c>
      <c r="I184" s="56">
        <v>12</v>
      </c>
      <c r="J184" s="59" t="s">
        <v>26</v>
      </c>
      <c r="K184" s="61">
        <v>1142.44</v>
      </c>
      <c r="L184" s="59" t="s">
        <v>75</v>
      </c>
      <c r="M184" s="62">
        <v>0</v>
      </c>
      <c r="N184" s="63">
        <v>0</v>
      </c>
      <c r="O184" s="62">
        <v>0</v>
      </c>
      <c r="P184" s="61">
        <v>0</v>
      </c>
      <c r="Q184" s="62">
        <v>0</v>
      </c>
    </row>
    <row r="185" spans="1:17" ht="11.1" customHeight="1" x14ac:dyDescent="0.25">
      <c r="A185" s="56">
        <v>27011</v>
      </c>
      <c r="B185" s="57">
        <v>46051</v>
      </c>
      <c r="C185" s="58" t="s">
        <v>451</v>
      </c>
      <c r="D185" s="59" t="s">
        <v>352</v>
      </c>
      <c r="E185" s="56">
        <v>36</v>
      </c>
      <c r="F185" s="56">
        <v>688</v>
      </c>
      <c r="G185" s="59" t="s">
        <v>448</v>
      </c>
      <c r="H185" s="60">
        <v>1556</v>
      </c>
      <c r="I185" s="56">
        <v>12</v>
      </c>
      <c r="J185" s="59" t="s">
        <v>26</v>
      </c>
      <c r="K185" s="61">
        <v>544.62</v>
      </c>
      <c r="L185" s="59" t="s">
        <v>75</v>
      </c>
      <c r="M185" s="62">
        <v>0</v>
      </c>
      <c r="N185" s="63">
        <v>0</v>
      </c>
      <c r="O185" s="62">
        <v>0</v>
      </c>
      <c r="P185" s="61">
        <v>0</v>
      </c>
      <c r="Q185" s="62">
        <v>0</v>
      </c>
    </row>
    <row r="186" spans="1:17" ht="11.1" customHeight="1" x14ac:dyDescent="0.25">
      <c r="A186" s="15" t="s">
        <v>348</v>
      </c>
      <c r="B186" s="15"/>
      <c r="C186" s="15"/>
      <c r="D186" s="15"/>
      <c r="E186" s="15"/>
      <c r="F186" s="15"/>
      <c r="G186" s="15"/>
      <c r="H186" s="15"/>
      <c r="I186" s="15"/>
    </row>
    <row r="187" spans="1:17" ht="11.1" customHeight="1" x14ac:dyDescent="0.25">
      <c r="K187" s="61">
        <v>4599.7700000000004</v>
      </c>
      <c r="L187" s="59" t="s">
        <v>313</v>
      </c>
      <c r="M187" s="62">
        <v>0</v>
      </c>
      <c r="O187" s="62">
        <v>0</v>
      </c>
      <c r="P187" s="61">
        <v>0</v>
      </c>
      <c r="Q187" s="62">
        <v>1417.51</v>
      </c>
    </row>
    <row r="188" spans="1:17" ht="11.1" customHeight="1" x14ac:dyDescent="0.25">
      <c r="L188" s="59" t="s">
        <v>436</v>
      </c>
      <c r="M188" s="62">
        <v>1417.51</v>
      </c>
      <c r="O188" s="62">
        <v>0</v>
      </c>
      <c r="P188" s="61">
        <v>0</v>
      </c>
      <c r="Q188" s="62">
        <v>0</v>
      </c>
    </row>
    <row r="189" spans="1:17" ht="11.1" customHeight="1" x14ac:dyDescent="0.25">
      <c r="A189" s="56">
        <v>26872</v>
      </c>
      <c r="B189" s="57">
        <v>46045</v>
      </c>
      <c r="C189" s="58" t="s">
        <v>452</v>
      </c>
      <c r="D189" s="59" t="s">
        <v>352</v>
      </c>
      <c r="E189" s="56">
        <v>36</v>
      </c>
      <c r="F189" s="56">
        <v>1078</v>
      </c>
      <c r="G189" s="59" t="s">
        <v>453</v>
      </c>
      <c r="H189" s="60">
        <v>1411</v>
      </c>
      <c r="I189" s="56">
        <v>40</v>
      </c>
      <c r="J189" s="59" t="s">
        <v>26</v>
      </c>
      <c r="K189" s="61">
        <v>1789.29</v>
      </c>
      <c r="L189" s="59" t="s">
        <v>313</v>
      </c>
      <c r="M189" s="62">
        <v>1672.24</v>
      </c>
      <c r="N189" s="63">
        <v>20</v>
      </c>
      <c r="O189" s="62">
        <v>334.45</v>
      </c>
      <c r="P189" s="61">
        <v>0</v>
      </c>
      <c r="Q189" s="62">
        <v>117.05</v>
      </c>
    </row>
    <row r="190" spans="1:17" ht="11.1" customHeight="1" x14ac:dyDescent="0.25">
      <c r="L190" s="59" t="s">
        <v>436</v>
      </c>
      <c r="M190" s="62">
        <v>2257.52</v>
      </c>
      <c r="N190" s="63">
        <v>20</v>
      </c>
      <c r="O190" s="62">
        <v>117.05</v>
      </c>
      <c r="P190" s="61">
        <v>0</v>
      </c>
      <c r="Q190" s="62">
        <v>0</v>
      </c>
    </row>
    <row r="191" spans="1:17" ht="11.1" customHeight="1" x14ac:dyDescent="0.25">
      <c r="A191" s="15" t="s">
        <v>348</v>
      </c>
      <c r="B191" s="15"/>
      <c r="C191" s="15"/>
      <c r="D191" s="15"/>
      <c r="E191" s="15"/>
      <c r="F191" s="15"/>
      <c r="G191" s="15"/>
      <c r="H191" s="15"/>
      <c r="I191" s="15"/>
    </row>
    <row r="192" spans="1:17" ht="11.1" customHeight="1" x14ac:dyDescent="0.25">
      <c r="K192" s="61">
        <v>1789.29</v>
      </c>
      <c r="L192" s="59" t="s">
        <v>313</v>
      </c>
      <c r="M192" s="62">
        <v>1672.24</v>
      </c>
      <c r="O192" s="62">
        <v>334.45</v>
      </c>
      <c r="P192" s="61">
        <v>0</v>
      </c>
      <c r="Q192" s="62">
        <v>117.05</v>
      </c>
    </row>
    <row r="193" spans="1:17" ht="11.1" customHeight="1" x14ac:dyDescent="0.25">
      <c r="L193" s="59" t="s">
        <v>436</v>
      </c>
      <c r="M193" s="62">
        <v>2257.52</v>
      </c>
      <c r="O193" s="62">
        <v>117.05</v>
      </c>
      <c r="P193" s="61">
        <v>0</v>
      </c>
      <c r="Q193" s="62">
        <v>0</v>
      </c>
    </row>
    <row r="194" spans="1:17" ht="11.1" customHeight="1" x14ac:dyDescent="0.25">
      <c r="A194" s="56">
        <v>26874</v>
      </c>
      <c r="B194" s="57">
        <v>46048</v>
      </c>
      <c r="C194" s="58" t="s">
        <v>454</v>
      </c>
      <c r="D194" s="59" t="s">
        <v>352</v>
      </c>
      <c r="E194" s="56">
        <v>36</v>
      </c>
      <c r="F194" s="56">
        <v>773</v>
      </c>
      <c r="G194" s="59" t="s">
        <v>455</v>
      </c>
      <c r="H194" s="60">
        <v>2202</v>
      </c>
      <c r="I194" s="56">
        <v>38</v>
      </c>
      <c r="J194" s="59" t="s">
        <v>34</v>
      </c>
      <c r="K194" s="61">
        <v>797.8</v>
      </c>
      <c r="L194" s="59" t="s">
        <v>313</v>
      </c>
      <c r="M194" s="62">
        <v>797.8</v>
      </c>
      <c r="N194" s="63">
        <v>12</v>
      </c>
      <c r="O194" s="62">
        <v>95.74</v>
      </c>
      <c r="P194" s="61">
        <v>0</v>
      </c>
      <c r="Q194" s="62">
        <v>0</v>
      </c>
    </row>
    <row r="195" spans="1:17" ht="11.1" customHeight="1" x14ac:dyDescent="0.25">
      <c r="A195" s="15" t="s">
        <v>348</v>
      </c>
      <c r="B195" s="15"/>
      <c r="C195" s="15"/>
      <c r="D195" s="15"/>
      <c r="E195" s="15"/>
      <c r="F195" s="15"/>
      <c r="G195" s="15"/>
      <c r="H195" s="15"/>
      <c r="I195" s="15"/>
    </row>
    <row r="196" spans="1:17" ht="11.1" customHeight="1" x14ac:dyDescent="0.25">
      <c r="K196" s="61">
        <v>797.8</v>
      </c>
      <c r="L196" s="59" t="s">
        <v>313</v>
      </c>
      <c r="M196" s="62">
        <v>797.8</v>
      </c>
      <c r="O196" s="62">
        <v>95.74</v>
      </c>
      <c r="P196" s="61">
        <v>0</v>
      </c>
      <c r="Q196" s="62">
        <v>0</v>
      </c>
    </row>
    <row r="197" spans="1:17" ht="11.1" customHeight="1" x14ac:dyDescent="0.25">
      <c r="A197" s="56">
        <v>28917</v>
      </c>
      <c r="B197" s="57">
        <v>46053</v>
      </c>
      <c r="C197" s="58" t="s">
        <v>456</v>
      </c>
      <c r="D197" s="59" t="s">
        <v>75</v>
      </c>
      <c r="E197" s="56">
        <v>39</v>
      </c>
      <c r="F197" s="56">
        <v>1281</v>
      </c>
      <c r="G197" s="59" t="s">
        <v>457</v>
      </c>
      <c r="H197" s="60">
        <v>1933</v>
      </c>
      <c r="I197" s="56">
        <v>29</v>
      </c>
      <c r="J197" s="59" t="s">
        <v>26</v>
      </c>
      <c r="K197" s="61">
        <v>1237.5</v>
      </c>
      <c r="L197" s="59" t="s">
        <v>75</v>
      </c>
      <c r="M197" s="62">
        <v>0</v>
      </c>
      <c r="N197" s="63">
        <v>0</v>
      </c>
      <c r="O197" s="62">
        <v>0</v>
      </c>
      <c r="P197" s="61">
        <v>0</v>
      </c>
      <c r="Q197" s="62">
        <v>0</v>
      </c>
    </row>
    <row r="198" spans="1:17" ht="11.1" customHeight="1" x14ac:dyDescent="0.25">
      <c r="A198" s="15" t="s">
        <v>348</v>
      </c>
      <c r="B198" s="15"/>
      <c r="C198" s="15"/>
      <c r="D198" s="15"/>
      <c r="E198" s="15"/>
      <c r="F198" s="15"/>
      <c r="G198" s="15"/>
      <c r="H198" s="15"/>
      <c r="I198" s="15"/>
    </row>
    <row r="199" spans="1:17" ht="11.1" customHeight="1" x14ac:dyDescent="0.25">
      <c r="K199" s="61">
        <v>1237.5</v>
      </c>
      <c r="L199" s="59" t="s">
        <v>75</v>
      </c>
      <c r="M199" s="62">
        <v>0</v>
      </c>
      <c r="O199" s="62">
        <v>0</v>
      </c>
      <c r="P199" s="61">
        <v>0</v>
      </c>
      <c r="Q199" s="62">
        <v>0</v>
      </c>
    </row>
    <row r="200" spans="1:17" ht="11.1" customHeight="1" x14ac:dyDescent="0.25">
      <c r="A200" s="56">
        <v>26924</v>
      </c>
      <c r="B200" s="57">
        <v>46028</v>
      </c>
      <c r="C200" s="58" t="s">
        <v>458</v>
      </c>
      <c r="D200" s="59" t="s">
        <v>352</v>
      </c>
      <c r="E200" s="56">
        <v>36</v>
      </c>
      <c r="F200" s="56">
        <v>896</v>
      </c>
      <c r="G200" s="59" t="s">
        <v>459</v>
      </c>
      <c r="H200" s="60">
        <v>2102</v>
      </c>
      <c r="I200" s="56">
        <v>6</v>
      </c>
      <c r="J200" s="59" t="s">
        <v>50</v>
      </c>
      <c r="K200" s="61">
        <v>25552.02</v>
      </c>
      <c r="L200" s="59" t="s">
        <v>313</v>
      </c>
      <c r="M200" s="62">
        <v>24747.72</v>
      </c>
      <c r="N200" s="63">
        <v>4</v>
      </c>
      <c r="O200" s="62">
        <v>989.91</v>
      </c>
      <c r="P200" s="61">
        <v>0</v>
      </c>
      <c r="Q200" s="62">
        <v>804.3</v>
      </c>
    </row>
    <row r="201" spans="1:17" ht="11.1" customHeight="1" x14ac:dyDescent="0.25">
      <c r="A201" s="15" t="s">
        <v>348</v>
      </c>
      <c r="B201" s="15"/>
      <c r="C201" s="15"/>
      <c r="D201" s="15"/>
      <c r="E201" s="15"/>
      <c r="F201" s="15"/>
      <c r="G201" s="15"/>
      <c r="H201" s="15"/>
      <c r="I201" s="15"/>
    </row>
    <row r="202" spans="1:17" ht="11.1" customHeight="1" x14ac:dyDescent="0.25">
      <c r="K202" s="61">
        <v>25552.02</v>
      </c>
      <c r="L202" s="59" t="s">
        <v>313</v>
      </c>
      <c r="M202" s="62">
        <v>24747.72</v>
      </c>
      <c r="O202" s="62">
        <v>989.91</v>
      </c>
      <c r="P202" s="61">
        <v>0</v>
      </c>
      <c r="Q202" s="62">
        <v>804.3</v>
      </c>
    </row>
    <row r="203" spans="1:17" ht="11.1" customHeight="1" x14ac:dyDescent="0.25">
      <c r="A203" s="56">
        <v>26997</v>
      </c>
      <c r="B203" s="57">
        <v>46048</v>
      </c>
      <c r="C203" s="58" t="s">
        <v>460</v>
      </c>
      <c r="D203" s="59" t="s">
        <v>352</v>
      </c>
      <c r="E203" s="56">
        <v>36</v>
      </c>
      <c r="F203" s="56">
        <v>1169</v>
      </c>
      <c r="G203" s="59" t="s">
        <v>461</v>
      </c>
      <c r="H203" s="60">
        <v>2102</v>
      </c>
      <c r="I203" s="56">
        <v>6</v>
      </c>
      <c r="J203" s="59" t="s">
        <v>34</v>
      </c>
      <c r="K203" s="61">
        <v>22976.46</v>
      </c>
      <c r="L203" s="59" t="s">
        <v>313</v>
      </c>
      <c r="M203" s="62">
        <v>0</v>
      </c>
      <c r="N203" s="63">
        <v>0</v>
      </c>
      <c r="O203" s="62">
        <v>0</v>
      </c>
      <c r="P203" s="61">
        <v>0</v>
      </c>
      <c r="Q203" s="62">
        <v>22976.46</v>
      </c>
    </row>
    <row r="204" spans="1:17" ht="11.1" customHeight="1" x14ac:dyDescent="0.25">
      <c r="A204" s="15" t="s">
        <v>348</v>
      </c>
      <c r="B204" s="15"/>
      <c r="C204" s="15"/>
      <c r="D204" s="15"/>
      <c r="E204" s="15"/>
      <c r="F204" s="15"/>
      <c r="G204" s="15"/>
      <c r="H204" s="15"/>
      <c r="I204" s="15"/>
    </row>
    <row r="205" spans="1:17" ht="11.1" customHeight="1" x14ac:dyDescent="0.25">
      <c r="K205" s="61">
        <v>22976.46</v>
      </c>
      <c r="L205" s="59" t="s">
        <v>313</v>
      </c>
      <c r="M205" s="62">
        <v>0</v>
      </c>
      <c r="O205" s="62">
        <v>0</v>
      </c>
      <c r="P205" s="61">
        <v>0</v>
      </c>
      <c r="Q205" s="62">
        <v>22976.46</v>
      </c>
    </row>
    <row r="206" spans="1:17" ht="11.1" customHeight="1" x14ac:dyDescent="0.25">
      <c r="A206" s="56">
        <v>27018</v>
      </c>
      <c r="B206" s="57">
        <v>46036</v>
      </c>
      <c r="C206" s="58" t="s">
        <v>462</v>
      </c>
      <c r="D206" s="59" t="s">
        <v>352</v>
      </c>
      <c r="E206" s="56">
        <v>36</v>
      </c>
      <c r="F206" s="56">
        <v>575</v>
      </c>
      <c r="G206" s="59" t="s">
        <v>463</v>
      </c>
      <c r="H206" s="60">
        <v>1202</v>
      </c>
      <c r="I206" s="56">
        <v>38</v>
      </c>
      <c r="J206" s="59" t="s">
        <v>26</v>
      </c>
      <c r="K206" s="61">
        <v>275.89</v>
      </c>
      <c r="L206" s="59" t="s">
        <v>313</v>
      </c>
      <c r="M206" s="62">
        <v>0</v>
      </c>
      <c r="N206" s="63">
        <v>0</v>
      </c>
      <c r="O206" s="62">
        <v>0</v>
      </c>
      <c r="P206" s="61">
        <v>0</v>
      </c>
      <c r="Q206" s="62">
        <v>275.89</v>
      </c>
    </row>
    <row r="207" spans="1:17" ht="11.1" customHeight="1" x14ac:dyDescent="0.25">
      <c r="A207" s="56">
        <v>27019</v>
      </c>
      <c r="B207" s="57">
        <v>46037</v>
      </c>
      <c r="C207" s="58" t="s">
        <v>464</v>
      </c>
      <c r="D207" s="59" t="s">
        <v>352</v>
      </c>
      <c r="E207" s="56">
        <v>36</v>
      </c>
      <c r="F207" s="56">
        <v>575</v>
      </c>
      <c r="G207" s="59" t="s">
        <v>463</v>
      </c>
      <c r="H207" s="60">
        <v>1202</v>
      </c>
      <c r="I207" s="56">
        <v>38</v>
      </c>
      <c r="J207" s="59" t="s">
        <v>26</v>
      </c>
      <c r="K207" s="61">
        <v>23.33</v>
      </c>
      <c r="L207" s="59" t="s">
        <v>313</v>
      </c>
      <c r="M207" s="62">
        <v>23.33</v>
      </c>
      <c r="N207" s="63">
        <v>20</v>
      </c>
      <c r="O207" s="62">
        <v>4.67</v>
      </c>
      <c r="P207" s="61">
        <v>0</v>
      </c>
      <c r="Q207" s="62">
        <v>0</v>
      </c>
    </row>
    <row r="208" spans="1:17" ht="11.1" customHeight="1" x14ac:dyDescent="0.25">
      <c r="A208" s="56">
        <v>27020</v>
      </c>
      <c r="B208" s="57">
        <v>46048</v>
      </c>
      <c r="C208" s="58" t="s">
        <v>465</v>
      </c>
      <c r="D208" s="59" t="s">
        <v>352</v>
      </c>
      <c r="E208" s="56">
        <v>36</v>
      </c>
      <c r="F208" s="56">
        <v>575</v>
      </c>
      <c r="G208" s="59" t="s">
        <v>463</v>
      </c>
      <c r="H208" s="60">
        <v>1202</v>
      </c>
      <c r="I208" s="56">
        <v>38</v>
      </c>
      <c r="J208" s="59" t="s">
        <v>26</v>
      </c>
      <c r="K208" s="61">
        <v>324.36</v>
      </c>
      <c r="L208" s="59" t="s">
        <v>313</v>
      </c>
      <c r="M208" s="62">
        <v>0</v>
      </c>
      <c r="N208" s="63">
        <v>0</v>
      </c>
      <c r="O208" s="62">
        <v>0</v>
      </c>
      <c r="P208" s="61">
        <v>0</v>
      </c>
      <c r="Q208" s="62">
        <v>324.36</v>
      </c>
    </row>
    <row r="209" spans="1:17" ht="11.1" customHeight="1" x14ac:dyDescent="0.25">
      <c r="A209" s="15" t="s">
        <v>348</v>
      </c>
      <c r="B209" s="15"/>
      <c r="C209" s="15"/>
      <c r="D209" s="15"/>
      <c r="E209" s="15"/>
      <c r="F209" s="15"/>
      <c r="G209" s="15"/>
      <c r="H209" s="15"/>
      <c r="I209" s="15"/>
    </row>
    <row r="210" spans="1:17" ht="11.1" customHeight="1" x14ac:dyDescent="0.25">
      <c r="K210" s="61">
        <v>623.58000000000004</v>
      </c>
      <c r="L210" s="59" t="s">
        <v>313</v>
      </c>
      <c r="M210" s="62">
        <v>23.33</v>
      </c>
      <c r="O210" s="62">
        <v>4.67</v>
      </c>
      <c r="P210" s="61">
        <v>0</v>
      </c>
      <c r="Q210" s="62">
        <v>600.25</v>
      </c>
    </row>
    <row r="211" spans="1:17" ht="11.1" customHeight="1" x14ac:dyDescent="0.25">
      <c r="A211" s="56">
        <v>27016</v>
      </c>
      <c r="B211" s="57">
        <v>46036</v>
      </c>
      <c r="C211" s="58" t="s">
        <v>466</v>
      </c>
      <c r="D211" s="59" t="s">
        <v>352</v>
      </c>
      <c r="E211" s="56">
        <v>36</v>
      </c>
      <c r="F211" s="56">
        <v>798</v>
      </c>
      <c r="G211" s="59" t="s">
        <v>467</v>
      </c>
      <c r="H211" s="60">
        <v>1949</v>
      </c>
      <c r="I211" s="56">
        <v>64</v>
      </c>
      <c r="J211" s="59" t="s">
        <v>26</v>
      </c>
      <c r="K211" s="61">
        <v>203.4</v>
      </c>
      <c r="L211" s="59" t="s">
        <v>313</v>
      </c>
      <c r="M211" s="62">
        <v>0</v>
      </c>
      <c r="N211" s="63">
        <v>0</v>
      </c>
      <c r="O211" s="62">
        <v>0</v>
      </c>
      <c r="P211" s="61">
        <v>0</v>
      </c>
      <c r="Q211" s="62">
        <v>203.4</v>
      </c>
    </row>
    <row r="212" spans="1:17" ht="11.1" customHeight="1" x14ac:dyDescent="0.25">
      <c r="A212" s="15" t="s">
        <v>348</v>
      </c>
      <c r="B212" s="15"/>
      <c r="C212" s="15"/>
      <c r="D212" s="15"/>
      <c r="E212" s="15"/>
      <c r="F212" s="15"/>
      <c r="G212" s="15"/>
      <c r="H212" s="15"/>
      <c r="I212" s="15"/>
    </row>
    <row r="213" spans="1:17" ht="11.1" customHeight="1" x14ac:dyDescent="0.25">
      <c r="K213" s="61">
        <v>203.4</v>
      </c>
      <c r="L213" s="59" t="s">
        <v>313</v>
      </c>
      <c r="M213" s="62">
        <v>0</v>
      </c>
      <c r="O213" s="62">
        <v>0</v>
      </c>
      <c r="P213" s="61">
        <v>0</v>
      </c>
      <c r="Q213" s="62">
        <v>203.4</v>
      </c>
    </row>
    <row r="214" spans="1:17" ht="11.1" customHeight="1" x14ac:dyDescent="0.25">
      <c r="A214" s="56">
        <v>26880</v>
      </c>
      <c r="B214" s="57">
        <v>46038</v>
      </c>
      <c r="C214" s="58" t="s">
        <v>468</v>
      </c>
      <c r="D214" s="59" t="s">
        <v>352</v>
      </c>
      <c r="E214" s="56">
        <v>36</v>
      </c>
      <c r="F214" s="56">
        <v>698</v>
      </c>
      <c r="G214" s="59" t="s">
        <v>469</v>
      </c>
      <c r="H214" s="60">
        <v>2102</v>
      </c>
      <c r="I214" s="56">
        <v>6</v>
      </c>
      <c r="J214" s="59" t="s">
        <v>32</v>
      </c>
      <c r="K214" s="61">
        <v>22410.61</v>
      </c>
      <c r="L214" s="59" t="s">
        <v>313</v>
      </c>
      <c r="M214" s="62">
        <v>1648.56</v>
      </c>
      <c r="N214" s="63">
        <v>4</v>
      </c>
      <c r="O214" s="62">
        <v>65.95</v>
      </c>
      <c r="P214" s="61">
        <v>0</v>
      </c>
      <c r="Q214" s="62">
        <v>45.74</v>
      </c>
    </row>
    <row r="215" spans="1:17" ht="11.1" customHeight="1" x14ac:dyDescent="0.25">
      <c r="L215" s="59" t="s">
        <v>313</v>
      </c>
      <c r="M215" s="62">
        <v>19817.990000000002</v>
      </c>
      <c r="N215" s="63">
        <v>12</v>
      </c>
      <c r="O215" s="62">
        <v>2378.16</v>
      </c>
      <c r="P215" s="61">
        <v>0</v>
      </c>
      <c r="Q215" s="62">
        <v>898.32</v>
      </c>
    </row>
    <row r="216" spans="1:17" ht="11.1" customHeight="1" x14ac:dyDescent="0.25">
      <c r="A216" s="15" t="s">
        <v>348</v>
      </c>
      <c r="B216" s="15"/>
      <c r="C216" s="15"/>
      <c r="D216" s="15"/>
      <c r="E216" s="15"/>
      <c r="F216" s="15"/>
      <c r="G216" s="15"/>
      <c r="H216" s="15"/>
      <c r="I216" s="15"/>
    </row>
    <row r="217" spans="1:17" ht="11.1" customHeight="1" x14ac:dyDescent="0.25">
      <c r="K217" s="61">
        <v>22410.61</v>
      </c>
      <c r="L217" s="59" t="s">
        <v>313</v>
      </c>
      <c r="M217" s="62">
        <v>21466.55</v>
      </c>
      <c r="O217" s="62">
        <v>2444.11</v>
      </c>
      <c r="P217" s="61">
        <v>0</v>
      </c>
      <c r="Q217" s="62">
        <v>944.06</v>
      </c>
    </row>
    <row r="218" spans="1:17" ht="11.1" customHeight="1" x14ac:dyDescent="0.25">
      <c r="A218" s="56">
        <v>28469</v>
      </c>
      <c r="B218" s="57">
        <v>46053</v>
      </c>
      <c r="C218" s="58" t="s">
        <v>470</v>
      </c>
      <c r="D218" s="59" t="s">
        <v>75</v>
      </c>
      <c r="E218" s="56">
        <v>39</v>
      </c>
      <c r="F218" s="56">
        <v>1242</v>
      </c>
      <c r="G218" s="59" t="s">
        <v>471</v>
      </c>
      <c r="H218" s="60">
        <v>2933</v>
      </c>
      <c r="I218" s="56">
        <v>29</v>
      </c>
      <c r="J218" s="59" t="s">
        <v>50</v>
      </c>
      <c r="K218" s="61">
        <v>2010.22</v>
      </c>
      <c r="L218" s="59" t="s">
        <v>358</v>
      </c>
      <c r="M218" s="62">
        <v>2010.22</v>
      </c>
      <c r="N218" s="63">
        <v>2.9</v>
      </c>
      <c r="O218" s="62">
        <v>58.29</v>
      </c>
      <c r="P218" s="61">
        <v>0</v>
      </c>
      <c r="Q218" s="62">
        <v>0</v>
      </c>
    </row>
    <row r="219" spans="1:17" ht="11.1" customHeight="1" x14ac:dyDescent="0.25">
      <c r="A219" s="15" t="s">
        <v>348</v>
      </c>
      <c r="B219" s="15"/>
      <c r="C219" s="15"/>
      <c r="D219" s="15"/>
      <c r="E219" s="15"/>
      <c r="F219" s="15"/>
      <c r="G219" s="15"/>
      <c r="H219" s="15"/>
      <c r="I219" s="15"/>
    </row>
    <row r="220" spans="1:17" ht="11.1" customHeight="1" x14ac:dyDescent="0.25">
      <c r="K220" s="61">
        <v>2010.22</v>
      </c>
      <c r="L220" s="59" t="s">
        <v>358</v>
      </c>
      <c r="M220" s="62">
        <v>2010.22</v>
      </c>
      <c r="O220" s="62">
        <v>58.29</v>
      </c>
      <c r="P220" s="61">
        <v>0</v>
      </c>
      <c r="Q220" s="62">
        <v>0</v>
      </c>
    </row>
    <row r="221" spans="1:17" ht="11.1" customHeight="1" x14ac:dyDescent="0.25">
      <c r="A221" s="56">
        <v>27000</v>
      </c>
      <c r="B221" s="57">
        <v>46027</v>
      </c>
      <c r="C221" s="58" t="s">
        <v>472</v>
      </c>
      <c r="D221" s="59" t="s">
        <v>473</v>
      </c>
      <c r="E221" s="56">
        <v>36</v>
      </c>
      <c r="F221" s="56">
        <v>766</v>
      </c>
      <c r="G221" s="59" t="s">
        <v>474</v>
      </c>
      <c r="H221" s="60">
        <v>1407</v>
      </c>
      <c r="I221" s="56">
        <v>14</v>
      </c>
      <c r="J221" s="59" t="s">
        <v>26</v>
      </c>
      <c r="K221" s="61">
        <v>103.8</v>
      </c>
      <c r="L221" s="59" t="s">
        <v>313</v>
      </c>
      <c r="M221" s="62">
        <v>0</v>
      </c>
      <c r="N221" s="63">
        <v>0</v>
      </c>
      <c r="O221" s="62">
        <v>0</v>
      </c>
      <c r="P221" s="61">
        <v>0</v>
      </c>
      <c r="Q221" s="62">
        <v>103.8</v>
      </c>
    </row>
    <row r="222" spans="1:17" ht="11.1" customHeight="1" x14ac:dyDescent="0.25">
      <c r="L222" s="59" t="s">
        <v>436</v>
      </c>
      <c r="M222" s="62">
        <v>103.8</v>
      </c>
      <c r="N222" s="63">
        <v>0</v>
      </c>
      <c r="O222" s="62">
        <v>0</v>
      </c>
      <c r="P222" s="61">
        <v>0</v>
      </c>
      <c r="Q222" s="62">
        <v>0</v>
      </c>
    </row>
    <row r="223" spans="1:17" ht="11.1" customHeight="1" x14ac:dyDescent="0.25">
      <c r="A223" s="15" t="s">
        <v>296</v>
      </c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</row>
    <row r="224" spans="1:17" ht="11.1" customHeight="1" x14ac:dyDescent="0.25">
      <c r="A224" s="10" t="s">
        <v>184</v>
      </c>
      <c r="B224" s="10" t="s">
        <v>297</v>
      </c>
      <c r="C224" s="10" t="s">
        <v>298</v>
      </c>
      <c r="D224" s="55" t="s">
        <v>299</v>
      </c>
      <c r="E224" s="10" t="s">
        <v>300</v>
      </c>
      <c r="F224" s="10" t="s">
        <v>184</v>
      </c>
      <c r="G224" s="55" t="s">
        <v>301</v>
      </c>
      <c r="H224" s="10" t="s">
        <v>302</v>
      </c>
      <c r="I224" s="10" t="s">
        <v>303</v>
      </c>
      <c r="J224" s="55" t="s">
        <v>24</v>
      </c>
      <c r="K224" s="15" t="s">
        <v>304</v>
      </c>
      <c r="L224" s="55" t="s">
        <v>305</v>
      </c>
      <c r="M224" s="10" t="s">
        <v>306</v>
      </c>
      <c r="N224" s="10" t="s">
        <v>307</v>
      </c>
      <c r="O224" s="10" t="s">
        <v>73</v>
      </c>
      <c r="P224" s="15" t="s">
        <v>308</v>
      </c>
      <c r="Q224" s="10" t="s">
        <v>309</v>
      </c>
    </row>
    <row r="225" spans="1:17" ht="11.1" customHeight="1" x14ac:dyDescent="0.25">
      <c r="A225" s="15" t="s">
        <v>348</v>
      </c>
      <c r="B225" s="15"/>
      <c r="C225" s="15"/>
      <c r="D225" s="15"/>
      <c r="E225" s="15"/>
      <c r="F225" s="15"/>
      <c r="G225" s="15"/>
      <c r="H225" s="15"/>
      <c r="I225" s="15"/>
    </row>
    <row r="226" spans="1:17" ht="11.1" customHeight="1" x14ac:dyDescent="0.25">
      <c r="K226" s="61">
        <v>103.8</v>
      </c>
      <c r="L226" s="59" t="s">
        <v>313</v>
      </c>
      <c r="M226" s="62">
        <v>0</v>
      </c>
      <c r="O226" s="62">
        <v>0</v>
      </c>
      <c r="P226" s="61">
        <v>0</v>
      </c>
      <c r="Q226" s="62">
        <v>103.8</v>
      </c>
    </row>
    <row r="227" spans="1:17" ht="11.1" customHeight="1" x14ac:dyDescent="0.25">
      <c r="L227" s="59" t="s">
        <v>436</v>
      </c>
      <c r="M227" s="62">
        <v>103.8</v>
      </c>
      <c r="O227" s="62">
        <v>0</v>
      </c>
      <c r="P227" s="61">
        <v>0</v>
      </c>
      <c r="Q227" s="62">
        <v>0</v>
      </c>
    </row>
    <row r="228" spans="1:17" ht="11.1" customHeight="1" x14ac:dyDescent="0.25">
      <c r="A228" s="56">
        <v>27001</v>
      </c>
      <c r="B228" s="57">
        <v>46027</v>
      </c>
      <c r="C228" s="58" t="s">
        <v>475</v>
      </c>
      <c r="D228" s="59" t="s">
        <v>476</v>
      </c>
      <c r="E228" s="56">
        <v>36</v>
      </c>
      <c r="F228" s="56">
        <v>603</v>
      </c>
      <c r="G228" s="59" t="s">
        <v>477</v>
      </c>
      <c r="H228" s="60">
        <v>1556</v>
      </c>
      <c r="I228" s="56">
        <v>12</v>
      </c>
      <c r="J228" s="59" t="s">
        <v>26</v>
      </c>
      <c r="K228" s="61">
        <v>399</v>
      </c>
      <c r="L228" s="59" t="s">
        <v>75</v>
      </c>
      <c r="M228" s="62">
        <v>0</v>
      </c>
      <c r="N228" s="63">
        <v>0</v>
      </c>
      <c r="O228" s="62">
        <v>0</v>
      </c>
      <c r="P228" s="61">
        <v>0</v>
      </c>
      <c r="Q228" s="62">
        <v>0</v>
      </c>
    </row>
    <row r="229" spans="1:17" ht="11.1" customHeight="1" x14ac:dyDescent="0.25">
      <c r="A229" s="56">
        <v>27002</v>
      </c>
      <c r="B229" s="57">
        <v>46034</v>
      </c>
      <c r="C229" s="58" t="s">
        <v>478</v>
      </c>
      <c r="D229" s="59" t="s">
        <v>476</v>
      </c>
      <c r="E229" s="56">
        <v>36</v>
      </c>
      <c r="F229" s="56">
        <v>603</v>
      </c>
      <c r="G229" s="59" t="s">
        <v>477</v>
      </c>
      <c r="H229" s="60">
        <v>1556</v>
      </c>
      <c r="I229" s="56">
        <v>12</v>
      </c>
      <c r="J229" s="59" t="s">
        <v>26</v>
      </c>
      <c r="K229" s="61">
        <v>264</v>
      </c>
      <c r="L229" s="59" t="s">
        <v>75</v>
      </c>
      <c r="M229" s="62">
        <v>0</v>
      </c>
      <c r="N229" s="63">
        <v>0</v>
      </c>
      <c r="O229" s="62">
        <v>0</v>
      </c>
      <c r="P229" s="61">
        <v>0</v>
      </c>
      <c r="Q229" s="62">
        <v>0</v>
      </c>
    </row>
    <row r="230" spans="1:17" ht="11.1" customHeight="1" x14ac:dyDescent="0.25">
      <c r="A230" s="15" t="s">
        <v>348</v>
      </c>
      <c r="B230" s="15"/>
      <c r="C230" s="15"/>
      <c r="D230" s="15"/>
      <c r="E230" s="15"/>
      <c r="F230" s="15"/>
      <c r="G230" s="15"/>
      <c r="H230" s="15"/>
      <c r="I230" s="15"/>
    </row>
    <row r="231" spans="1:17" ht="11.1" customHeight="1" x14ac:dyDescent="0.25">
      <c r="K231" s="61">
        <v>663</v>
      </c>
      <c r="L231" s="59" t="s">
        <v>75</v>
      </c>
      <c r="M231" s="62">
        <v>0</v>
      </c>
      <c r="O231" s="62">
        <v>0</v>
      </c>
      <c r="P231" s="61">
        <v>0</v>
      </c>
      <c r="Q231" s="62">
        <v>0</v>
      </c>
    </row>
    <row r="232" spans="1:17" ht="11.1" customHeight="1" x14ac:dyDescent="0.25">
      <c r="A232" s="56">
        <v>27014</v>
      </c>
      <c r="B232" s="57">
        <v>46032</v>
      </c>
      <c r="C232" s="58" t="s">
        <v>479</v>
      </c>
      <c r="D232" s="59" t="s">
        <v>480</v>
      </c>
      <c r="E232" s="56">
        <v>36</v>
      </c>
      <c r="F232" s="56">
        <v>759</v>
      </c>
      <c r="G232" s="59" t="s">
        <v>481</v>
      </c>
      <c r="H232" s="60">
        <v>1556</v>
      </c>
      <c r="I232" s="56">
        <v>12</v>
      </c>
      <c r="J232" s="59" t="s">
        <v>26</v>
      </c>
      <c r="K232" s="61">
        <v>27.22</v>
      </c>
      <c r="L232" s="59" t="s">
        <v>75</v>
      </c>
      <c r="M232" s="62">
        <v>0</v>
      </c>
      <c r="N232" s="63">
        <v>0</v>
      </c>
      <c r="O232" s="62">
        <v>0</v>
      </c>
      <c r="P232" s="61">
        <v>0</v>
      </c>
      <c r="Q232" s="62">
        <v>0</v>
      </c>
    </row>
    <row r="233" spans="1:17" ht="11.1" customHeight="1" x14ac:dyDescent="0.25">
      <c r="A233" s="56">
        <v>27015</v>
      </c>
      <c r="B233" s="57">
        <v>46032</v>
      </c>
      <c r="C233" s="58" t="s">
        <v>479</v>
      </c>
      <c r="D233" s="59" t="s">
        <v>480</v>
      </c>
      <c r="E233" s="56">
        <v>36</v>
      </c>
      <c r="F233" s="56">
        <v>759</v>
      </c>
      <c r="G233" s="59" t="s">
        <v>481</v>
      </c>
      <c r="H233" s="60">
        <v>1407</v>
      </c>
      <c r="I233" s="56">
        <v>14</v>
      </c>
      <c r="J233" s="59" t="s">
        <v>26</v>
      </c>
      <c r="K233" s="61">
        <v>127.78</v>
      </c>
      <c r="L233" s="59" t="s">
        <v>313</v>
      </c>
      <c r="M233" s="62">
        <v>0</v>
      </c>
      <c r="N233" s="63">
        <v>0</v>
      </c>
      <c r="O233" s="62">
        <v>0</v>
      </c>
      <c r="P233" s="61">
        <v>0</v>
      </c>
      <c r="Q233" s="62">
        <v>127.78</v>
      </c>
    </row>
    <row r="234" spans="1:17" ht="11.1" customHeight="1" x14ac:dyDescent="0.25">
      <c r="A234" s="15" t="s">
        <v>348</v>
      </c>
      <c r="B234" s="15"/>
      <c r="C234" s="15"/>
      <c r="D234" s="15"/>
      <c r="E234" s="15"/>
      <c r="F234" s="15"/>
      <c r="G234" s="15"/>
      <c r="H234" s="15"/>
      <c r="I234" s="15"/>
    </row>
    <row r="235" spans="1:17" ht="11.1" customHeight="1" x14ac:dyDescent="0.25">
      <c r="K235" s="61">
        <v>155</v>
      </c>
      <c r="L235" s="59" t="s">
        <v>313</v>
      </c>
      <c r="M235" s="62">
        <v>0</v>
      </c>
      <c r="O235" s="62">
        <v>0</v>
      </c>
      <c r="P235" s="61">
        <v>0</v>
      </c>
      <c r="Q235" s="62">
        <v>127.78</v>
      </c>
    </row>
    <row r="236" spans="1:17" ht="11.1" customHeight="1" x14ac:dyDescent="0.25">
      <c r="A236" s="56">
        <v>26993</v>
      </c>
      <c r="B236" s="57">
        <v>46034</v>
      </c>
      <c r="C236" s="58" t="s">
        <v>482</v>
      </c>
      <c r="D236" s="59" t="s">
        <v>352</v>
      </c>
      <c r="E236" s="56">
        <v>36</v>
      </c>
      <c r="F236" s="56">
        <v>637</v>
      </c>
      <c r="G236" s="59" t="s">
        <v>483</v>
      </c>
      <c r="H236" s="60">
        <v>2102</v>
      </c>
      <c r="I236" s="56">
        <v>6</v>
      </c>
      <c r="J236" s="59" t="s">
        <v>41</v>
      </c>
      <c r="K236" s="61">
        <v>2136.39</v>
      </c>
      <c r="L236" s="59" t="s">
        <v>313</v>
      </c>
      <c r="M236" s="62">
        <v>2006</v>
      </c>
      <c r="N236" s="63">
        <v>7</v>
      </c>
      <c r="O236" s="62">
        <v>140.41999999999999</v>
      </c>
      <c r="P236" s="61">
        <v>0</v>
      </c>
      <c r="Q236" s="62">
        <v>130.38999999999999</v>
      </c>
    </row>
    <row r="237" spans="1:17" ht="11.1" customHeight="1" x14ac:dyDescent="0.25">
      <c r="A237" s="15" t="s">
        <v>348</v>
      </c>
      <c r="B237" s="15"/>
      <c r="C237" s="15"/>
      <c r="D237" s="15"/>
      <c r="E237" s="15"/>
      <c r="F237" s="15"/>
      <c r="G237" s="15"/>
      <c r="H237" s="15"/>
      <c r="I237" s="15"/>
    </row>
    <row r="238" spans="1:17" ht="11.1" customHeight="1" x14ac:dyDescent="0.25">
      <c r="K238" s="61">
        <v>2136.39</v>
      </c>
      <c r="L238" s="59" t="s">
        <v>313</v>
      </c>
      <c r="M238" s="62">
        <v>2006</v>
      </c>
      <c r="O238" s="62">
        <v>140.41999999999999</v>
      </c>
      <c r="P238" s="61">
        <v>0</v>
      </c>
      <c r="Q238" s="62">
        <v>130.38999999999999</v>
      </c>
    </row>
    <row r="239" spans="1:17" ht="11.1" customHeight="1" x14ac:dyDescent="0.25">
      <c r="A239" s="56">
        <v>27025</v>
      </c>
      <c r="B239" s="57">
        <v>46028</v>
      </c>
      <c r="C239" s="58" t="s">
        <v>484</v>
      </c>
      <c r="D239" s="59" t="s">
        <v>352</v>
      </c>
      <c r="E239" s="56">
        <v>36</v>
      </c>
      <c r="F239" s="56">
        <v>958</v>
      </c>
      <c r="G239" s="59" t="s">
        <v>485</v>
      </c>
      <c r="H239" s="60">
        <v>1556</v>
      </c>
      <c r="I239" s="56">
        <v>12</v>
      </c>
      <c r="J239" s="59" t="s">
        <v>26</v>
      </c>
      <c r="K239" s="61">
        <v>196</v>
      </c>
      <c r="L239" s="59" t="s">
        <v>75</v>
      </c>
      <c r="M239" s="62">
        <v>0</v>
      </c>
      <c r="N239" s="63">
        <v>0</v>
      </c>
      <c r="O239" s="62">
        <v>0</v>
      </c>
      <c r="P239" s="61">
        <v>0</v>
      </c>
      <c r="Q239" s="62">
        <v>0</v>
      </c>
    </row>
    <row r="240" spans="1:17" ht="11.1" customHeight="1" x14ac:dyDescent="0.25">
      <c r="A240" s="15" t="s">
        <v>348</v>
      </c>
      <c r="B240" s="15"/>
      <c r="C240" s="15"/>
      <c r="D240" s="15"/>
      <c r="E240" s="15"/>
      <c r="F240" s="15"/>
      <c r="G240" s="15"/>
      <c r="H240" s="15"/>
      <c r="I240" s="15"/>
    </row>
    <row r="241" spans="1:17" ht="11.1" customHeight="1" x14ac:dyDescent="0.25">
      <c r="K241" s="61">
        <v>196</v>
      </c>
      <c r="L241" s="59" t="s">
        <v>75</v>
      </c>
      <c r="M241" s="62">
        <v>0</v>
      </c>
      <c r="O241" s="62">
        <v>0</v>
      </c>
      <c r="P241" s="61">
        <v>0</v>
      </c>
      <c r="Q241" s="62">
        <v>0</v>
      </c>
    </row>
    <row r="242" spans="1:17" ht="11.1" customHeight="1" x14ac:dyDescent="0.25">
      <c r="A242" s="56">
        <v>26923</v>
      </c>
      <c r="B242" s="57">
        <v>46030</v>
      </c>
      <c r="C242" s="58" t="s">
        <v>486</v>
      </c>
      <c r="D242" s="59" t="s">
        <v>352</v>
      </c>
      <c r="E242" s="56">
        <v>36</v>
      </c>
      <c r="F242" s="56">
        <v>1052</v>
      </c>
      <c r="G242" s="59" t="s">
        <v>487</v>
      </c>
      <c r="H242" s="60">
        <v>2102</v>
      </c>
      <c r="I242" s="56">
        <v>6</v>
      </c>
      <c r="J242" s="59" t="s">
        <v>50</v>
      </c>
      <c r="K242" s="61">
        <v>2650.01</v>
      </c>
      <c r="L242" s="59" t="s">
        <v>313</v>
      </c>
      <c r="M242" s="62">
        <v>2650.01</v>
      </c>
      <c r="N242" s="63">
        <v>4</v>
      </c>
      <c r="O242" s="62">
        <v>106</v>
      </c>
      <c r="P242" s="61">
        <v>0</v>
      </c>
      <c r="Q242" s="62">
        <v>0</v>
      </c>
    </row>
    <row r="243" spans="1:17" ht="11.1" customHeight="1" x14ac:dyDescent="0.25">
      <c r="A243" s="15" t="s">
        <v>348</v>
      </c>
      <c r="B243" s="15"/>
      <c r="C243" s="15"/>
      <c r="D243" s="15"/>
      <c r="E243" s="15"/>
      <c r="F243" s="15"/>
      <c r="G243" s="15"/>
      <c r="H243" s="15"/>
      <c r="I243" s="15"/>
    </row>
    <row r="244" spans="1:17" ht="11.1" customHeight="1" x14ac:dyDescent="0.25">
      <c r="K244" s="61">
        <v>2650.01</v>
      </c>
      <c r="L244" s="59" t="s">
        <v>313</v>
      </c>
      <c r="M244" s="62">
        <v>2650.01</v>
      </c>
      <c r="O244" s="62">
        <v>106</v>
      </c>
      <c r="P244" s="61">
        <v>0</v>
      </c>
      <c r="Q244" s="62">
        <v>0</v>
      </c>
    </row>
    <row r="245" spans="1:17" ht="11.1" customHeight="1" x14ac:dyDescent="0.25">
      <c r="A245" s="56">
        <v>26996</v>
      </c>
      <c r="B245" s="57">
        <v>46044</v>
      </c>
      <c r="C245" s="58" t="s">
        <v>480</v>
      </c>
      <c r="D245" s="59" t="s">
        <v>352</v>
      </c>
      <c r="E245" s="56">
        <v>36</v>
      </c>
      <c r="F245" s="56">
        <v>1168</v>
      </c>
      <c r="G245" s="59" t="s">
        <v>488</v>
      </c>
      <c r="H245" s="60">
        <v>2556</v>
      </c>
      <c r="I245" s="56">
        <v>12</v>
      </c>
      <c r="J245" s="59" t="s">
        <v>34</v>
      </c>
      <c r="K245" s="61">
        <v>720.06</v>
      </c>
      <c r="L245" s="59" t="s">
        <v>75</v>
      </c>
      <c r="M245" s="62">
        <v>0</v>
      </c>
      <c r="N245" s="63">
        <v>0</v>
      </c>
      <c r="O245" s="62">
        <v>0</v>
      </c>
      <c r="P245" s="61">
        <v>0</v>
      </c>
      <c r="Q245" s="62">
        <v>0</v>
      </c>
    </row>
    <row r="246" spans="1:17" ht="11.1" customHeight="1" x14ac:dyDescent="0.25">
      <c r="A246" s="15" t="s">
        <v>348</v>
      </c>
      <c r="B246" s="15"/>
      <c r="C246" s="15"/>
      <c r="D246" s="15"/>
      <c r="E246" s="15"/>
      <c r="F246" s="15"/>
      <c r="G246" s="15"/>
      <c r="H246" s="15"/>
      <c r="I246" s="15"/>
    </row>
    <row r="247" spans="1:17" ht="11.1" customHeight="1" x14ac:dyDescent="0.25">
      <c r="K247" s="61">
        <v>720.06</v>
      </c>
      <c r="L247" s="59" t="s">
        <v>75</v>
      </c>
      <c r="M247" s="62">
        <v>0</v>
      </c>
      <c r="O247" s="62">
        <v>0</v>
      </c>
      <c r="P247" s="61">
        <v>0</v>
      </c>
      <c r="Q247" s="62">
        <v>0</v>
      </c>
    </row>
    <row r="248" spans="1:17" ht="11.1" customHeight="1" x14ac:dyDescent="0.25">
      <c r="A248" s="56">
        <v>26871</v>
      </c>
      <c r="B248" s="57">
        <v>46044</v>
      </c>
      <c r="C248" s="58" t="s">
        <v>489</v>
      </c>
      <c r="D248" s="59" t="s">
        <v>352</v>
      </c>
      <c r="E248" s="56">
        <v>36</v>
      </c>
      <c r="F248" s="56">
        <v>1167</v>
      </c>
      <c r="G248" s="59" t="s">
        <v>490</v>
      </c>
      <c r="H248" s="60">
        <v>1202</v>
      </c>
      <c r="I248" s="56">
        <v>38</v>
      </c>
      <c r="J248" s="59" t="s">
        <v>26</v>
      </c>
      <c r="K248" s="61">
        <v>2660.4</v>
      </c>
      <c r="L248" s="59" t="s">
        <v>313</v>
      </c>
      <c r="M248" s="62">
        <v>2660.4</v>
      </c>
      <c r="N248" s="63">
        <v>20</v>
      </c>
      <c r="O248" s="62">
        <v>532.08000000000004</v>
      </c>
      <c r="P248" s="61">
        <v>0</v>
      </c>
      <c r="Q248" s="62">
        <v>0</v>
      </c>
    </row>
    <row r="249" spans="1:17" ht="11.1" customHeight="1" x14ac:dyDescent="0.25">
      <c r="A249" s="15" t="s">
        <v>348</v>
      </c>
      <c r="B249" s="15"/>
      <c r="C249" s="15"/>
      <c r="D249" s="15"/>
      <c r="E249" s="15"/>
      <c r="F249" s="15"/>
      <c r="G249" s="15"/>
      <c r="H249" s="15"/>
      <c r="I249" s="15"/>
    </row>
    <row r="250" spans="1:17" ht="11.1" customHeight="1" x14ac:dyDescent="0.25">
      <c r="K250" s="61">
        <v>2660.4</v>
      </c>
      <c r="L250" s="59" t="s">
        <v>313</v>
      </c>
      <c r="M250" s="62">
        <v>2660.4</v>
      </c>
      <c r="O250" s="62">
        <v>532.08000000000004</v>
      </c>
      <c r="P250" s="61">
        <v>0</v>
      </c>
      <c r="Q250" s="62">
        <v>0</v>
      </c>
    </row>
    <row r="251" spans="1:17" ht="11.1" customHeight="1" x14ac:dyDescent="0.25">
      <c r="A251" s="56">
        <v>26864</v>
      </c>
      <c r="B251" s="57">
        <v>46038</v>
      </c>
      <c r="C251" s="58" t="s">
        <v>491</v>
      </c>
      <c r="D251" s="59" t="s">
        <v>352</v>
      </c>
      <c r="E251" s="56">
        <v>36</v>
      </c>
      <c r="F251" s="56">
        <v>1122</v>
      </c>
      <c r="G251" s="59" t="s">
        <v>492</v>
      </c>
      <c r="H251" s="60">
        <v>1411</v>
      </c>
      <c r="I251" s="56">
        <v>40</v>
      </c>
      <c r="J251" s="59" t="s">
        <v>26</v>
      </c>
      <c r="K251" s="61">
        <v>959.4</v>
      </c>
      <c r="L251" s="59" t="s">
        <v>313</v>
      </c>
      <c r="M251" s="62">
        <v>959.4</v>
      </c>
      <c r="N251" s="63">
        <v>20</v>
      </c>
      <c r="O251" s="62">
        <v>191.88</v>
      </c>
      <c r="P251" s="61">
        <v>0</v>
      </c>
      <c r="Q251" s="62">
        <v>0</v>
      </c>
    </row>
    <row r="252" spans="1:17" ht="11.1" customHeight="1" x14ac:dyDescent="0.25">
      <c r="A252" s="15" t="s">
        <v>348</v>
      </c>
      <c r="B252" s="15"/>
      <c r="C252" s="15"/>
      <c r="D252" s="15"/>
      <c r="E252" s="15"/>
      <c r="F252" s="15"/>
      <c r="G252" s="15"/>
      <c r="H252" s="15"/>
      <c r="I252" s="15"/>
    </row>
    <row r="253" spans="1:17" ht="11.1" customHeight="1" x14ac:dyDescent="0.25">
      <c r="K253" s="61">
        <v>959.4</v>
      </c>
      <c r="L253" s="59" t="s">
        <v>313</v>
      </c>
      <c r="M253" s="62">
        <v>959.4</v>
      </c>
      <c r="O253" s="62">
        <v>191.88</v>
      </c>
      <c r="P253" s="61">
        <v>0</v>
      </c>
      <c r="Q253" s="62">
        <v>0</v>
      </c>
    </row>
    <row r="254" spans="1:17" ht="11.1" customHeight="1" x14ac:dyDescent="0.25">
      <c r="A254" s="56">
        <v>26995</v>
      </c>
      <c r="B254" s="57">
        <v>46038</v>
      </c>
      <c r="C254" s="58" t="s">
        <v>493</v>
      </c>
      <c r="D254" s="59" t="s">
        <v>352</v>
      </c>
      <c r="E254" s="56">
        <v>36</v>
      </c>
      <c r="F254" s="56">
        <v>905</v>
      </c>
      <c r="G254" s="59" t="s">
        <v>494</v>
      </c>
      <c r="H254" s="60">
        <v>2102</v>
      </c>
      <c r="I254" s="56">
        <v>6</v>
      </c>
      <c r="J254" s="59" t="s">
        <v>34</v>
      </c>
      <c r="K254" s="61">
        <v>12588.86</v>
      </c>
      <c r="L254" s="59" t="s">
        <v>313</v>
      </c>
      <c r="M254" s="62">
        <v>12548.3</v>
      </c>
      <c r="N254" s="63">
        <v>12</v>
      </c>
      <c r="O254" s="62">
        <v>1505.8</v>
      </c>
      <c r="P254" s="61">
        <v>0</v>
      </c>
      <c r="Q254" s="62">
        <v>40.56</v>
      </c>
    </row>
    <row r="255" spans="1:17" ht="11.1" customHeight="1" x14ac:dyDescent="0.25">
      <c r="A255" s="15" t="s">
        <v>348</v>
      </c>
      <c r="B255" s="15"/>
      <c r="C255" s="15"/>
      <c r="D255" s="15"/>
      <c r="E255" s="15"/>
      <c r="F255" s="15"/>
      <c r="G255" s="15"/>
      <c r="H255" s="15"/>
      <c r="I255" s="15"/>
    </row>
    <row r="256" spans="1:17" ht="11.1" customHeight="1" x14ac:dyDescent="0.25">
      <c r="K256" s="61">
        <v>12588.86</v>
      </c>
      <c r="L256" s="59" t="s">
        <v>313</v>
      </c>
      <c r="M256" s="62">
        <v>12548.3</v>
      </c>
      <c r="O256" s="62">
        <v>1505.8</v>
      </c>
      <c r="P256" s="61">
        <v>0</v>
      </c>
      <c r="Q256" s="62">
        <v>40.56</v>
      </c>
    </row>
    <row r="257" spans="1:17" ht="11.1" customHeight="1" x14ac:dyDescent="0.25">
      <c r="A257" s="56">
        <v>26987</v>
      </c>
      <c r="B257" s="57">
        <v>46049</v>
      </c>
      <c r="C257" s="58" t="s">
        <v>495</v>
      </c>
      <c r="D257" s="59" t="s">
        <v>352</v>
      </c>
      <c r="E257" s="56">
        <v>36</v>
      </c>
      <c r="F257" s="56">
        <v>824</v>
      </c>
      <c r="G257" s="59" t="s">
        <v>496</v>
      </c>
      <c r="H257" s="60">
        <v>2102</v>
      </c>
      <c r="I257" s="56">
        <v>6</v>
      </c>
      <c r="J257" s="59" t="s">
        <v>50</v>
      </c>
      <c r="K257" s="61">
        <v>3047.99</v>
      </c>
      <c r="L257" s="59" t="s">
        <v>313</v>
      </c>
      <c r="M257" s="62">
        <v>2952.05</v>
      </c>
      <c r="N257" s="63">
        <v>7</v>
      </c>
      <c r="O257" s="62">
        <v>206.64</v>
      </c>
      <c r="P257" s="61">
        <v>0</v>
      </c>
      <c r="Q257" s="62">
        <v>95.94</v>
      </c>
    </row>
    <row r="258" spans="1:17" ht="11.1" customHeight="1" x14ac:dyDescent="0.25">
      <c r="A258" s="15" t="s">
        <v>348</v>
      </c>
      <c r="B258" s="15"/>
      <c r="C258" s="15"/>
      <c r="D258" s="15"/>
      <c r="E258" s="15"/>
      <c r="F258" s="15"/>
      <c r="G258" s="15"/>
      <c r="H258" s="15"/>
      <c r="I258" s="15"/>
    </row>
    <row r="259" spans="1:17" ht="11.1" customHeight="1" x14ac:dyDescent="0.25">
      <c r="K259" s="61">
        <v>3047.99</v>
      </c>
      <c r="L259" s="59" t="s">
        <v>313</v>
      </c>
      <c r="M259" s="62">
        <v>2952.05</v>
      </c>
      <c r="O259" s="62">
        <v>206.64</v>
      </c>
      <c r="P259" s="61">
        <v>0</v>
      </c>
      <c r="Q259" s="62">
        <v>95.94</v>
      </c>
    </row>
    <row r="260" spans="1:17" ht="11.1" customHeight="1" x14ac:dyDescent="0.25">
      <c r="A260" s="56">
        <v>27027</v>
      </c>
      <c r="B260" s="57">
        <v>46045</v>
      </c>
      <c r="C260" s="58" t="s">
        <v>497</v>
      </c>
      <c r="D260" s="59" t="s">
        <v>352</v>
      </c>
      <c r="E260" s="56">
        <v>36</v>
      </c>
      <c r="F260" s="56">
        <v>577</v>
      </c>
      <c r="G260" s="59" t="s">
        <v>498</v>
      </c>
      <c r="H260" s="60">
        <v>1403</v>
      </c>
      <c r="I260" s="56">
        <v>8</v>
      </c>
      <c r="J260" s="59" t="s">
        <v>26</v>
      </c>
      <c r="K260" s="61">
        <v>0</v>
      </c>
      <c r="L260" s="59" t="s">
        <v>313</v>
      </c>
      <c r="M260" s="62">
        <v>0</v>
      </c>
      <c r="N260" s="63">
        <v>0</v>
      </c>
      <c r="O260" s="62">
        <v>0</v>
      </c>
      <c r="P260" s="61">
        <v>0</v>
      </c>
      <c r="Q260" s="62">
        <v>0</v>
      </c>
    </row>
    <row r="261" spans="1:17" ht="11.1" customHeight="1" x14ac:dyDescent="0.25">
      <c r="A261" s="15" t="s">
        <v>348</v>
      </c>
      <c r="B261" s="15"/>
      <c r="C261" s="15"/>
      <c r="D261" s="15"/>
      <c r="E261" s="15"/>
      <c r="F261" s="15"/>
      <c r="G261" s="15"/>
      <c r="H261" s="15"/>
      <c r="I261" s="15"/>
    </row>
    <row r="262" spans="1:17" ht="11.1" customHeight="1" x14ac:dyDescent="0.25">
      <c r="K262" s="61">
        <v>0</v>
      </c>
      <c r="L262" s="59" t="s">
        <v>313</v>
      </c>
      <c r="M262" s="62">
        <v>0</v>
      </c>
      <c r="O262" s="62">
        <v>0</v>
      </c>
      <c r="P262" s="61">
        <v>0</v>
      </c>
      <c r="Q262" s="62">
        <v>0</v>
      </c>
    </row>
    <row r="263" spans="1:17" ht="11.1" customHeight="1" x14ac:dyDescent="0.25">
      <c r="A263" s="56">
        <v>28485</v>
      </c>
      <c r="B263" s="57">
        <v>46038</v>
      </c>
      <c r="C263" s="58" t="s">
        <v>499</v>
      </c>
      <c r="D263" s="59" t="s">
        <v>75</v>
      </c>
      <c r="E263" s="56">
        <v>39</v>
      </c>
      <c r="F263" s="56">
        <v>1244</v>
      </c>
      <c r="G263" s="59" t="s">
        <v>500</v>
      </c>
      <c r="H263" s="60">
        <v>2933</v>
      </c>
      <c r="I263" s="56">
        <v>29</v>
      </c>
      <c r="J263" s="59" t="s">
        <v>46</v>
      </c>
      <c r="K263" s="61">
        <v>274.5</v>
      </c>
      <c r="L263" s="59" t="s">
        <v>358</v>
      </c>
      <c r="M263" s="62">
        <v>274.5</v>
      </c>
      <c r="N263" s="63">
        <v>5</v>
      </c>
      <c r="O263" s="62">
        <v>13.72</v>
      </c>
      <c r="P263" s="61">
        <v>0</v>
      </c>
      <c r="Q263" s="62">
        <v>0</v>
      </c>
    </row>
    <row r="264" spans="1:17" ht="11.1" customHeight="1" x14ac:dyDescent="0.25">
      <c r="A264" s="15" t="s">
        <v>348</v>
      </c>
      <c r="B264" s="15"/>
      <c r="C264" s="15"/>
      <c r="D264" s="15"/>
      <c r="E264" s="15"/>
      <c r="F264" s="15"/>
      <c r="G264" s="15"/>
      <c r="H264" s="15"/>
      <c r="I264" s="15"/>
    </row>
    <row r="265" spans="1:17" ht="11.1" customHeight="1" x14ac:dyDescent="0.25">
      <c r="K265" s="61">
        <v>274.5</v>
      </c>
      <c r="L265" s="59" t="s">
        <v>358</v>
      </c>
      <c r="M265" s="62">
        <v>274.5</v>
      </c>
      <c r="O265" s="62">
        <v>13.72</v>
      </c>
      <c r="P265" s="61">
        <v>0</v>
      </c>
      <c r="Q265" s="62">
        <v>0</v>
      </c>
    </row>
    <row r="266" spans="1:17" ht="11.1" customHeight="1" x14ac:dyDescent="0.25">
      <c r="A266" s="56">
        <v>26868</v>
      </c>
      <c r="B266" s="57">
        <v>46041</v>
      </c>
      <c r="C266" s="58" t="s">
        <v>501</v>
      </c>
      <c r="D266" s="59" t="s">
        <v>352</v>
      </c>
      <c r="E266" s="56">
        <v>36</v>
      </c>
      <c r="F266" s="56">
        <v>1166</v>
      </c>
      <c r="G266" s="59" t="s">
        <v>502</v>
      </c>
      <c r="H266" s="60">
        <v>2202</v>
      </c>
      <c r="I266" s="56">
        <v>38</v>
      </c>
      <c r="J266" s="59" t="s">
        <v>34</v>
      </c>
      <c r="K266" s="61">
        <v>1972.5</v>
      </c>
      <c r="L266" s="59" t="s">
        <v>313</v>
      </c>
      <c r="M266" s="62">
        <v>1972.5</v>
      </c>
      <c r="N266" s="63">
        <v>12</v>
      </c>
      <c r="O266" s="62">
        <v>236.7</v>
      </c>
      <c r="P266" s="61">
        <v>0</v>
      </c>
      <c r="Q266" s="62">
        <v>0</v>
      </c>
    </row>
    <row r="267" spans="1:17" ht="11.1" customHeight="1" x14ac:dyDescent="0.25">
      <c r="A267" s="15" t="s">
        <v>348</v>
      </c>
      <c r="B267" s="15"/>
      <c r="C267" s="15"/>
      <c r="D267" s="15"/>
      <c r="E267" s="15"/>
      <c r="F267" s="15"/>
      <c r="G267" s="15"/>
      <c r="H267" s="15"/>
      <c r="I267" s="15"/>
    </row>
    <row r="268" spans="1:17" ht="11.1" customHeight="1" x14ac:dyDescent="0.25">
      <c r="K268" s="61">
        <v>1972.5</v>
      </c>
      <c r="L268" s="59" t="s">
        <v>313</v>
      </c>
      <c r="M268" s="62">
        <v>1972.5</v>
      </c>
      <c r="O268" s="62">
        <v>236.7</v>
      </c>
      <c r="P268" s="61">
        <v>0</v>
      </c>
      <c r="Q268" s="62">
        <v>0</v>
      </c>
    </row>
    <row r="269" spans="1:17" ht="11.1" customHeight="1" x14ac:dyDescent="0.25">
      <c r="A269" s="56">
        <v>28407</v>
      </c>
      <c r="B269" s="57">
        <v>46036</v>
      </c>
      <c r="C269" s="58" t="s">
        <v>503</v>
      </c>
      <c r="D269" s="59" t="s">
        <v>75</v>
      </c>
      <c r="E269" s="56">
        <v>39</v>
      </c>
      <c r="F269" s="56">
        <v>1240</v>
      </c>
      <c r="G269" s="59" t="s">
        <v>504</v>
      </c>
      <c r="H269" s="60">
        <v>2933</v>
      </c>
      <c r="I269" s="56">
        <v>29</v>
      </c>
      <c r="J269" s="59" t="s">
        <v>50</v>
      </c>
      <c r="K269" s="61">
        <v>2759.39</v>
      </c>
      <c r="L269" s="59" t="s">
        <v>358</v>
      </c>
      <c r="M269" s="62">
        <v>2759.39</v>
      </c>
      <c r="N269" s="63">
        <v>2</v>
      </c>
      <c r="O269" s="62">
        <v>55.19</v>
      </c>
      <c r="P269" s="61">
        <v>0</v>
      </c>
      <c r="Q269" s="62">
        <v>0</v>
      </c>
    </row>
    <row r="270" spans="1:17" ht="11.1" customHeight="1" x14ac:dyDescent="0.25">
      <c r="L270" s="59" t="s">
        <v>440</v>
      </c>
      <c r="M270" s="62">
        <v>2759.39</v>
      </c>
      <c r="N270" s="63">
        <v>1.5</v>
      </c>
      <c r="O270" s="62">
        <v>41.39</v>
      </c>
      <c r="P270" s="61">
        <v>0</v>
      </c>
      <c r="Q270" s="62">
        <v>0</v>
      </c>
    </row>
    <row r="271" spans="1:17" ht="11.1" customHeight="1" x14ac:dyDescent="0.25">
      <c r="A271" s="15" t="s">
        <v>296</v>
      </c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</row>
    <row r="272" spans="1:17" ht="11.1" customHeight="1" x14ac:dyDescent="0.25">
      <c r="A272" s="10" t="s">
        <v>184</v>
      </c>
      <c r="B272" s="10" t="s">
        <v>297</v>
      </c>
      <c r="C272" s="10" t="s">
        <v>298</v>
      </c>
      <c r="D272" s="55" t="s">
        <v>299</v>
      </c>
      <c r="E272" s="10" t="s">
        <v>300</v>
      </c>
      <c r="F272" s="10" t="s">
        <v>184</v>
      </c>
      <c r="G272" s="55" t="s">
        <v>301</v>
      </c>
      <c r="H272" s="10" t="s">
        <v>302</v>
      </c>
      <c r="I272" s="10" t="s">
        <v>303</v>
      </c>
      <c r="J272" s="55" t="s">
        <v>24</v>
      </c>
      <c r="K272" s="15" t="s">
        <v>304</v>
      </c>
      <c r="L272" s="55" t="s">
        <v>305</v>
      </c>
      <c r="M272" s="10" t="s">
        <v>306</v>
      </c>
      <c r="N272" s="10" t="s">
        <v>307</v>
      </c>
      <c r="O272" s="10" t="s">
        <v>73</v>
      </c>
      <c r="P272" s="15" t="s">
        <v>308</v>
      </c>
      <c r="Q272" s="10" t="s">
        <v>309</v>
      </c>
    </row>
    <row r="273" spans="1:17" ht="11.1" customHeight="1" x14ac:dyDescent="0.25">
      <c r="A273" s="15" t="s">
        <v>348</v>
      </c>
      <c r="B273" s="15"/>
      <c r="C273" s="15"/>
      <c r="D273" s="15"/>
      <c r="E273" s="15"/>
      <c r="F273" s="15"/>
      <c r="G273" s="15"/>
      <c r="H273" s="15"/>
      <c r="I273" s="15"/>
    </row>
    <row r="274" spans="1:17" ht="11.1" customHeight="1" x14ac:dyDescent="0.25">
      <c r="K274" s="61">
        <v>2759.39</v>
      </c>
      <c r="L274" s="59" t="s">
        <v>358</v>
      </c>
      <c r="M274" s="62">
        <v>2759.39</v>
      </c>
      <c r="O274" s="62">
        <v>55.19</v>
      </c>
      <c r="P274" s="61">
        <v>0</v>
      </c>
      <c r="Q274" s="62">
        <v>0</v>
      </c>
    </row>
    <row r="275" spans="1:17" ht="11.1" customHeight="1" x14ac:dyDescent="0.25">
      <c r="L275" s="59" t="s">
        <v>440</v>
      </c>
      <c r="M275" s="62">
        <v>2759.39</v>
      </c>
      <c r="O275" s="62">
        <v>41.39</v>
      </c>
      <c r="P275" s="61">
        <v>0</v>
      </c>
      <c r="Q275" s="62">
        <v>0</v>
      </c>
    </row>
    <row r="276" spans="1:17" ht="11.1" customHeight="1" x14ac:dyDescent="0.25">
      <c r="A276" s="56">
        <v>28630</v>
      </c>
      <c r="B276" s="57">
        <v>46027</v>
      </c>
      <c r="C276" s="58" t="s">
        <v>505</v>
      </c>
      <c r="D276" s="59" t="s">
        <v>75</v>
      </c>
      <c r="E276" s="56">
        <v>39</v>
      </c>
      <c r="F276" s="56">
        <v>1264</v>
      </c>
      <c r="G276" s="59" t="s">
        <v>506</v>
      </c>
      <c r="H276" s="60">
        <v>1933</v>
      </c>
      <c r="I276" s="56">
        <v>29</v>
      </c>
      <c r="J276" s="59" t="s">
        <v>26</v>
      </c>
      <c r="K276" s="61">
        <v>1600</v>
      </c>
      <c r="L276" s="59" t="s">
        <v>75</v>
      </c>
      <c r="M276" s="62">
        <v>0</v>
      </c>
      <c r="N276" s="63">
        <v>0</v>
      </c>
      <c r="O276" s="62">
        <v>0</v>
      </c>
      <c r="P276" s="61">
        <v>0</v>
      </c>
      <c r="Q276" s="62">
        <v>0</v>
      </c>
    </row>
    <row r="277" spans="1:17" ht="11.1" customHeight="1" x14ac:dyDescent="0.25">
      <c r="A277" s="15" t="s">
        <v>348</v>
      </c>
      <c r="B277" s="15"/>
      <c r="C277" s="15"/>
      <c r="D277" s="15"/>
      <c r="E277" s="15"/>
      <c r="F277" s="15"/>
      <c r="G277" s="15"/>
      <c r="H277" s="15"/>
      <c r="I277" s="15"/>
    </row>
    <row r="278" spans="1:17" ht="11.1" customHeight="1" x14ac:dyDescent="0.25">
      <c r="K278" s="61">
        <v>1600</v>
      </c>
      <c r="L278" s="59" t="s">
        <v>75</v>
      </c>
      <c r="M278" s="62">
        <v>0</v>
      </c>
      <c r="O278" s="62">
        <v>0</v>
      </c>
      <c r="P278" s="61">
        <v>0</v>
      </c>
      <c r="Q278" s="62">
        <v>0</v>
      </c>
    </row>
    <row r="279" spans="1:17" ht="11.1" customHeight="1" x14ac:dyDescent="0.25">
      <c r="A279" s="56">
        <v>27017</v>
      </c>
      <c r="B279" s="57">
        <v>46049</v>
      </c>
      <c r="C279" s="58" t="s">
        <v>507</v>
      </c>
      <c r="D279" s="59" t="s">
        <v>352</v>
      </c>
      <c r="E279" s="56">
        <v>36</v>
      </c>
      <c r="F279" s="56">
        <v>1120</v>
      </c>
      <c r="G279" s="59" t="s">
        <v>508</v>
      </c>
      <c r="H279" s="60">
        <v>1102</v>
      </c>
      <c r="I279" s="56">
        <v>6</v>
      </c>
      <c r="J279" s="59" t="s">
        <v>26</v>
      </c>
      <c r="K279" s="61">
        <v>3784.24</v>
      </c>
      <c r="L279" s="59" t="s">
        <v>313</v>
      </c>
      <c r="M279" s="62">
        <v>2687.39</v>
      </c>
      <c r="N279" s="63">
        <v>12</v>
      </c>
      <c r="O279" s="62">
        <v>322.49</v>
      </c>
      <c r="P279" s="61">
        <v>0</v>
      </c>
      <c r="Q279" s="62">
        <v>537.61</v>
      </c>
    </row>
    <row r="280" spans="1:17" ht="11.1" customHeight="1" x14ac:dyDescent="0.25">
      <c r="L280" s="59" t="s">
        <v>313</v>
      </c>
      <c r="M280" s="62">
        <v>559.24</v>
      </c>
      <c r="N280" s="63">
        <v>20</v>
      </c>
      <c r="O280" s="62">
        <v>111.84</v>
      </c>
      <c r="P280" s="61">
        <v>0</v>
      </c>
      <c r="Q280" s="62">
        <v>0</v>
      </c>
    </row>
    <row r="281" spans="1:17" ht="11.1" customHeight="1" x14ac:dyDescent="0.25">
      <c r="A281" s="15" t="s">
        <v>348</v>
      </c>
      <c r="B281" s="15"/>
      <c r="C281" s="15"/>
      <c r="D281" s="15"/>
      <c r="E281" s="15"/>
      <c r="F281" s="15"/>
      <c r="G281" s="15"/>
      <c r="H281" s="15"/>
      <c r="I281" s="15"/>
    </row>
    <row r="282" spans="1:17" ht="11.1" customHeight="1" x14ac:dyDescent="0.25">
      <c r="K282" s="61">
        <v>3784.24</v>
      </c>
      <c r="L282" s="59" t="s">
        <v>313</v>
      </c>
      <c r="M282" s="62">
        <v>3246.63</v>
      </c>
      <c r="O282" s="62">
        <v>434.33</v>
      </c>
      <c r="P282" s="61">
        <v>0</v>
      </c>
      <c r="Q282" s="62">
        <v>537.61</v>
      </c>
    </row>
    <row r="283" spans="1:17" ht="11.1" customHeight="1" x14ac:dyDescent="0.25">
      <c r="A283" s="56">
        <v>26991</v>
      </c>
      <c r="B283" s="57">
        <v>46036</v>
      </c>
      <c r="C283" s="58" t="s">
        <v>509</v>
      </c>
      <c r="D283" s="59" t="s">
        <v>352</v>
      </c>
      <c r="E283" s="56">
        <v>36</v>
      </c>
      <c r="F283" s="56">
        <v>871</v>
      </c>
      <c r="G283" s="59" t="s">
        <v>510</v>
      </c>
      <c r="H283" s="60">
        <v>2102</v>
      </c>
      <c r="I283" s="56">
        <v>6</v>
      </c>
      <c r="J283" s="59" t="s">
        <v>41</v>
      </c>
      <c r="K283" s="61">
        <v>37159.68</v>
      </c>
      <c r="L283" s="59" t="s">
        <v>313</v>
      </c>
      <c r="M283" s="62">
        <v>35990</v>
      </c>
      <c r="N283" s="63">
        <v>7</v>
      </c>
      <c r="O283" s="62">
        <v>2519.3000000000002</v>
      </c>
      <c r="P283" s="61">
        <v>0</v>
      </c>
      <c r="Q283" s="62">
        <v>1169.68</v>
      </c>
    </row>
    <row r="284" spans="1:17" ht="11.1" customHeight="1" x14ac:dyDescent="0.25">
      <c r="A284" s="56">
        <v>26992</v>
      </c>
      <c r="B284" s="57">
        <v>46036</v>
      </c>
      <c r="C284" s="58" t="s">
        <v>511</v>
      </c>
      <c r="D284" s="59" t="s">
        <v>352</v>
      </c>
      <c r="E284" s="56">
        <v>36</v>
      </c>
      <c r="F284" s="56">
        <v>871</v>
      </c>
      <c r="G284" s="59" t="s">
        <v>510</v>
      </c>
      <c r="H284" s="60">
        <v>2910</v>
      </c>
      <c r="I284" s="56">
        <v>23</v>
      </c>
      <c r="J284" s="59" t="s">
        <v>41</v>
      </c>
      <c r="K284" s="61">
        <v>2369.59</v>
      </c>
      <c r="L284" s="59" t="s">
        <v>313</v>
      </c>
      <c r="M284" s="62">
        <v>2295</v>
      </c>
      <c r="N284" s="63">
        <v>7</v>
      </c>
      <c r="O284" s="62">
        <v>160.65</v>
      </c>
      <c r="P284" s="61">
        <v>0</v>
      </c>
      <c r="Q284" s="62">
        <v>74.59</v>
      </c>
    </row>
    <row r="285" spans="1:17" ht="11.1" customHeight="1" x14ac:dyDescent="0.25">
      <c r="A285" s="15" t="s">
        <v>348</v>
      </c>
      <c r="B285" s="15"/>
      <c r="C285" s="15"/>
      <c r="D285" s="15"/>
      <c r="E285" s="15"/>
      <c r="F285" s="15"/>
      <c r="G285" s="15"/>
      <c r="H285" s="15"/>
      <c r="I285" s="15"/>
    </row>
    <row r="286" spans="1:17" ht="11.1" customHeight="1" x14ac:dyDescent="0.25">
      <c r="K286" s="61">
        <v>39529.269999999997</v>
      </c>
      <c r="L286" s="59" t="s">
        <v>313</v>
      </c>
      <c r="M286" s="62">
        <v>38285</v>
      </c>
      <c r="O286" s="62">
        <v>2679.95</v>
      </c>
      <c r="P286" s="61">
        <v>0</v>
      </c>
      <c r="Q286" s="62">
        <v>1244.27</v>
      </c>
    </row>
    <row r="287" spans="1:17" ht="11.1" customHeight="1" x14ac:dyDescent="0.25">
      <c r="A287" s="56">
        <v>28855</v>
      </c>
      <c r="B287" s="57">
        <v>46034</v>
      </c>
      <c r="C287" s="58" t="s">
        <v>512</v>
      </c>
      <c r="D287" s="59" t="s">
        <v>75</v>
      </c>
      <c r="E287" s="56">
        <v>39</v>
      </c>
      <c r="F287" s="56">
        <v>1267</v>
      </c>
      <c r="G287" s="59" t="s">
        <v>513</v>
      </c>
      <c r="H287" s="60">
        <v>1933</v>
      </c>
      <c r="I287" s="56">
        <v>29</v>
      </c>
      <c r="J287" s="59" t="s">
        <v>26</v>
      </c>
      <c r="K287" s="61">
        <v>35888.15</v>
      </c>
      <c r="L287" s="59" t="s">
        <v>75</v>
      </c>
      <c r="M287" s="62">
        <v>0</v>
      </c>
      <c r="N287" s="63">
        <v>0</v>
      </c>
      <c r="O287" s="62">
        <v>0</v>
      </c>
      <c r="P287" s="61">
        <v>0</v>
      </c>
      <c r="Q287" s="62">
        <v>0</v>
      </c>
    </row>
    <row r="288" spans="1:17" ht="11.1" customHeight="1" x14ac:dyDescent="0.25">
      <c r="A288" s="15" t="s">
        <v>348</v>
      </c>
      <c r="B288" s="15"/>
      <c r="C288" s="15"/>
      <c r="D288" s="15"/>
      <c r="E288" s="15"/>
      <c r="F288" s="15"/>
      <c r="G288" s="15"/>
      <c r="H288" s="15"/>
      <c r="I288" s="15"/>
    </row>
    <row r="289" spans="1:17" ht="11.1" customHeight="1" x14ac:dyDescent="0.25">
      <c r="K289" s="61">
        <v>35888.15</v>
      </c>
      <c r="L289" s="59" t="s">
        <v>75</v>
      </c>
      <c r="M289" s="62">
        <v>0</v>
      </c>
      <c r="O289" s="62">
        <v>0</v>
      </c>
      <c r="P289" s="61">
        <v>0</v>
      </c>
      <c r="Q289" s="62">
        <v>0</v>
      </c>
    </row>
    <row r="290" spans="1:17" ht="11.1" customHeight="1" x14ac:dyDescent="0.25">
      <c r="A290" s="56">
        <v>26865</v>
      </c>
      <c r="B290" s="57">
        <v>46038</v>
      </c>
      <c r="C290" s="58" t="s">
        <v>514</v>
      </c>
      <c r="D290" s="59" t="s">
        <v>352</v>
      </c>
      <c r="E290" s="56">
        <v>36</v>
      </c>
      <c r="F290" s="56">
        <v>1084</v>
      </c>
      <c r="G290" s="59" t="s">
        <v>515</v>
      </c>
      <c r="H290" s="60">
        <v>1202</v>
      </c>
      <c r="I290" s="56">
        <v>38</v>
      </c>
      <c r="J290" s="59" t="s">
        <v>26</v>
      </c>
      <c r="K290" s="61">
        <v>254.75</v>
      </c>
      <c r="L290" s="59" t="s">
        <v>313</v>
      </c>
      <c r="M290" s="62">
        <v>254.75</v>
      </c>
      <c r="N290" s="63">
        <v>20</v>
      </c>
      <c r="O290" s="62">
        <v>50.95</v>
      </c>
      <c r="P290" s="61">
        <v>0</v>
      </c>
      <c r="Q290" s="62">
        <v>0</v>
      </c>
    </row>
    <row r="291" spans="1:17" ht="11.1" customHeight="1" x14ac:dyDescent="0.25">
      <c r="A291" s="56">
        <v>26866</v>
      </c>
      <c r="B291" s="57">
        <v>46038</v>
      </c>
      <c r="C291" s="58" t="s">
        <v>516</v>
      </c>
      <c r="D291" s="59" t="s">
        <v>352</v>
      </c>
      <c r="E291" s="56">
        <v>36</v>
      </c>
      <c r="F291" s="56">
        <v>1084</v>
      </c>
      <c r="G291" s="59" t="s">
        <v>515</v>
      </c>
      <c r="H291" s="60">
        <v>1202</v>
      </c>
      <c r="I291" s="56">
        <v>38</v>
      </c>
      <c r="J291" s="59" t="s">
        <v>26</v>
      </c>
      <c r="K291" s="61">
        <v>97.87</v>
      </c>
      <c r="L291" s="59" t="s">
        <v>313</v>
      </c>
      <c r="M291" s="62">
        <v>97.87</v>
      </c>
      <c r="N291" s="63">
        <v>20</v>
      </c>
      <c r="O291" s="62">
        <v>19.57</v>
      </c>
      <c r="P291" s="61">
        <v>0</v>
      </c>
      <c r="Q291" s="62">
        <v>0</v>
      </c>
    </row>
    <row r="292" spans="1:17" ht="11.1" customHeight="1" x14ac:dyDescent="0.25">
      <c r="A292" s="56">
        <v>26870</v>
      </c>
      <c r="B292" s="57">
        <v>46043</v>
      </c>
      <c r="C292" s="58" t="s">
        <v>517</v>
      </c>
      <c r="D292" s="59" t="s">
        <v>352</v>
      </c>
      <c r="E292" s="56">
        <v>36</v>
      </c>
      <c r="F292" s="56">
        <v>1084</v>
      </c>
      <c r="G292" s="59" t="s">
        <v>515</v>
      </c>
      <c r="H292" s="60">
        <v>1202</v>
      </c>
      <c r="I292" s="56">
        <v>38</v>
      </c>
      <c r="J292" s="59" t="s">
        <v>26</v>
      </c>
      <c r="K292" s="61">
        <v>58.31</v>
      </c>
      <c r="L292" s="59" t="s">
        <v>313</v>
      </c>
      <c r="M292" s="62">
        <v>58.31</v>
      </c>
      <c r="N292" s="63">
        <v>20</v>
      </c>
      <c r="O292" s="62">
        <v>11.66</v>
      </c>
      <c r="P292" s="61">
        <v>0</v>
      </c>
      <c r="Q292" s="62">
        <v>0</v>
      </c>
    </row>
    <row r="293" spans="1:17" ht="11.1" customHeight="1" x14ac:dyDescent="0.25">
      <c r="A293" s="56">
        <v>27026</v>
      </c>
      <c r="B293" s="57">
        <v>46052</v>
      </c>
      <c r="C293" s="58" t="s">
        <v>518</v>
      </c>
      <c r="D293" s="59" t="s">
        <v>352</v>
      </c>
      <c r="E293" s="56">
        <v>36</v>
      </c>
      <c r="F293" s="56">
        <v>1084</v>
      </c>
      <c r="G293" s="59" t="s">
        <v>515</v>
      </c>
      <c r="H293" s="60">
        <v>1102</v>
      </c>
      <c r="I293" s="56">
        <v>6</v>
      </c>
      <c r="J293" s="59" t="s">
        <v>26</v>
      </c>
      <c r="K293" s="61">
        <v>4204.8</v>
      </c>
      <c r="L293" s="59" t="s">
        <v>313</v>
      </c>
      <c r="M293" s="62">
        <v>4204.8</v>
      </c>
      <c r="N293" s="63">
        <v>20</v>
      </c>
      <c r="O293" s="62">
        <v>840.96</v>
      </c>
      <c r="P293" s="61">
        <v>0</v>
      </c>
      <c r="Q293" s="62">
        <v>0</v>
      </c>
    </row>
    <row r="294" spans="1:17" ht="11.1" customHeight="1" x14ac:dyDescent="0.25">
      <c r="A294" s="15" t="s">
        <v>348</v>
      </c>
      <c r="B294" s="15"/>
      <c r="C294" s="15"/>
      <c r="D294" s="15"/>
      <c r="E294" s="15"/>
      <c r="F294" s="15"/>
      <c r="G294" s="15"/>
      <c r="H294" s="15"/>
      <c r="I294" s="15"/>
    </row>
    <row r="295" spans="1:17" ht="11.1" customHeight="1" x14ac:dyDescent="0.25">
      <c r="K295" s="61">
        <v>4615.7299999999996</v>
      </c>
      <c r="L295" s="59" t="s">
        <v>313</v>
      </c>
      <c r="M295" s="62">
        <v>4615.7299999999996</v>
      </c>
      <c r="O295" s="62">
        <v>923.14</v>
      </c>
      <c r="P295" s="61">
        <v>0</v>
      </c>
      <c r="Q295" s="62">
        <v>0</v>
      </c>
    </row>
    <row r="296" spans="1:17" ht="11.1" customHeight="1" x14ac:dyDescent="0.25">
      <c r="A296" s="56">
        <v>26994</v>
      </c>
      <c r="B296" s="57">
        <v>46050</v>
      </c>
      <c r="C296" s="58" t="s">
        <v>519</v>
      </c>
      <c r="D296" s="59" t="s">
        <v>352</v>
      </c>
      <c r="E296" s="56">
        <v>36</v>
      </c>
      <c r="F296" s="56">
        <v>742</v>
      </c>
      <c r="G296" s="59" t="s">
        <v>520</v>
      </c>
      <c r="H296" s="60">
        <v>2102</v>
      </c>
      <c r="I296" s="56">
        <v>6</v>
      </c>
      <c r="J296" s="59" t="s">
        <v>34</v>
      </c>
      <c r="K296" s="61">
        <v>5767.25</v>
      </c>
      <c r="L296" s="59" t="s">
        <v>313</v>
      </c>
      <c r="M296" s="62">
        <v>5015</v>
      </c>
      <c r="N296" s="63">
        <v>12</v>
      </c>
      <c r="O296" s="62">
        <v>601.79999999999995</v>
      </c>
      <c r="P296" s="61">
        <v>0</v>
      </c>
      <c r="Q296" s="62">
        <v>752.25</v>
      </c>
    </row>
    <row r="297" spans="1:17" ht="11.1" customHeight="1" x14ac:dyDescent="0.25">
      <c r="A297" s="15" t="s">
        <v>348</v>
      </c>
      <c r="B297" s="15"/>
      <c r="C297" s="15"/>
      <c r="D297" s="15"/>
      <c r="E297" s="15"/>
      <c r="F297" s="15"/>
      <c r="G297" s="15"/>
      <c r="H297" s="15"/>
      <c r="I297" s="15"/>
    </row>
    <row r="298" spans="1:17" ht="11.1" customHeight="1" x14ac:dyDescent="0.25">
      <c r="K298" s="61">
        <v>5767.25</v>
      </c>
      <c r="L298" s="59" t="s">
        <v>313</v>
      </c>
      <c r="M298" s="62">
        <v>5015</v>
      </c>
      <c r="O298" s="62">
        <v>601.79999999999995</v>
      </c>
      <c r="P298" s="61">
        <v>0</v>
      </c>
      <c r="Q298" s="62">
        <v>752.25</v>
      </c>
    </row>
    <row r="299" spans="1:17" ht="11.1" customHeight="1" x14ac:dyDescent="0.25">
      <c r="A299" s="56">
        <v>26886</v>
      </c>
      <c r="B299" s="57">
        <v>46035</v>
      </c>
      <c r="C299" s="58" t="s">
        <v>521</v>
      </c>
      <c r="D299" s="59" t="s">
        <v>412</v>
      </c>
      <c r="E299" s="56">
        <v>36</v>
      </c>
      <c r="F299" s="56">
        <v>613</v>
      </c>
      <c r="G299" s="59" t="s">
        <v>522</v>
      </c>
      <c r="H299" s="60">
        <v>2556</v>
      </c>
      <c r="I299" s="56">
        <v>16</v>
      </c>
      <c r="J299" s="59" t="s">
        <v>50</v>
      </c>
      <c r="K299" s="61">
        <v>11700</v>
      </c>
      <c r="L299" s="59" t="s">
        <v>313</v>
      </c>
      <c r="M299" s="62">
        <v>0</v>
      </c>
      <c r="N299" s="63">
        <v>0</v>
      </c>
      <c r="O299" s="62">
        <v>0</v>
      </c>
      <c r="P299" s="61">
        <v>0</v>
      </c>
      <c r="Q299" s="62">
        <v>11700</v>
      </c>
    </row>
    <row r="300" spans="1:17" ht="11.1" customHeight="1" x14ac:dyDescent="0.25">
      <c r="A300" s="15" t="s">
        <v>348</v>
      </c>
      <c r="B300" s="15"/>
      <c r="C300" s="15"/>
      <c r="D300" s="15"/>
      <c r="E300" s="15"/>
      <c r="F300" s="15"/>
      <c r="G300" s="15"/>
      <c r="H300" s="15"/>
      <c r="I300" s="15"/>
    </row>
    <row r="301" spans="1:17" ht="11.1" customHeight="1" x14ac:dyDescent="0.25">
      <c r="K301" s="61">
        <v>11700</v>
      </c>
      <c r="L301" s="59" t="s">
        <v>313</v>
      </c>
      <c r="M301" s="62">
        <v>0</v>
      </c>
      <c r="O301" s="62">
        <v>0</v>
      </c>
      <c r="P301" s="61">
        <v>0</v>
      </c>
      <c r="Q301" s="62">
        <v>11700</v>
      </c>
    </row>
    <row r="302" spans="1:17" ht="11.1" customHeight="1" x14ac:dyDescent="0.25">
      <c r="A302" s="56">
        <v>26885</v>
      </c>
      <c r="B302" s="57">
        <v>46049</v>
      </c>
      <c r="C302" s="58" t="s">
        <v>523</v>
      </c>
      <c r="D302" s="59" t="s">
        <v>352</v>
      </c>
      <c r="E302" s="56">
        <v>36</v>
      </c>
      <c r="F302" s="56">
        <v>1022</v>
      </c>
      <c r="G302" s="59" t="s">
        <v>524</v>
      </c>
      <c r="H302" s="60">
        <v>2102</v>
      </c>
      <c r="I302" s="56">
        <v>6</v>
      </c>
      <c r="J302" s="59" t="s">
        <v>50</v>
      </c>
      <c r="K302" s="61">
        <v>9075.5</v>
      </c>
      <c r="L302" s="59" t="s">
        <v>313</v>
      </c>
      <c r="M302" s="62">
        <v>0</v>
      </c>
      <c r="N302" s="63">
        <v>0</v>
      </c>
      <c r="O302" s="62">
        <v>0</v>
      </c>
      <c r="P302" s="61">
        <v>0</v>
      </c>
      <c r="Q302" s="62">
        <v>9075.5</v>
      </c>
    </row>
    <row r="303" spans="1:17" ht="11.1" customHeight="1" x14ac:dyDescent="0.25">
      <c r="A303" s="15" t="s">
        <v>348</v>
      </c>
      <c r="B303" s="15"/>
      <c r="C303" s="15"/>
      <c r="D303" s="15"/>
      <c r="E303" s="15"/>
      <c r="F303" s="15"/>
      <c r="G303" s="15"/>
      <c r="H303" s="15"/>
      <c r="I303" s="15"/>
    </row>
    <row r="304" spans="1:17" ht="11.1" customHeight="1" x14ac:dyDescent="0.25">
      <c r="K304" s="61">
        <v>9075.5</v>
      </c>
      <c r="L304" s="59" t="s">
        <v>313</v>
      </c>
      <c r="M304" s="62">
        <v>0</v>
      </c>
      <c r="O304" s="62">
        <v>0</v>
      </c>
      <c r="P304" s="61">
        <v>0</v>
      </c>
      <c r="Q304" s="62">
        <v>9075.5</v>
      </c>
    </row>
    <row r="305" spans="1:17" ht="11.1" customHeight="1" x14ac:dyDescent="0.25">
      <c r="A305" s="56">
        <v>26873</v>
      </c>
      <c r="B305" s="57">
        <v>46045</v>
      </c>
      <c r="C305" s="58" t="s">
        <v>525</v>
      </c>
      <c r="D305" s="59" t="s">
        <v>352</v>
      </c>
      <c r="E305" s="56">
        <v>36</v>
      </c>
      <c r="F305" s="56">
        <v>973</v>
      </c>
      <c r="G305" s="59" t="s">
        <v>526</v>
      </c>
      <c r="H305" s="60">
        <v>1411</v>
      </c>
      <c r="I305" s="56">
        <v>40</v>
      </c>
      <c r="J305" s="59" t="s">
        <v>26</v>
      </c>
      <c r="K305" s="61">
        <v>342.19</v>
      </c>
      <c r="L305" s="59" t="s">
        <v>313</v>
      </c>
      <c r="M305" s="62">
        <v>319.8</v>
      </c>
      <c r="N305" s="63">
        <v>20</v>
      </c>
      <c r="O305" s="62">
        <v>63.96</v>
      </c>
      <c r="P305" s="61">
        <v>0</v>
      </c>
      <c r="Q305" s="62">
        <v>22.39</v>
      </c>
    </row>
    <row r="306" spans="1:17" ht="11.1" customHeight="1" x14ac:dyDescent="0.25">
      <c r="L306" s="59" t="s">
        <v>436</v>
      </c>
      <c r="M306" s="62">
        <v>431.73</v>
      </c>
      <c r="N306" s="63">
        <v>20</v>
      </c>
      <c r="O306" s="62">
        <v>22.39</v>
      </c>
      <c r="P306" s="61">
        <v>0</v>
      </c>
      <c r="Q306" s="62">
        <v>0</v>
      </c>
    </row>
    <row r="307" spans="1:17" ht="11.1" customHeight="1" x14ac:dyDescent="0.25">
      <c r="A307" s="15" t="s">
        <v>348</v>
      </c>
      <c r="B307" s="15"/>
      <c r="C307" s="15"/>
      <c r="D307" s="15"/>
      <c r="E307" s="15"/>
      <c r="F307" s="15"/>
      <c r="G307" s="15"/>
      <c r="H307" s="15"/>
      <c r="I307" s="15"/>
    </row>
    <row r="308" spans="1:17" ht="11.1" customHeight="1" x14ac:dyDescent="0.25">
      <c r="K308" s="61">
        <v>342.19</v>
      </c>
      <c r="L308" s="59" t="s">
        <v>313</v>
      </c>
      <c r="M308" s="62">
        <v>319.8</v>
      </c>
      <c r="O308" s="62">
        <v>63.96</v>
      </c>
      <c r="P308" s="61">
        <v>0</v>
      </c>
      <c r="Q308" s="62">
        <v>22.39</v>
      </c>
    </row>
    <row r="309" spans="1:17" ht="11.1" customHeight="1" x14ac:dyDescent="0.25">
      <c r="L309" s="59" t="s">
        <v>436</v>
      </c>
      <c r="M309" s="62">
        <v>431.73</v>
      </c>
      <c r="O309" s="62">
        <v>22.39</v>
      </c>
      <c r="P309" s="61">
        <v>0</v>
      </c>
      <c r="Q309" s="62">
        <v>0</v>
      </c>
    </row>
    <row r="310" spans="1:17" ht="11.1" customHeight="1" x14ac:dyDescent="0.25">
      <c r="A310" s="56">
        <v>26990</v>
      </c>
      <c r="B310" s="57">
        <v>46052</v>
      </c>
      <c r="C310" s="58" t="s">
        <v>527</v>
      </c>
      <c r="D310" s="59" t="s">
        <v>352</v>
      </c>
      <c r="E310" s="56">
        <v>36</v>
      </c>
      <c r="F310" s="56">
        <v>548</v>
      </c>
      <c r="G310" s="59" t="s">
        <v>528</v>
      </c>
      <c r="H310" s="60">
        <v>2102</v>
      </c>
      <c r="I310" s="56">
        <v>6</v>
      </c>
      <c r="J310" s="59" t="s">
        <v>41</v>
      </c>
      <c r="K310" s="61">
        <v>89025.74</v>
      </c>
      <c r="L310" s="59" t="s">
        <v>313</v>
      </c>
      <c r="M310" s="62">
        <v>87704</v>
      </c>
      <c r="N310" s="63">
        <v>7</v>
      </c>
      <c r="O310" s="62">
        <v>6139.28</v>
      </c>
      <c r="P310" s="61">
        <v>0</v>
      </c>
      <c r="Q310" s="62">
        <v>1321.74</v>
      </c>
    </row>
    <row r="311" spans="1:17" ht="11.1" customHeight="1" x14ac:dyDescent="0.25">
      <c r="A311" s="15" t="s">
        <v>348</v>
      </c>
      <c r="B311" s="15"/>
      <c r="C311" s="15"/>
      <c r="D311" s="15"/>
      <c r="E311" s="15"/>
      <c r="F311" s="15"/>
      <c r="G311" s="15"/>
      <c r="H311" s="15"/>
      <c r="I311" s="15"/>
    </row>
    <row r="312" spans="1:17" ht="11.1" customHeight="1" x14ac:dyDescent="0.25">
      <c r="K312" s="61">
        <v>89025.74</v>
      </c>
      <c r="L312" s="59" t="s">
        <v>313</v>
      </c>
      <c r="M312" s="62">
        <v>87704</v>
      </c>
      <c r="O312" s="62">
        <v>6139.28</v>
      </c>
      <c r="P312" s="61">
        <v>0</v>
      </c>
      <c r="Q312" s="62">
        <v>1321.74</v>
      </c>
    </row>
    <row r="313" spans="1:17" ht="11.1" customHeight="1" x14ac:dyDescent="0.25">
      <c r="A313" s="56">
        <v>26964</v>
      </c>
      <c r="B313" s="57">
        <v>46027</v>
      </c>
      <c r="C313" s="58" t="s">
        <v>529</v>
      </c>
      <c r="D313" s="59" t="s">
        <v>352</v>
      </c>
      <c r="E313" s="56">
        <v>36</v>
      </c>
      <c r="F313" s="56">
        <v>543</v>
      </c>
      <c r="G313" s="59" t="s">
        <v>530</v>
      </c>
      <c r="H313" s="60">
        <v>2102</v>
      </c>
      <c r="I313" s="56">
        <v>6</v>
      </c>
      <c r="J313" s="59" t="s">
        <v>50</v>
      </c>
      <c r="K313" s="61">
        <v>457.55</v>
      </c>
      <c r="L313" s="59" t="s">
        <v>313</v>
      </c>
      <c r="M313" s="62">
        <v>457.55</v>
      </c>
      <c r="N313" s="63">
        <v>4</v>
      </c>
      <c r="O313" s="62">
        <v>18.3</v>
      </c>
      <c r="P313" s="61">
        <v>0</v>
      </c>
      <c r="Q313" s="62">
        <v>0</v>
      </c>
    </row>
    <row r="314" spans="1:17" ht="11.1" customHeight="1" x14ac:dyDescent="0.25">
      <c r="A314" s="56">
        <v>26965</v>
      </c>
      <c r="B314" s="57">
        <v>46035</v>
      </c>
      <c r="C314" s="58" t="s">
        <v>531</v>
      </c>
      <c r="D314" s="59" t="s">
        <v>352</v>
      </c>
      <c r="E314" s="56">
        <v>36</v>
      </c>
      <c r="F314" s="56">
        <v>543</v>
      </c>
      <c r="G314" s="59" t="s">
        <v>530</v>
      </c>
      <c r="H314" s="60">
        <v>2102</v>
      </c>
      <c r="I314" s="56">
        <v>6</v>
      </c>
      <c r="J314" s="59" t="s">
        <v>50</v>
      </c>
      <c r="K314" s="61">
        <v>2649.51</v>
      </c>
      <c r="L314" s="59" t="s">
        <v>313</v>
      </c>
      <c r="M314" s="62">
        <v>2649.51</v>
      </c>
      <c r="N314" s="63">
        <v>4</v>
      </c>
      <c r="O314" s="62">
        <v>105.98</v>
      </c>
      <c r="P314" s="61">
        <v>0</v>
      </c>
      <c r="Q314" s="62">
        <v>0</v>
      </c>
    </row>
    <row r="315" spans="1:17" ht="11.1" customHeight="1" x14ac:dyDescent="0.25">
      <c r="A315" s="56">
        <v>26966</v>
      </c>
      <c r="B315" s="57">
        <v>46036</v>
      </c>
      <c r="C315" s="58" t="s">
        <v>532</v>
      </c>
      <c r="D315" s="59" t="s">
        <v>352</v>
      </c>
      <c r="E315" s="56">
        <v>36</v>
      </c>
      <c r="F315" s="56">
        <v>543</v>
      </c>
      <c r="G315" s="59" t="s">
        <v>530</v>
      </c>
      <c r="H315" s="60">
        <v>2102</v>
      </c>
      <c r="I315" s="56">
        <v>6</v>
      </c>
      <c r="J315" s="59" t="s">
        <v>50</v>
      </c>
      <c r="K315" s="61">
        <v>5328.59</v>
      </c>
      <c r="L315" s="59" t="s">
        <v>313</v>
      </c>
      <c r="M315" s="62">
        <v>5328.59</v>
      </c>
      <c r="N315" s="63">
        <v>4</v>
      </c>
      <c r="O315" s="62">
        <v>213.14</v>
      </c>
      <c r="P315" s="61">
        <v>0</v>
      </c>
      <c r="Q315" s="62">
        <v>0</v>
      </c>
    </row>
    <row r="316" spans="1:17" ht="11.1" customHeight="1" x14ac:dyDescent="0.25">
      <c r="A316" s="56">
        <v>26967</v>
      </c>
      <c r="B316" s="57">
        <v>46038</v>
      </c>
      <c r="C316" s="58" t="s">
        <v>533</v>
      </c>
      <c r="D316" s="59" t="s">
        <v>352</v>
      </c>
      <c r="E316" s="56">
        <v>36</v>
      </c>
      <c r="F316" s="56">
        <v>543</v>
      </c>
      <c r="G316" s="59" t="s">
        <v>530</v>
      </c>
      <c r="H316" s="60">
        <v>2102</v>
      </c>
      <c r="I316" s="56">
        <v>6</v>
      </c>
      <c r="J316" s="59" t="s">
        <v>50</v>
      </c>
      <c r="K316" s="61">
        <v>605.89</v>
      </c>
      <c r="L316" s="59" t="s">
        <v>313</v>
      </c>
      <c r="M316" s="62">
        <v>605.89</v>
      </c>
      <c r="N316" s="63">
        <v>7</v>
      </c>
      <c r="O316" s="62">
        <v>42.41</v>
      </c>
      <c r="P316" s="61">
        <v>0</v>
      </c>
      <c r="Q316" s="62">
        <v>0</v>
      </c>
    </row>
    <row r="317" spans="1:17" ht="11.1" customHeight="1" x14ac:dyDescent="0.25">
      <c r="A317" s="56">
        <v>26968</v>
      </c>
      <c r="B317" s="57">
        <v>46038</v>
      </c>
      <c r="C317" s="58" t="s">
        <v>534</v>
      </c>
      <c r="D317" s="59" t="s">
        <v>352</v>
      </c>
      <c r="E317" s="56">
        <v>36</v>
      </c>
      <c r="F317" s="56">
        <v>543</v>
      </c>
      <c r="G317" s="59" t="s">
        <v>530</v>
      </c>
      <c r="H317" s="60">
        <v>2102</v>
      </c>
      <c r="I317" s="56">
        <v>6</v>
      </c>
      <c r="J317" s="59" t="s">
        <v>50</v>
      </c>
      <c r="K317" s="61">
        <v>42075.56</v>
      </c>
      <c r="L317" s="59" t="s">
        <v>313</v>
      </c>
      <c r="M317" s="62">
        <v>32739.74</v>
      </c>
      <c r="N317" s="63">
        <v>4</v>
      </c>
      <c r="O317" s="62">
        <v>1309.58</v>
      </c>
      <c r="P317" s="61">
        <v>0</v>
      </c>
      <c r="Q317" s="62">
        <v>39.450000000000003</v>
      </c>
    </row>
    <row r="318" spans="1:17" ht="11.1" customHeight="1" x14ac:dyDescent="0.25">
      <c r="L318" s="59" t="s">
        <v>313</v>
      </c>
      <c r="M318" s="62">
        <v>9296.3700000000008</v>
      </c>
      <c r="N318" s="63">
        <v>7</v>
      </c>
      <c r="O318" s="62">
        <v>650.75</v>
      </c>
      <c r="P318" s="61">
        <v>0</v>
      </c>
      <c r="Q318" s="62">
        <v>0</v>
      </c>
    </row>
    <row r="319" spans="1:17" ht="11.1" customHeight="1" x14ac:dyDescent="0.25">
      <c r="A319" s="56">
        <v>26969</v>
      </c>
      <c r="B319" s="57">
        <v>46038</v>
      </c>
      <c r="C319" s="58" t="s">
        <v>535</v>
      </c>
      <c r="D319" s="59" t="s">
        <v>352</v>
      </c>
      <c r="E319" s="56">
        <v>36</v>
      </c>
      <c r="F319" s="56">
        <v>543</v>
      </c>
      <c r="G319" s="59" t="s">
        <v>530</v>
      </c>
      <c r="H319" s="60">
        <v>2102</v>
      </c>
      <c r="I319" s="56">
        <v>6</v>
      </c>
      <c r="J319" s="59" t="s">
        <v>50</v>
      </c>
      <c r="K319" s="61">
        <v>7578.16</v>
      </c>
      <c r="L319" s="59" t="s">
        <v>313</v>
      </c>
      <c r="M319" s="62">
        <v>7578.16</v>
      </c>
      <c r="N319" s="63">
        <v>4</v>
      </c>
      <c r="O319" s="62">
        <v>303.13</v>
      </c>
      <c r="P319" s="61">
        <v>0</v>
      </c>
      <c r="Q319" s="62">
        <v>0</v>
      </c>
    </row>
    <row r="320" spans="1:17" ht="11.1" customHeight="1" x14ac:dyDescent="0.25">
      <c r="A320" s="56">
        <v>26970</v>
      </c>
      <c r="B320" s="57">
        <v>46038</v>
      </c>
      <c r="C320" s="58" t="s">
        <v>536</v>
      </c>
      <c r="D320" s="59" t="s">
        <v>352</v>
      </c>
      <c r="E320" s="56">
        <v>36</v>
      </c>
      <c r="F320" s="56">
        <v>543</v>
      </c>
      <c r="G320" s="59" t="s">
        <v>530</v>
      </c>
      <c r="H320" s="60">
        <v>2102</v>
      </c>
      <c r="I320" s="56">
        <v>6</v>
      </c>
      <c r="J320" s="59" t="s">
        <v>50</v>
      </c>
      <c r="K320" s="61">
        <v>185.47</v>
      </c>
      <c r="L320" s="59" t="s">
        <v>313</v>
      </c>
      <c r="M320" s="62">
        <v>185.47</v>
      </c>
      <c r="N320" s="63">
        <v>7</v>
      </c>
      <c r="O320" s="62">
        <v>12.98</v>
      </c>
      <c r="P320" s="61">
        <v>0</v>
      </c>
      <c r="Q320" s="62">
        <v>0</v>
      </c>
    </row>
    <row r="321" spans="1:17" ht="11.1" customHeight="1" x14ac:dyDescent="0.25">
      <c r="A321" s="15" t="s">
        <v>296</v>
      </c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</row>
    <row r="322" spans="1:17" ht="11.1" customHeight="1" x14ac:dyDescent="0.25">
      <c r="A322" s="10" t="s">
        <v>184</v>
      </c>
      <c r="B322" s="10" t="s">
        <v>297</v>
      </c>
      <c r="C322" s="10" t="s">
        <v>298</v>
      </c>
      <c r="D322" s="55" t="s">
        <v>299</v>
      </c>
      <c r="E322" s="10" t="s">
        <v>300</v>
      </c>
      <c r="F322" s="10" t="s">
        <v>184</v>
      </c>
      <c r="G322" s="55" t="s">
        <v>301</v>
      </c>
      <c r="H322" s="10" t="s">
        <v>302</v>
      </c>
      <c r="I322" s="10" t="s">
        <v>303</v>
      </c>
      <c r="J322" s="55" t="s">
        <v>24</v>
      </c>
      <c r="K322" s="15" t="s">
        <v>304</v>
      </c>
      <c r="L322" s="55" t="s">
        <v>305</v>
      </c>
      <c r="M322" s="10" t="s">
        <v>306</v>
      </c>
      <c r="N322" s="10" t="s">
        <v>307</v>
      </c>
      <c r="O322" s="10" t="s">
        <v>73</v>
      </c>
      <c r="P322" s="15" t="s">
        <v>308</v>
      </c>
      <c r="Q322" s="10" t="s">
        <v>309</v>
      </c>
    </row>
    <row r="323" spans="1:17" ht="11.1" customHeight="1" x14ac:dyDescent="0.25">
      <c r="A323" s="56">
        <v>26971</v>
      </c>
      <c r="B323" s="57">
        <v>46038</v>
      </c>
      <c r="C323" s="58" t="s">
        <v>537</v>
      </c>
      <c r="D323" s="59" t="s">
        <v>352</v>
      </c>
      <c r="E323" s="56">
        <v>36</v>
      </c>
      <c r="F323" s="56">
        <v>543</v>
      </c>
      <c r="G323" s="59" t="s">
        <v>530</v>
      </c>
      <c r="H323" s="60">
        <v>2102</v>
      </c>
      <c r="I323" s="56">
        <v>6</v>
      </c>
      <c r="J323" s="59" t="s">
        <v>50</v>
      </c>
      <c r="K323" s="61">
        <v>16642.939999999999</v>
      </c>
      <c r="L323" s="59" t="s">
        <v>313</v>
      </c>
      <c r="M323" s="62">
        <v>6157.19</v>
      </c>
      <c r="N323" s="63">
        <v>4</v>
      </c>
      <c r="O323" s="62">
        <v>246.29</v>
      </c>
      <c r="P323" s="61">
        <v>0</v>
      </c>
      <c r="Q323" s="62">
        <v>0</v>
      </c>
    </row>
    <row r="324" spans="1:17" ht="11.1" customHeight="1" x14ac:dyDescent="0.25">
      <c r="L324" s="59" t="s">
        <v>313</v>
      </c>
      <c r="M324" s="62">
        <v>10485.75</v>
      </c>
      <c r="N324" s="63">
        <v>7</v>
      </c>
      <c r="O324" s="62">
        <v>734</v>
      </c>
      <c r="P324" s="61">
        <v>0</v>
      </c>
      <c r="Q324" s="62">
        <v>0</v>
      </c>
    </row>
    <row r="325" spans="1:17" ht="11.1" customHeight="1" x14ac:dyDescent="0.25">
      <c r="A325" s="56">
        <v>26972</v>
      </c>
      <c r="B325" s="57">
        <v>46038</v>
      </c>
      <c r="C325" s="58" t="s">
        <v>538</v>
      </c>
      <c r="D325" s="59" t="s">
        <v>352</v>
      </c>
      <c r="E325" s="56">
        <v>36</v>
      </c>
      <c r="F325" s="56">
        <v>543</v>
      </c>
      <c r="G325" s="59" t="s">
        <v>530</v>
      </c>
      <c r="H325" s="60">
        <v>2102</v>
      </c>
      <c r="I325" s="56">
        <v>6</v>
      </c>
      <c r="J325" s="59" t="s">
        <v>50</v>
      </c>
      <c r="K325" s="61">
        <v>13261.78</v>
      </c>
      <c r="L325" s="59" t="s">
        <v>313</v>
      </c>
      <c r="M325" s="62">
        <v>13261.78</v>
      </c>
      <c r="N325" s="63">
        <v>4</v>
      </c>
      <c r="O325" s="62">
        <v>530.47</v>
      </c>
      <c r="P325" s="61">
        <v>0</v>
      </c>
      <c r="Q325" s="62">
        <v>0</v>
      </c>
    </row>
    <row r="326" spans="1:17" ht="11.1" customHeight="1" x14ac:dyDescent="0.25">
      <c r="A326" s="56">
        <v>26973</v>
      </c>
      <c r="B326" s="57">
        <v>46038</v>
      </c>
      <c r="C326" s="58" t="s">
        <v>539</v>
      </c>
      <c r="D326" s="59" t="s">
        <v>352</v>
      </c>
      <c r="E326" s="56">
        <v>36</v>
      </c>
      <c r="F326" s="56">
        <v>543</v>
      </c>
      <c r="G326" s="59" t="s">
        <v>530</v>
      </c>
      <c r="H326" s="60">
        <v>2102</v>
      </c>
      <c r="I326" s="56">
        <v>6</v>
      </c>
      <c r="J326" s="59" t="s">
        <v>50</v>
      </c>
      <c r="K326" s="61">
        <v>11609.22</v>
      </c>
      <c r="L326" s="59" t="s">
        <v>313</v>
      </c>
      <c r="M326" s="62">
        <v>9472.7000000000007</v>
      </c>
      <c r="N326" s="63">
        <v>4</v>
      </c>
      <c r="O326" s="62">
        <v>378.91</v>
      </c>
      <c r="P326" s="61">
        <v>0</v>
      </c>
      <c r="Q326" s="62">
        <v>0</v>
      </c>
    </row>
    <row r="327" spans="1:17" ht="11.1" customHeight="1" x14ac:dyDescent="0.25">
      <c r="L327" s="59" t="s">
        <v>313</v>
      </c>
      <c r="M327" s="62">
        <v>2136.52</v>
      </c>
      <c r="N327" s="63">
        <v>7</v>
      </c>
      <c r="O327" s="62">
        <v>149.55000000000001</v>
      </c>
      <c r="P327" s="61">
        <v>0</v>
      </c>
      <c r="Q327" s="62">
        <v>0</v>
      </c>
    </row>
    <row r="328" spans="1:17" ht="11.1" customHeight="1" x14ac:dyDescent="0.25">
      <c r="A328" s="56">
        <v>26974</v>
      </c>
      <c r="B328" s="57">
        <v>46039</v>
      </c>
      <c r="C328" s="58" t="s">
        <v>540</v>
      </c>
      <c r="D328" s="59" t="s">
        <v>352</v>
      </c>
      <c r="E328" s="56">
        <v>36</v>
      </c>
      <c r="F328" s="56">
        <v>543</v>
      </c>
      <c r="G328" s="59" t="s">
        <v>530</v>
      </c>
      <c r="H328" s="60">
        <v>2102</v>
      </c>
      <c r="I328" s="56">
        <v>6</v>
      </c>
      <c r="J328" s="59" t="s">
        <v>50</v>
      </c>
      <c r="K328" s="61">
        <v>1826.53</v>
      </c>
      <c r="L328" s="59" t="s">
        <v>313</v>
      </c>
      <c r="M328" s="62">
        <v>1826.53</v>
      </c>
      <c r="N328" s="63">
        <v>7</v>
      </c>
      <c r="O328" s="62">
        <v>127.86</v>
      </c>
      <c r="P328" s="61">
        <v>0</v>
      </c>
      <c r="Q328" s="62">
        <v>0</v>
      </c>
    </row>
    <row r="329" spans="1:17" ht="11.1" customHeight="1" x14ac:dyDescent="0.25">
      <c r="A329" s="56">
        <v>26975</v>
      </c>
      <c r="B329" s="57">
        <v>46042</v>
      </c>
      <c r="C329" s="58" t="s">
        <v>541</v>
      </c>
      <c r="D329" s="59" t="s">
        <v>352</v>
      </c>
      <c r="E329" s="56">
        <v>36</v>
      </c>
      <c r="F329" s="56">
        <v>543</v>
      </c>
      <c r="G329" s="59" t="s">
        <v>530</v>
      </c>
      <c r="H329" s="60">
        <v>2102</v>
      </c>
      <c r="I329" s="56">
        <v>6</v>
      </c>
      <c r="J329" s="59" t="s">
        <v>50</v>
      </c>
      <c r="K329" s="61">
        <v>6596.99</v>
      </c>
      <c r="L329" s="59" t="s">
        <v>313</v>
      </c>
      <c r="M329" s="62">
        <v>6596.99</v>
      </c>
      <c r="N329" s="63">
        <v>4</v>
      </c>
      <c r="O329" s="62">
        <v>263.88</v>
      </c>
      <c r="P329" s="61">
        <v>0</v>
      </c>
      <c r="Q329" s="62">
        <v>0</v>
      </c>
    </row>
    <row r="330" spans="1:17" ht="11.1" customHeight="1" x14ac:dyDescent="0.25">
      <c r="A330" s="56">
        <v>26976</v>
      </c>
      <c r="B330" s="57">
        <v>46044</v>
      </c>
      <c r="C330" s="58" t="s">
        <v>542</v>
      </c>
      <c r="D330" s="59" t="s">
        <v>352</v>
      </c>
      <c r="E330" s="56">
        <v>36</v>
      </c>
      <c r="F330" s="56">
        <v>543</v>
      </c>
      <c r="G330" s="59" t="s">
        <v>530</v>
      </c>
      <c r="H330" s="60">
        <v>2102</v>
      </c>
      <c r="I330" s="56">
        <v>6</v>
      </c>
      <c r="J330" s="59" t="s">
        <v>50</v>
      </c>
      <c r="K330" s="61">
        <v>2432.42</v>
      </c>
      <c r="L330" s="59" t="s">
        <v>313</v>
      </c>
      <c r="M330" s="62">
        <v>2432.42</v>
      </c>
      <c r="N330" s="63">
        <v>7</v>
      </c>
      <c r="O330" s="62">
        <v>170.27</v>
      </c>
      <c r="P330" s="61">
        <v>0</v>
      </c>
      <c r="Q330" s="62">
        <v>0</v>
      </c>
    </row>
    <row r="331" spans="1:17" ht="11.1" customHeight="1" x14ac:dyDescent="0.25">
      <c r="A331" s="56">
        <v>26977</v>
      </c>
      <c r="B331" s="57">
        <v>46046</v>
      </c>
      <c r="C331" s="58" t="s">
        <v>543</v>
      </c>
      <c r="D331" s="59" t="s">
        <v>352</v>
      </c>
      <c r="E331" s="56">
        <v>36</v>
      </c>
      <c r="F331" s="56">
        <v>543</v>
      </c>
      <c r="G331" s="59" t="s">
        <v>530</v>
      </c>
      <c r="H331" s="60">
        <v>2102</v>
      </c>
      <c r="I331" s="56">
        <v>6</v>
      </c>
      <c r="J331" s="59" t="s">
        <v>50</v>
      </c>
      <c r="K331" s="61">
        <v>1338.26</v>
      </c>
      <c r="L331" s="59" t="s">
        <v>313</v>
      </c>
      <c r="M331" s="62">
        <v>1338.26</v>
      </c>
      <c r="N331" s="63">
        <v>7</v>
      </c>
      <c r="O331" s="62">
        <v>93.68</v>
      </c>
      <c r="P331" s="61">
        <v>0</v>
      </c>
      <c r="Q331" s="62">
        <v>0</v>
      </c>
    </row>
    <row r="332" spans="1:17" ht="11.1" customHeight="1" x14ac:dyDescent="0.25">
      <c r="A332" s="56">
        <v>26978</v>
      </c>
      <c r="B332" s="57">
        <v>46046</v>
      </c>
      <c r="C332" s="58" t="s">
        <v>544</v>
      </c>
      <c r="D332" s="59" t="s">
        <v>352</v>
      </c>
      <c r="E332" s="56">
        <v>36</v>
      </c>
      <c r="F332" s="56">
        <v>543</v>
      </c>
      <c r="G332" s="59" t="s">
        <v>530</v>
      </c>
      <c r="H332" s="60">
        <v>2102</v>
      </c>
      <c r="I332" s="56">
        <v>6</v>
      </c>
      <c r="J332" s="59" t="s">
        <v>50</v>
      </c>
      <c r="K332" s="61">
        <v>11824.01</v>
      </c>
      <c r="L332" s="59" t="s">
        <v>313</v>
      </c>
      <c r="M332" s="62">
        <v>11824.01</v>
      </c>
      <c r="N332" s="63">
        <v>7</v>
      </c>
      <c r="O332" s="62">
        <v>827.68</v>
      </c>
      <c r="P332" s="61">
        <v>0</v>
      </c>
      <c r="Q332" s="62">
        <v>0</v>
      </c>
    </row>
    <row r="333" spans="1:17" ht="11.1" customHeight="1" x14ac:dyDescent="0.25">
      <c r="A333" s="56">
        <v>26979</v>
      </c>
      <c r="B333" s="57">
        <v>46051</v>
      </c>
      <c r="C333" s="58" t="s">
        <v>545</v>
      </c>
      <c r="D333" s="59" t="s">
        <v>352</v>
      </c>
      <c r="E333" s="56">
        <v>36</v>
      </c>
      <c r="F333" s="56">
        <v>543</v>
      </c>
      <c r="G333" s="59" t="s">
        <v>530</v>
      </c>
      <c r="H333" s="60">
        <v>2102</v>
      </c>
      <c r="I333" s="56">
        <v>6</v>
      </c>
      <c r="J333" s="59" t="s">
        <v>50</v>
      </c>
      <c r="K333" s="61">
        <v>2330.17</v>
      </c>
      <c r="L333" s="59" t="s">
        <v>313</v>
      </c>
      <c r="M333" s="62">
        <v>2330.17</v>
      </c>
      <c r="N333" s="63">
        <v>7</v>
      </c>
      <c r="O333" s="62">
        <v>163.11000000000001</v>
      </c>
      <c r="P333" s="61">
        <v>0</v>
      </c>
      <c r="Q333" s="62">
        <v>0</v>
      </c>
    </row>
    <row r="334" spans="1:17" ht="11.1" customHeight="1" x14ac:dyDescent="0.25">
      <c r="A334" s="15" t="s">
        <v>348</v>
      </c>
      <c r="B334" s="15"/>
      <c r="C334" s="15"/>
      <c r="D334" s="15"/>
      <c r="E334" s="15"/>
      <c r="F334" s="15"/>
      <c r="G334" s="15"/>
      <c r="H334" s="15"/>
      <c r="I334" s="15"/>
    </row>
    <row r="335" spans="1:17" ht="11.1" customHeight="1" x14ac:dyDescent="0.25">
      <c r="K335" s="61">
        <v>126743.05</v>
      </c>
      <c r="L335" s="59" t="s">
        <v>313</v>
      </c>
      <c r="M335" s="62">
        <v>126703.6</v>
      </c>
      <c r="O335" s="62">
        <v>6341.97</v>
      </c>
      <c r="P335" s="61">
        <v>0</v>
      </c>
      <c r="Q335" s="62">
        <v>39.450000000000003</v>
      </c>
    </row>
    <row r="336" spans="1:17" ht="11.1" customHeight="1" x14ac:dyDescent="0.25">
      <c r="A336" s="56">
        <v>26999</v>
      </c>
      <c r="B336" s="57">
        <v>46049</v>
      </c>
      <c r="C336" s="58" t="s">
        <v>546</v>
      </c>
      <c r="D336" s="59" t="s">
        <v>352</v>
      </c>
      <c r="E336" s="56">
        <v>36</v>
      </c>
      <c r="F336" s="56">
        <v>1170</v>
      </c>
      <c r="G336" s="59" t="s">
        <v>547</v>
      </c>
      <c r="H336" s="60">
        <v>1407</v>
      </c>
      <c r="I336" s="56">
        <v>14</v>
      </c>
      <c r="J336" s="59" t="s">
        <v>26</v>
      </c>
      <c r="K336" s="61">
        <v>20.22</v>
      </c>
      <c r="L336" s="59" t="s">
        <v>313</v>
      </c>
      <c r="M336" s="62">
        <v>0</v>
      </c>
      <c r="N336" s="63">
        <v>0</v>
      </c>
      <c r="O336" s="62">
        <v>0</v>
      </c>
      <c r="P336" s="61">
        <v>0</v>
      </c>
      <c r="Q336" s="62">
        <v>20.22</v>
      </c>
    </row>
    <row r="337" spans="1:17" ht="11.1" customHeight="1" x14ac:dyDescent="0.25">
      <c r="L337" s="59" t="s">
        <v>436</v>
      </c>
      <c r="M337" s="62">
        <v>20.22</v>
      </c>
      <c r="N337" s="63">
        <v>0</v>
      </c>
      <c r="O337" s="62">
        <v>0</v>
      </c>
      <c r="P337" s="61">
        <v>0</v>
      </c>
      <c r="Q337" s="62">
        <v>0</v>
      </c>
    </row>
    <row r="338" spans="1:17" ht="11.1" customHeight="1" x14ac:dyDescent="0.25">
      <c r="A338" s="15" t="s">
        <v>348</v>
      </c>
      <c r="B338" s="15"/>
      <c r="C338" s="15"/>
      <c r="D338" s="15"/>
      <c r="E338" s="15"/>
      <c r="F338" s="15"/>
      <c r="G338" s="15"/>
      <c r="H338" s="15"/>
      <c r="I338" s="15"/>
    </row>
    <row r="339" spans="1:17" ht="11.1" customHeight="1" x14ac:dyDescent="0.25">
      <c r="K339" s="61">
        <v>20.22</v>
      </c>
      <c r="L339" s="59" t="s">
        <v>313</v>
      </c>
      <c r="M339" s="62">
        <v>0</v>
      </c>
      <c r="O339" s="62">
        <v>0</v>
      </c>
      <c r="P339" s="61">
        <v>0</v>
      </c>
      <c r="Q339" s="62">
        <v>20.22</v>
      </c>
    </row>
    <row r="340" spans="1:17" ht="11.1" customHeight="1" x14ac:dyDescent="0.25">
      <c r="L340" s="59" t="s">
        <v>436</v>
      </c>
      <c r="M340" s="62">
        <v>20.22</v>
      </c>
      <c r="O340" s="62">
        <v>0</v>
      </c>
      <c r="P340" s="61">
        <v>0</v>
      </c>
      <c r="Q340" s="62">
        <v>0</v>
      </c>
    </row>
    <row r="341" spans="1:17" ht="11.1" customHeight="1" x14ac:dyDescent="0.25">
      <c r="A341" s="56">
        <v>26998</v>
      </c>
      <c r="B341" s="57">
        <v>46049</v>
      </c>
      <c r="C341" s="58" t="s">
        <v>548</v>
      </c>
      <c r="D341" s="59" t="s">
        <v>352</v>
      </c>
      <c r="E341" s="56">
        <v>36</v>
      </c>
      <c r="F341" s="56">
        <v>750</v>
      </c>
      <c r="G341" s="59" t="s">
        <v>549</v>
      </c>
      <c r="H341" s="60">
        <v>1407</v>
      </c>
      <c r="I341" s="56">
        <v>14</v>
      </c>
      <c r="J341" s="59" t="s">
        <v>26</v>
      </c>
      <c r="K341" s="61">
        <v>28.54</v>
      </c>
      <c r="L341" s="59" t="s">
        <v>313</v>
      </c>
      <c r="M341" s="62">
        <v>0</v>
      </c>
      <c r="N341" s="63">
        <v>0</v>
      </c>
      <c r="O341" s="62">
        <v>0</v>
      </c>
      <c r="P341" s="61">
        <v>0</v>
      </c>
      <c r="Q341" s="62">
        <v>28.54</v>
      </c>
    </row>
    <row r="342" spans="1:17" ht="11.1" customHeight="1" x14ac:dyDescent="0.25">
      <c r="A342" s="15" t="s">
        <v>348</v>
      </c>
      <c r="B342" s="15"/>
      <c r="C342" s="15"/>
      <c r="D342" s="15"/>
      <c r="E342" s="15"/>
      <c r="F342" s="15"/>
      <c r="G342" s="15"/>
      <c r="H342" s="15"/>
      <c r="I342" s="15"/>
    </row>
    <row r="343" spans="1:17" ht="11.1" customHeight="1" x14ac:dyDescent="0.25">
      <c r="K343" s="61">
        <v>28.54</v>
      </c>
      <c r="L343" s="59" t="s">
        <v>313</v>
      </c>
      <c r="M343" s="62">
        <v>0</v>
      </c>
      <c r="O343" s="62">
        <v>0</v>
      </c>
      <c r="P343" s="61">
        <v>0</v>
      </c>
      <c r="Q343" s="62">
        <v>28.54</v>
      </c>
    </row>
    <row r="344" spans="1:17" ht="11.1" customHeight="1" x14ac:dyDescent="0.25">
      <c r="A344" s="56">
        <v>26961</v>
      </c>
      <c r="B344" s="57">
        <v>46034</v>
      </c>
      <c r="C344" s="58" t="s">
        <v>550</v>
      </c>
      <c r="D344" s="59" t="s">
        <v>551</v>
      </c>
      <c r="E344" s="56">
        <v>36</v>
      </c>
      <c r="F344" s="56">
        <v>544</v>
      </c>
      <c r="G344" s="59" t="s">
        <v>552</v>
      </c>
      <c r="H344" s="60">
        <v>2102</v>
      </c>
      <c r="I344" s="56">
        <v>6</v>
      </c>
      <c r="J344" s="59" t="s">
        <v>50</v>
      </c>
      <c r="K344" s="61">
        <v>52991.01</v>
      </c>
      <c r="L344" s="59" t="s">
        <v>313</v>
      </c>
      <c r="M344" s="62">
        <v>9997</v>
      </c>
      <c r="N344" s="63">
        <v>4</v>
      </c>
      <c r="O344" s="62">
        <v>399.88</v>
      </c>
      <c r="P344" s="61">
        <v>0</v>
      </c>
      <c r="Q344" s="62">
        <v>134.1</v>
      </c>
    </row>
    <row r="345" spans="1:17" ht="11.1" customHeight="1" x14ac:dyDescent="0.25">
      <c r="L345" s="59" t="s">
        <v>313</v>
      </c>
      <c r="M345" s="62">
        <v>41166.36</v>
      </c>
      <c r="N345" s="63">
        <v>7</v>
      </c>
      <c r="O345" s="62">
        <v>2881.61</v>
      </c>
      <c r="P345" s="61">
        <v>0</v>
      </c>
      <c r="Q345" s="62">
        <v>1693.55</v>
      </c>
    </row>
    <row r="346" spans="1:17" ht="11.1" customHeight="1" x14ac:dyDescent="0.25">
      <c r="A346" s="56">
        <v>26962</v>
      </c>
      <c r="B346" s="57">
        <v>46049</v>
      </c>
      <c r="C346" s="58" t="s">
        <v>553</v>
      </c>
      <c r="D346" s="59" t="s">
        <v>551</v>
      </c>
      <c r="E346" s="56">
        <v>36</v>
      </c>
      <c r="F346" s="56">
        <v>544</v>
      </c>
      <c r="G346" s="59" t="s">
        <v>552</v>
      </c>
      <c r="H346" s="60">
        <v>2102</v>
      </c>
      <c r="I346" s="56">
        <v>6</v>
      </c>
      <c r="J346" s="59" t="s">
        <v>50</v>
      </c>
      <c r="K346" s="61">
        <v>61219.45</v>
      </c>
      <c r="L346" s="59" t="s">
        <v>313</v>
      </c>
      <c r="M346" s="62">
        <v>6339.36</v>
      </c>
      <c r="N346" s="63">
        <v>4</v>
      </c>
      <c r="O346" s="62">
        <v>253.58</v>
      </c>
      <c r="P346" s="61">
        <v>0</v>
      </c>
      <c r="Q346" s="62">
        <v>82.41</v>
      </c>
    </row>
    <row r="347" spans="1:17" ht="11.1" customHeight="1" x14ac:dyDescent="0.25">
      <c r="L347" s="59" t="s">
        <v>313</v>
      </c>
      <c r="M347" s="62">
        <v>52540.01</v>
      </c>
      <c r="N347" s="63">
        <v>7</v>
      </c>
      <c r="O347" s="62">
        <v>3677.81</v>
      </c>
      <c r="P347" s="61">
        <v>0</v>
      </c>
      <c r="Q347" s="62">
        <v>2257.67</v>
      </c>
    </row>
    <row r="348" spans="1:17" ht="11.1" customHeight="1" x14ac:dyDescent="0.25">
      <c r="A348" s="56">
        <v>26963</v>
      </c>
      <c r="B348" s="57">
        <v>46050</v>
      </c>
      <c r="C348" s="58" t="s">
        <v>554</v>
      </c>
      <c r="D348" s="59" t="s">
        <v>551</v>
      </c>
      <c r="E348" s="56">
        <v>36</v>
      </c>
      <c r="F348" s="56">
        <v>544</v>
      </c>
      <c r="G348" s="59" t="s">
        <v>552</v>
      </c>
      <c r="H348" s="60">
        <v>2102</v>
      </c>
      <c r="I348" s="56">
        <v>6</v>
      </c>
      <c r="J348" s="59" t="s">
        <v>50</v>
      </c>
      <c r="K348" s="61">
        <v>3280.5</v>
      </c>
      <c r="L348" s="59" t="s">
        <v>313</v>
      </c>
      <c r="M348" s="62">
        <v>3177.24</v>
      </c>
      <c r="N348" s="63">
        <v>7</v>
      </c>
      <c r="O348" s="62">
        <v>222.41</v>
      </c>
      <c r="P348" s="61">
        <v>0</v>
      </c>
      <c r="Q348" s="62">
        <v>103.26</v>
      </c>
    </row>
    <row r="349" spans="1:17" ht="11.1" customHeight="1" x14ac:dyDescent="0.25">
      <c r="A349" s="15" t="s">
        <v>348</v>
      </c>
      <c r="B349" s="15"/>
      <c r="C349" s="15"/>
      <c r="D349" s="15"/>
      <c r="E349" s="15"/>
      <c r="F349" s="15"/>
      <c r="G349" s="15"/>
      <c r="H349" s="15"/>
      <c r="I349" s="15"/>
    </row>
    <row r="350" spans="1:17" ht="11.1" customHeight="1" x14ac:dyDescent="0.25">
      <c r="K350" s="61">
        <v>117490.96</v>
      </c>
      <c r="L350" s="59" t="s">
        <v>313</v>
      </c>
      <c r="M350" s="62">
        <v>113219.97</v>
      </c>
      <c r="O350" s="62">
        <v>7435.29</v>
      </c>
      <c r="P350" s="61">
        <v>0</v>
      </c>
      <c r="Q350" s="62">
        <v>4270.99</v>
      </c>
    </row>
    <row r="351" spans="1:17" ht="11.1" customHeight="1" x14ac:dyDescent="0.25">
      <c r="A351" s="56">
        <v>28606</v>
      </c>
      <c r="B351" s="57">
        <v>46027</v>
      </c>
      <c r="C351" s="58" t="s">
        <v>555</v>
      </c>
      <c r="D351" s="59" t="s">
        <v>75</v>
      </c>
      <c r="E351" s="56">
        <v>39</v>
      </c>
      <c r="F351" s="56">
        <v>563</v>
      </c>
      <c r="G351" s="59" t="s">
        <v>556</v>
      </c>
      <c r="H351" s="60">
        <v>1933</v>
      </c>
      <c r="I351" s="56">
        <v>29</v>
      </c>
      <c r="J351" s="59" t="s">
        <v>26</v>
      </c>
      <c r="K351" s="61">
        <v>2500</v>
      </c>
      <c r="L351" s="59" t="s">
        <v>75</v>
      </c>
      <c r="M351" s="62">
        <v>0</v>
      </c>
      <c r="N351" s="63">
        <v>0</v>
      </c>
      <c r="O351" s="62">
        <v>0</v>
      </c>
      <c r="P351" s="61">
        <v>0</v>
      </c>
      <c r="Q351" s="62">
        <v>0</v>
      </c>
    </row>
    <row r="352" spans="1:17" ht="11.1" customHeight="1" x14ac:dyDescent="0.25">
      <c r="A352" s="56">
        <v>28607</v>
      </c>
      <c r="B352" s="57">
        <v>46043</v>
      </c>
      <c r="C352" s="58" t="s">
        <v>557</v>
      </c>
      <c r="D352" s="59" t="s">
        <v>75</v>
      </c>
      <c r="E352" s="56">
        <v>39</v>
      </c>
      <c r="F352" s="56">
        <v>563</v>
      </c>
      <c r="G352" s="59" t="s">
        <v>556</v>
      </c>
      <c r="H352" s="60">
        <v>1933</v>
      </c>
      <c r="I352" s="56">
        <v>29</v>
      </c>
      <c r="J352" s="59" t="s">
        <v>26</v>
      </c>
      <c r="K352" s="61">
        <v>150</v>
      </c>
      <c r="L352" s="59" t="s">
        <v>75</v>
      </c>
      <c r="M352" s="62">
        <v>0</v>
      </c>
      <c r="N352" s="63">
        <v>0</v>
      </c>
      <c r="O352" s="62">
        <v>0</v>
      </c>
      <c r="P352" s="61">
        <v>0</v>
      </c>
      <c r="Q352" s="62">
        <v>0</v>
      </c>
    </row>
    <row r="353" spans="1:17" ht="11.1" customHeight="1" x14ac:dyDescent="0.25">
      <c r="A353" s="56">
        <v>28608</v>
      </c>
      <c r="B353" s="57">
        <v>46052</v>
      </c>
      <c r="C353" s="58" t="s">
        <v>558</v>
      </c>
      <c r="D353" s="59" t="s">
        <v>75</v>
      </c>
      <c r="E353" s="56">
        <v>39</v>
      </c>
      <c r="F353" s="56">
        <v>563</v>
      </c>
      <c r="G353" s="59" t="s">
        <v>556</v>
      </c>
      <c r="H353" s="60">
        <v>1933</v>
      </c>
      <c r="I353" s="56">
        <v>29</v>
      </c>
      <c r="J353" s="59" t="s">
        <v>26</v>
      </c>
      <c r="K353" s="61">
        <v>2500</v>
      </c>
      <c r="L353" s="59" t="s">
        <v>75</v>
      </c>
      <c r="M353" s="62">
        <v>0</v>
      </c>
      <c r="N353" s="63">
        <v>0</v>
      </c>
      <c r="O353" s="62">
        <v>0</v>
      </c>
      <c r="P353" s="61">
        <v>0</v>
      </c>
      <c r="Q353" s="62">
        <v>0</v>
      </c>
    </row>
    <row r="354" spans="1:17" ht="11.1" customHeight="1" x14ac:dyDescent="0.25">
      <c r="A354" s="15" t="s">
        <v>348</v>
      </c>
      <c r="B354" s="15"/>
      <c r="C354" s="15"/>
      <c r="D354" s="15"/>
      <c r="E354" s="15"/>
      <c r="F354" s="15"/>
      <c r="G354" s="15"/>
      <c r="H354" s="15"/>
      <c r="I354" s="15"/>
    </row>
    <row r="355" spans="1:17" ht="11.1" customHeight="1" x14ac:dyDescent="0.25">
      <c r="K355" s="61">
        <v>5150</v>
      </c>
      <c r="L355" s="59" t="s">
        <v>75</v>
      </c>
      <c r="M355" s="62">
        <v>0</v>
      </c>
      <c r="O355" s="62">
        <v>0</v>
      </c>
      <c r="P355" s="61">
        <v>0</v>
      </c>
      <c r="Q355" s="62">
        <v>0</v>
      </c>
    </row>
    <row r="356" spans="1:17" ht="11.1" customHeight="1" x14ac:dyDescent="0.25">
      <c r="A356" s="56">
        <v>26883</v>
      </c>
      <c r="B356" s="57">
        <v>46028</v>
      </c>
      <c r="C356" s="58" t="s">
        <v>559</v>
      </c>
      <c r="D356" s="59" t="s">
        <v>560</v>
      </c>
      <c r="E356" s="56">
        <v>36</v>
      </c>
      <c r="F356" s="56">
        <v>595</v>
      </c>
      <c r="G356" s="59" t="s">
        <v>561</v>
      </c>
      <c r="H356" s="60">
        <v>2102</v>
      </c>
      <c r="I356" s="56">
        <v>6</v>
      </c>
      <c r="J356" s="59" t="s">
        <v>50</v>
      </c>
      <c r="K356" s="61">
        <v>5113.3500000000004</v>
      </c>
      <c r="L356" s="59" t="s">
        <v>313</v>
      </c>
      <c r="M356" s="62">
        <v>279.33999999999997</v>
      </c>
      <c r="N356" s="63">
        <v>4</v>
      </c>
      <c r="O356" s="62">
        <v>11.17</v>
      </c>
      <c r="P356" s="61">
        <v>0</v>
      </c>
      <c r="Q356" s="62">
        <v>3.63</v>
      </c>
    </row>
    <row r="357" spans="1:17" ht="11.1" customHeight="1" x14ac:dyDescent="0.25">
      <c r="L357" s="59" t="s">
        <v>313</v>
      </c>
      <c r="M357" s="62">
        <v>4768.3900000000003</v>
      </c>
      <c r="N357" s="63">
        <v>7</v>
      </c>
      <c r="O357" s="62">
        <v>333.79</v>
      </c>
      <c r="P357" s="61">
        <v>0</v>
      </c>
      <c r="Q357" s="62">
        <v>61.99</v>
      </c>
    </row>
    <row r="358" spans="1:17" ht="11.1" customHeight="1" x14ac:dyDescent="0.25">
      <c r="A358" s="56">
        <v>26884</v>
      </c>
      <c r="B358" s="57">
        <v>46029</v>
      </c>
      <c r="C358" s="58" t="s">
        <v>562</v>
      </c>
      <c r="D358" s="59" t="s">
        <v>560</v>
      </c>
      <c r="E358" s="56">
        <v>36</v>
      </c>
      <c r="F358" s="56">
        <v>595</v>
      </c>
      <c r="G358" s="59" t="s">
        <v>561</v>
      </c>
      <c r="H358" s="60">
        <v>2102</v>
      </c>
      <c r="I358" s="56">
        <v>6</v>
      </c>
      <c r="J358" s="59" t="s">
        <v>50</v>
      </c>
      <c r="K358" s="61">
        <v>5661.49</v>
      </c>
      <c r="L358" s="59" t="s">
        <v>313</v>
      </c>
      <c r="M358" s="62">
        <v>5588.84</v>
      </c>
      <c r="N358" s="63">
        <v>4</v>
      </c>
      <c r="O358" s="62">
        <v>223.55</v>
      </c>
      <c r="P358" s="61">
        <v>0</v>
      </c>
      <c r="Q358" s="62">
        <v>72.650000000000006</v>
      </c>
    </row>
    <row r="359" spans="1:17" ht="11.1" customHeight="1" x14ac:dyDescent="0.25">
      <c r="A359" s="15" t="s">
        <v>348</v>
      </c>
      <c r="B359" s="15"/>
      <c r="C359" s="15"/>
      <c r="D359" s="15"/>
      <c r="E359" s="15"/>
      <c r="F359" s="15"/>
      <c r="G359" s="15"/>
      <c r="H359" s="15"/>
      <c r="I359" s="15"/>
    </row>
    <row r="360" spans="1:17" ht="11.1" customHeight="1" x14ac:dyDescent="0.25">
      <c r="K360" s="61">
        <v>10774.84</v>
      </c>
      <c r="L360" s="59" t="s">
        <v>313</v>
      </c>
      <c r="M360" s="62">
        <v>10636.57</v>
      </c>
      <c r="O360" s="62">
        <v>568.51</v>
      </c>
      <c r="P360" s="61">
        <v>0</v>
      </c>
      <c r="Q360" s="62">
        <v>138.27000000000001</v>
      </c>
    </row>
    <row r="361" spans="1:17" ht="11.1" customHeight="1" x14ac:dyDescent="0.25">
      <c r="A361" s="56">
        <v>26989</v>
      </c>
      <c r="B361" s="57">
        <v>46031</v>
      </c>
      <c r="C361" s="58" t="s">
        <v>563</v>
      </c>
      <c r="D361" s="59" t="s">
        <v>352</v>
      </c>
      <c r="E361" s="56">
        <v>36</v>
      </c>
      <c r="F361" s="56">
        <v>615</v>
      </c>
      <c r="G361" s="59" t="s">
        <v>564</v>
      </c>
      <c r="H361" s="60">
        <v>2556</v>
      </c>
      <c r="I361" s="56">
        <v>16</v>
      </c>
      <c r="J361" s="59" t="s">
        <v>41</v>
      </c>
      <c r="K361" s="61">
        <v>4908</v>
      </c>
      <c r="L361" s="59" t="s">
        <v>313</v>
      </c>
      <c r="M361" s="62">
        <v>0</v>
      </c>
      <c r="N361" s="63">
        <v>0</v>
      </c>
      <c r="O361" s="62">
        <v>0</v>
      </c>
      <c r="P361" s="61">
        <v>0</v>
      </c>
      <c r="Q361" s="62">
        <v>4908</v>
      </c>
    </row>
    <row r="362" spans="1:17" ht="11.1" customHeight="1" x14ac:dyDescent="0.25">
      <c r="A362" s="15" t="s">
        <v>348</v>
      </c>
      <c r="B362" s="15"/>
      <c r="C362" s="15"/>
      <c r="D362" s="15"/>
      <c r="E362" s="15"/>
      <c r="F362" s="15"/>
      <c r="G362" s="15"/>
      <c r="H362" s="15"/>
      <c r="I362" s="15"/>
    </row>
    <row r="363" spans="1:17" ht="11.1" customHeight="1" x14ac:dyDescent="0.25">
      <c r="K363" s="61">
        <v>4908</v>
      </c>
      <c r="L363" s="59" t="s">
        <v>313</v>
      </c>
      <c r="M363" s="62">
        <v>0</v>
      </c>
      <c r="O363" s="62">
        <v>0</v>
      </c>
      <c r="P363" s="61">
        <v>0</v>
      </c>
      <c r="Q363" s="62">
        <v>4908</v>
      </c>
    </row>
    <row r="364" spans="1:17" ht="11.1" customHeight="1" x14ac:dyDescent="0.25">
      <c r="A364" s="56">
        <v>27013</v>
      </c>
      <c r="B364" s="57">
        <v>46028</v>
      </c>
      <c r="C364" s="58" t="s">
        <v>565</v>
      </c>
      <c r="D364" s="59" t="s">
        <v>352</v>
      </c>
      <c r="E364" s="56">
        <v>36</v>
      </c>
      <c r="F364" s="56">
        <v>567</v>
      </c>
      <c r="G364" s="59" t="s">
        <v>566</v>
      </c>
      <c r="H364" s="60">
        <v>1102</v>
      </c>
      <c r="I364" s="56">
        <v>6</v>
      </c>
      <c r="J364" s="59" t="s">
        <v>26</v>
      </c>
      <c r="K364" s="61">
        <v>3800</v>
      </c>
      <c r="L364" s="59" t="s">
        <v>313</v>
      </c>
      <c r="M364" s="62">
        <v>0</v>
      </c>
      <c r="N364" s="63">
        <v>0</v>
      </c>
      <c r="O364" s="62">
        <v>0</v>
      </c>
      <c r="P364" s="61">
        <v>0</v>
      </c>
      <c r="Q364" s="62">
        <v>3800</v>
      </c>
    </row>
    <row r="365" spans="1:17" ht="11.1" customHeight="1" x14ac:dyDescent="0.25">
      <c r="A365" s="15" t="s">
        <v>348</v>
      </c>
      <c r="B365" s="15"/>
      <c r="C365" s="15"/>
      <c r="D365" s="15"/>
      <c r="E365" s="15"/>
      <c r="F365" s="15"/>
      <c r="G365" s="15"/>
      <c r="H365" s="15"/>
      <c r="I365" s="15"/>
    </row>
    <row r="366" spans="1:17" ht="11.1" customHeight="1" x14ac:dyDescent="0.25">
      <c r="K366" s="61">
        <v>3800</v>
      </c>
      <c r="L366" s="59" t="s">
        <v>313</v>
      </c>
      <c r="M366" s="62">
        <v>0</v>
      </c>
      <c r="O366" s="62">
        <v>0</v>
      </c>
      <c r="P366" s="61">
        <v>0</v>
      </c>
      <c r="Q366" s="62">
        <v>3800</v>
      </c>
    </row>
    <row r="367" spans="1:17" ht="11.1" customHeight="1" x14ac:dyDescent="0.25">
      <c r="A367" s="56">
        <v>27003</v>
      </c>
      <c r="B367" s="57">
        <v>46029</v>
      </c>
      <c r="C367" s="58" t="s">
        <v>567</v>
      </c>
      <c r="D367" s="59" t="s">
        <v>352</v>
      </c>
      <c r="E367" s="56">
        <v>36</v>
      </c>
      <c r="F367" s="56">
        <v>562</v>
      </c>
      <c r="G367" s="59" t="s">
        <v>568</v>
      </c>
      <c r="H367" s="60">
        <v>1102</v>
      </c>
      <c r="I367" s="56">
        <v>6</v>
      </c>
      <c r="J367" s="59" t="s">
        <v>26</v>
      </c>
      <c r="K367" s="61">
        <v>77.44</v>
      </c>
      <c r="L367" s="59" t="s">
        <v>313</v>
      </c>
      <c r="M367" s="62">
        <v>77.44</v>
      </c>
      <c r="N367" s="63">
        <v>20</v>
      </c>
      <c r="O367" s="62">
        <v>15.49</v>
      </c>
      <c r="P367" s="61">
        <v>0</v>
      </c>
      <c r="Q367" s="62">
        <v>0</v>
      </c>
    </row>
    <row r="368" spans="1:17" ht="11.1" customHeight="1" x14ac:dyDescent="0.25">
      <c r="A368" s="56">
        <v>27004</v>
      </c>
      <c r="B368" s="57">
        <v>46052</v>
      </c>
      <c r="C368" s="58" t="s">
        <v>569</v>
      </c>
      <c r="D368" s="59" t="s">
        <v>352</v>
      </c>
      <c r="E368" s="56">
        <v>36</v>
      </c>
      <c r="F368" s="56">
        <v>562</v>
      </c>
      <c r="G368" s="59" t="s">
        <v>568</v>
      </c>
      <c r="H368" s="60">
        <v>1102</v>
      </c>
      <c r="I368" s="56">
        <v>6</v>
      </c>
      <c r="J368" s="59" t="s">
        <v>26</v>
      </c>
      <c r="K368" s="61">
        <v>52.5</v>
      </c>
      <c r="L368" s="59" t="s">
        <v>313</v>
      </c>
      <c r="M368" s="62">
        <v>52.5</v>
      </c>
      <c r="N368" s="63">
        <v>20</v>
      </c>
      <c r="O368" s="62">
        <v>10.5</v>
      </c>
      <c r="P368" s="61">
        <v>0</v>
      </c>
      <c r="Q368" s="62">
        <v>0</v>
      </c>
    </row>
    <row r="369" spans="1:17" ht="11.1" customHeight="1" x14ac:dyDescent="0.25">
      <c r="A369" s="15" t="s">
        <v>348</v>
      </c>
      <c r="B369" s="15"/>
      <c r="C369" s="15"/>
      <c r="D369" s="15"/>
      <c r="E369" s="15"/>
      <c r="F369" s="15"/>
      <c r="G369" s="15"/>
      <c r="H369" s="15"/>
      <c r="I369" s="15"/>
    </row>
    <row r="370" spans="1:17" ht="11.1" customHeight="1" x14ac:dyDescent="0.25">
      <c r="K370" s="61">
        <v>129.94</v>
      </c>
      <c r="L370" s="59" t="s">
        <v>313</v>
      </c>
      <c r="M370" s="62">
        <v>129.94</v>
      </c>
      <c r="O370" s="62">
        <v>25.99</v>
      </c>
      <c r="P370" s="61">
        <v>0</v>
      </c>
      <c r="Q370" s="62">
        <v>0</v>
      </c>
    </row>
    <row r="371" spans="1:17" ht="11.1" customHeight="1" x14ac:dyDescent="0.25">
      <c r="A371" s="56">
        <v>27012</v>
      </c>
      <c r="B371" s="57">
        <v>46034</v>
      </c>
      <c r="C371" s="58" t="s">
        <v>570</v>
      </c>
      <c r="D371" s="59" t="s">
        <v>352</v>
      </c>
      <c r="E371" s="56">
        <v>36</v>
      </c>
      <c r="F371" s="56">
        <v>1171</v>
      </c>
      <c r="G371" s="59" t="s">
        <v>571</v>
      </c>
      <c r="H371" s="60">
        <v>1556</v>
      </c>
      <c r="I371" s="56">
        <v>12</v>
      </c>
      <c r="J371" s="59" t="s">
        <v>26</v>
      </c>
      <c r="K371" s="61">
        <v>167.99</v>
      </c>
      <c r="L371" s="59" t="s">
        <v>75</v>
      </c>
      <c r="M371" s="62">
        <v>0</v>
      </c>
      <c r="N371" s="63">
        <v>0</v>
      </c>
      <c r="O371" s="62">
        <v>0</v>
      </c>
      <c r="P371" s="61">
        <v>0</v>
      </c>
      <c r="Q371" s="62">
        <v>0</v>
      </c>
    </row>
    <row r="372" spans="1:17" ht="11.1" customHeight="1" x14ac:dyDescent="0.25">
      <c r="A372" s="15" t="s">
        <v>296</v>
      </c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</row>
    <row r="373" spans="1:17" ht="11.1" customHeight="1" x14ac:dyDescent="0.25">
      <c r="A373" s="10" t="s">
        <v>184</v>
      </c>
      <c r="B373" s="10" t="s">
        <v>297</v>
      </c>
      <c r="C373" s="10" t="s">
        <v>298</v>
      </c>
      <c r="D373" s="55" t="s">
        <v>299</v>
      </c>
      <c r="E373" s="10" t="s">
        <v>300</v>
      </c>
      <c r="F373" s="10" t="s">
        <v>184</v>
      </c>
      <c r="G373" s="55" t="s">
        <v>301</v>
      </c>
      <c r="H373" s="10" t="s">
        <v>302</v>
      </c>
      <c r="I373" s="10" t="s">
        <v>303</v>
      </c>
      <c r="J373" s="55" t="s">
        <v>24</v>
      </c>
      <c r="K373" s="15" t="s">
        <v>304</v>
      </c>
      <c r="L373" s="55" t="s">
        <v>305</v>
      </c>
      <c r="M373" s="10" t="s">
        <v>306</v>
      </c>
      <c r="N373" s="10" t="s">
        <v>307</v>
      </c>
      <c r="O373" s="10" t="s">
        <v>73</v>
      </c>
      <c r="P373" s="15" t="s">
        <v>308</v>
      </c>
      <c r="Q373" s="10" t="s">
        <v>309</v>
      </c>
    </row>
    <row r="374" spans="1:17" ht="11.1" customHeight="1" x14ac:dyDescent="0.25">
      <c r="A374" s="15" t="s">
        <v>348</v>
      </c>
      <c r="B374" s="15"/>
      <c r="C374" s="15"/>
      <c r="D374" s="15"/>
      <c r="E374" s="15"/>
      <c r="F374" s="15"/>
      <c r="G374" s="15"/>
      <c r="H374" s="15"/>
      <c r="I374" s="15"/>
    </row>
    <row r="375" spans="1:17" ht="11.1" customHeight="1" x14ac:dyDescent="0.25">
      <c r="K375" s="61">
        <v>167.99</v>
      </c>
      <c r="L375" s="59" t="s">
        <v>75</v>
      </c>
      <c r="M375" s="62">
        <v>0</v>
      </c>
      <c r="O375" s="62">
        <v>0</v>
      </c>
      <c r="P375" s="61">
        <v>0</v>
      </c>
      <c r="Q375" s="62">
        <v>0</v>
      </c>
    </row>
    <row r="376" spans="1:17" ht="11.1" customHeight="1" x14ac:dyDescent="0.25">
      <c r="A376" s="56">
        <v>28564</v>
      </c>
      <c r="B376" s="57">
        <v>46024</v>
      </c>
      <c r="C376" s="58" t="s">
        <v>572</v>
      </c>
      <c r="D376" s="59" t="s">
        <v>75</v>
      </c>
      <c r="E376" s="56">
        <v>39</v>
      </c>
      <c r="F376" s="56">
        <v>559</v>
      </c>
      <c r="G376" s="59" t="s">
        <v>573</v>
      </c>
      <c r="H376" s="60">
        <v>1933</v>
      </c>
      <c r="I376" s="56">
        <v>29</v>
      </c>
      <c r="J376" s="59" t="s">
        <v>26</v>
      </c>
      <c r="K376" s="61">
        <v>11574.8</v>
      </c>
      <c r="L376" s="59" t="s">
        <v>358</v>
      </c>
      <c r="M376" s="62">
        <v>11574.8</v>
      </c>
      <c r="N376" s="63">
        <v>5</v>
      </c>
      <c r="O376" s="62">
        <v>578.74</v>
      </c>
      <c r="P376" s="61">
        <v>0</v>
      </c>
      <c r="Q376" s="62">
        <v>0</v>
      </c>
    </row>
    <row r="377" spans="1:17" ht="11.1" customHeight="1" x14ac:dyDescent="0.25">
      <c r="A377" s="56">
        <v>28565</v>
      </c>
      <c r="B377" s="57">
        <v>46024</v>
      </c>
      <c r="C377" s="58" t="s">
        <v>574</v>
      </c>
      <c r="D377" s="59" t="s">
        <v>75</v>
      </c>
      <c r="E377" s="56">
        <v>39</v>
      </c>
      <c r="F377" s="56">
        <v>559</v>
      </c>
      <c r="G377" s="59" t="s">
        <v>573</v>
      </c>
      <c r="H377" s="60">
        <v>1933</v>
      </c>
      <c r="I377" s="56">
        <v>29</v>
      </c>
      <c r="J377" s="59" t="s">
        <v>26</v>
      </c>
      <c r="K377" s="61">
        <v>1005.8</v>
      </c>
      <c r="L377" s="59" t="s">
        <v>358</v>
      </c>
      <c r="M377" s="62">
        <v>1005.8</v>
      </c>
      <c r="N377" s="63">
        <v>5</v>
      </c>
      <c r="O377" s="62">
        <v>50.29</v>
      </c>
      <c r="P377" s="61">
        <v>0</v>
      </c>
      <c r="Q377" s="62">
        <v>0</v>
      </c>
    </row>
    <row r="378" spans="1:17" ht="11.1" customHeight="1" x14ac:dyDescent="0.25">
      <c r="A378" s="56">
        <v>28566</v>
      </c>
      <c r="B378" s="57">
        <v>46036</v>
      </c>
      <c r="C378" s="58" t="s">
        <v>575</v>
      </c>
      <c r="D378" s="59" t="s">
        <v>75</v>
      </c>
      <c r="E378" s="56">
        <v>39</v>
      </c>
      <c r="F378" s="56">
        <v>559</v>
      </c>
      <c r="G378" s="59" t="s">
        <v>573</v>
      </c>
      <c r="H378" s="60">
        <v>1933</v>
      </c>
      <c r="I378" s="56">
        <v>29</v>
      </c>
      <c r="J378" s="59" t="s">
        <v>26</v>
      </c>
      <c r="K378" s="61">
        <v>654.46</v>
      </c>
      <c r="L378" s="59" t="s">
        <v>75</v>
      </c>
      <c r="M378" s="62">
        <v>0</v>
      </c>
      <c r="N378" s="63">
        <v>0</v>
      </c>
      <c r="O378" s="62">
        <v>0</v>
      </c>
      <c r="P378" s="61">
        <v>0</v>
      </c>
      <c r="Q378" s="62">
        <v>0</v>
      </c>
    </row>
    <row r="379" spans="1:17" ht="11.1" customHeight="1" x14ac:dyDescent="0.25">
      <c r="A379" s="56">
        <v>28567</v>
      </c>
      <c r="B379" s="57">
        <v>46036</v>
      </c>
      <c r="C379" s="58" t="s">
        <v>576</v>
      </c>
      <c r="D379" s="59" t="s">
        <v>75</v>
      </c>
      <c r="E379" s="56">
        <v>39</v>
      </c>
      <c r="F379" s="56">
        <v>559</v>
      </c>
      <c r="G379" s="59" t="s">
        <v>573</v>
      </c>
      <c r="H379" s="60">
        <v>1933</v>
      </c>
      <c r="I379" s="56">
        <v>29</v>
      </c>
      <c r="J379" s="59" t="s">
        <v>26</v>
      </c>
      <c r="K379" s="61">
        <v>11071.13</v>
      </c>
      <c r="L379" s="59" t="s">
        <v>75</v>
      </c>
      <c r="M379" s="62">
        <v>0</v>
      </c>
      <c r="N379" s="63">
        <v>0</v>
      </c>
      <c r="O379" s="62">
        <v>0</v>
      </c>
      <c r="P379" s="61">
        <v>0</v>
      </c>
      <c r="Q379" s="62">
        <v>0</v>
      </c>
    </row>
    <row r="380" spans="1:17" ht="11.1" customHeight="1" x14ac:dyDescent="0.25">
      <c r="A380" s="56">
        <v>28568</v>
      </c>
      <c r="B380" s="57">
        <v>46048</v>
      </c>
      <c r="C380" s="58" t="s">
        <v>577</v>
      </c>
      <c r="D380" s="59" t="s">
        <v>75</v>
      </c>
      <c r="E380" s="56">
        <v>39</v>
      </c>
      <c r="F380" s="56">
        <v>559</v>
      </c>
      <c r="G380" s="59" t="s">
        <v>573</v>
      </c>
      <c r="H380" s="60">
        <v>1933</v>
      </c>
      <c r="I380" s="56">
        <v>29</v>
      </c>
      <c r="J380" s="59" t="s">
        <v>26</v>
      </c>
      <c r="K380" s="61">
        <v>11574.8</v>
      </c>
      <c r="L380" s="59" t="s">
        <v>75</v>
      </c>
      <c r="M380" s="62">
        <v>0</v>
      </c>
      <c r="N380" s="63">
        <v>0</v>
      </c>
      <c r="O380" s="62">
        <v>0</v>
      </c>
      <c r="P380" s="61">
        <v>0</v>
      </c>
      <c r="Q380" s="62">
        <v>0</v>
      </c>
    </row>
    <row r="381" spans="1:17" ht="11.1" customHeight="1" x14ac:dyDescent="0.25">
      <c r="A381" s="56">
        <v>28569</v>
      </c>
      <c r="B381" s="57">
        <v>46048</v>
      </c>
      <c r="C381" s="58" t="s">
        <v>578</v>
      </c>
      <c r="D381" s="59" t="s">
        <v>75</v>
      </c>
      <c r="E381" s="56">
        <v>39</v>
      </c>
      <c r="F381" s="56">
        <v>559</v>
      </c>
      <c r="G381" s="59" t="s">
        <v>573</v>
      </c>
      <c r="H381" s="60">
        <v>1933</v>
      </c>
      <c r="I381" s="56">
        <v>29</v>
      </c>
      <c r="J381" s="59" t="s">
        <v>26</v>
      </c>
      <c r="K381" s="61">
        <v>1005.8</v>
      </c>
      <c r="L381" s="59" t="s">
        <v>75</v>
      </c>
      <c r="M381" s="62">
        <v>0</v>
      </c>
      <c r="N381" s="63">
        <v>0</v>
      </c>
      <c r="O381" s="62">
        <v>0</v>
      </c>
      <c r="P381" s="61">
        <v>0</v>
      </c>
      <c r="Q381" s="62">
        <v>0</v>
      </c>
    </row>
    <row r="382" spans="1:17" ht="11.1" customHeight="1" x14ac:dyDescent="0.25">
      <c r="A382" s="56">
        <v>28570</v>
      </c>
      <c r="B382" s="57">
        <v>46049</v>
      </c>
      <c r="C382" s="58" t="s">
        <v>579</v>
      </c>
      <c r="D382" s="59" t="s">
        <v>75</v>
      </c>
      <c r="E382" s="56">
        <v>39</v>
      </c>
      <c r="F382" s="56">
        <v>559</v>
      </c>
      <c r="G382" s="59" t="s">
        <v>573</v>
      </c>
      <c r="H382" s="60">
        <v>1933</v>
      </c>
      <c r="I382" s="56">
        <v>29</v>
      </c>
      <c r="J382" s="59" t="s">
        <v>26</v>
      </c>
      <c r="K382" s="61">
        <v>1217.5</v>
      </c>
      <c r="L382" s="59" t="s">
        <v>75</v>
      </c>
      <c r="M382" s="62">
        <v>0</v>
      </c>
      <c r="N382" s="63">
        <v>0</v>
      </c>
      <c r="O382" s="62">
        <v>0</v>
      </c>
      <c r="P382" s="61">
        <v>0</v>
      </c>
      <c r="Q382" s="62">
        <v>0</v>
      </c>
    </row>
    <row r="383" spans="1:17" ht="11.1" customHeight="1" x14ac:dyDescent="0.25">
      <c r="A383" s="56">
        <v>28571</v>
      </c>
      <c r="B383" s="57">
        <v>46050</v>
      </c>
      <c r="C383" s="58" t="s">
        <v>580</v>
      </c>
      <c r="D383" s="59" t="s">
        <v>75</v>
      </c>
      <c r="E383" s="56">
        <v>39</v>
      </c>
      <c r="F383" s="56">
        <v>559</v>
      </c>
      <c r="G383" s="59" t="s">
        <v>573</v>
      </c>
      <c r="H383" s="60">
        <v>1933</v>
      </c>
      <c r="I383" s="56">
        <v>29</v>
      </c>
      <c r="J383" s="59" t="s">
        <v>26</v>
      </c>
      <c r="K383" s="61">
        <v>12288.63</v>
      </c>
      <c r="L383" s="59" t="s">
        <v>75</v>
      </c>
      <c r="M383" s="62">
        <v>0</v>
      </c>
      <c r="N383" s="63">
        <v>0</v>
      </c>
      <c r="O383" s="62">
        <v>0</v>
      </c>
      <c r="P383" s="61">
        <v>0</v>
      </c>
      <c r="Q383" s="62">
        <v>0</v>
      </c>
    </row>
    <row r="384" spans="1:17" ht="11.1" customHeight="1" x14ac:dyDescent="0.25">
      <c r="A384" s="56">
        <v>28572</v>
      </c>
      <c r="B384" s="57">
        <v>46050</v>
      </c>
      <c r="C384" s="58" t="s">
        <v>581</v>
      </c>
      <c r="D384" s="59" t="s">
        <v>75</v>
      </c>
      <c r="E384" s="56">
        <v>39</v>
      </c>
      <c r="F384" s="56">
        <v>559</v>
      </c>
      <c r="G384" s="59" t="s">
        <v>573</v>
      </c>
      <c r="H384" s="60">
        <v>1933</v>
      </c>
      <c r="I384" s="56">
        <v>29</v>
      </c>
      <c r="J384" s="59" t="s">
        <v>26</v>
      </c>
      <c r="K384" s="61">
        <v>763.06</v>
      </c>
      <c r="L384" s="59" t="s">
        <v>75</v>
      </c>
      <c r="M384" s="62">
        <v>0</v>
      </c>
      <c r="N384" s="63">
        <v>0</v>
      </c>
      <c r="O384" s="62">
        <v>0</v>
      </c>
      <c r="P384" s="61">
        <v>0</v>
      </c>
      <c r="Q384" s="62">
        <v>0</v>
      </c>
    </row>
    <row r="385" spans="1:17" ht="11.1" customHeight="1" x14ac:dyDescent="0.25">
      <c r="A385" s="56">
        <v>28573</v>
      </c>
      <c r="B385" s="57">
        <v>46050</v>
      </c>
      <c r="C385" s="58" t="s">
        <v>582</v>
      </c>
      <c r="D385" s="59" t="s">
        <v>75</v>
      </c>
      <c r="E385" s="56">
        <v>39</v>
      </c>
      <c r="F385" s="56">
        <v>559</v>
      </c>
      <c r="G385" s="59" t="s">
        <v>573</v>
      </c>
      <c r="H385" s="60">
        <v>1933</v>
      </c>
      <c r="I385" s="56">
        <v>29</v>
      </c>
      <c r="J385" s="59" t="s">
        <v>26</v>
      </c>
      <c r="K385" s="61">
        <v>654.46</v>
      </c>
      <c r="L385" s="59" t="s">
        <v>75</v>
      </c>
      <c r="M385" s="62">
        <v>0</v>
      </c>
      <c r="N385" s="63">
        <v>0</v>
      </c>
      <c r="O385" s="62">
        <v>0</v>
      </c>
      <c r="P385" s="61">
        <v>0</v>
      </c>
      <c r="Q385" s="62">
        <v>0</v>
      </c>
    </row>
    <row r="386" spans="1:17" ht="11.1" customHeight="1" x14ac:dyDescent="0.25">
      <c r="A386" s="15" t="s">
        <v>348</v>
      </c>
      <c r="B386" s="15"/>
      <c r="C386" s="15"/>
      <c r="D386" s="15"/>
      <c r="E386" s="15"/>
      <c r="F386" s="15"/>
      <c r="G386" s="15"/>
      <c r="H386" s="15"/>
      <c r="I386" s="15"/>
    </row>
    <row r="387" spans="1:17" ht="11.1" customHeight="1" x14ac:dyDescent="0.25">
      <c r="K387" s="61">
        <v>51810.44</v>
      </c>
      <c r="L387" s="59" t="s">
        <v>358</v>
      </c>
      <c r="M387" s="62">
        <v>12580.6</v>
      </c>
      <c r="O387" s="62">
        <v>629.03</v>
      </c>
      <c r="P387" s="61">
        <v>0</v>
      </c>
      <c r="Q387" s="62">
        <v>0</v>
      </c>
    </row>
    <row r="388" spans="1:17" ht="11.1" customHeight="1" x14ac:dyDescent="0.25">
      <c r="A388" s="56">
        <v>26859</v>
      </c>
      <c r="B388" s="57">
        <v>46030</v>
      </c>
      <c r="C388" s="58" t="s">
        <v>583</v>
      </c>
      <c r="D388" s="59" t="s">
        <v>352</v>
      </c>
      <c r="E388" s="56">
        <v>36</v>
      </c>
      <c r="F388" s="56">
        <v>1163</v>
      </c>
      <c r="G388" s="59" t="s">
        <v>584</v>
      </c>
      <c r="H388" s="60">
        <v>1411</v>
      </c>
      <c r="I388" s="56">
        <v>40</v>
      </c>
      <c r="J388" s="59" t="s">
        <v>26</v>
      </c>
      <c r="K388" s="61">
        <v>416.7</v>
      </c>
      <c r="L388" s="59" t="s">
        <v>313</v>
      </c>
      <c r="M388" s="62">
        <v>416.7</v>
      </c>
      <c r="N388" s="63">
        <v>20</v>
      </c>
      <c r="O388" s="62">
        <v>83.34</v>
      </c>
      <c r="P388" s="61">
        <v>0</v>
      </c>
      <c r="Q388" s="62">
        <v>0</v>
      </c>
    </row>
    <row r="389" spans="1:17" ht="11.1" customHeight="1" x14ac:dyDescent="0.25">
      <c r="A389" s="56">
        <v>26862</v>
      </c>
      <c r="B389" s="57">
        <v>46037</v>
      </c>
      <c r="C389" s="58" t="s">
        <v>585</v>
      </c>
      <c r="D389" s="59" t="s">
        <v>352</v>
      </c>
      <c r="E389" s="56">
        <v>36</v>
      </c>
      <c r="F389" s="56">
        <v>1163</v>
      </c>
      <c r="G389" s="59" t="s">
        <v>584</v>
      </c>
      <c r="H389" s="60">
        <v>1202</v>
      </c>
      <c r="I389" s="56">
        <v>38</v>
      </c>
      <c r="J389" s="59" t="s">
        <v>26</v>
      </c>
      <c r="K389" s="61">
        <v>105.84</v>
      </c>
      <c r="L389" s="59" t="s">
        <v>313</v>
      </c>
      <c r="M389" s="62">
        <v>105.84</v>
      </c>
      <c r="N389" s="63">
        <v>20</v>
      </c>
      <c r="O389" s="62">
        <v>21.17</v>
      </c>
      <c r="P389" s="61">
        <v>0</v>
      </c>
      <c r="Q389" s="62">
        <v>0</v>
      </c>
    </row>
    <row r="390" spans="1:17" ht="11.1" customHeight="1" x14ac:dyDescent="0.25">
      <c r="A390" s="56">
        <v>26863</v>
      </c>
      <c r="B390" s="57">
        <v>46037</v>
      </c>
      <c r="C390" s="58" t="s">
        <v>585</v>
      </c>
      <c r="D390" s="59" t="s">
        <v>352</v>
      </c>
      <c r="E390" s="56">
        <v>36</v>
      </c>
      <c r="F390" s="56">
        <v>1163</v>
      </c>
      <c r="G390" s="59" t="s">
        <v>584</v>
      </c>
      <c r="H390" s="60">
        <v>1411</v>
      </c>
      <c r="I390" s="56">
        <v>40</v>
      </c>
      <c r="J390" s="59" t="s">
        <v>26</v>
      </c>
      <c r="K390" s="61">
        <v>1383.44</v>
      </c>
      <c r="L390" s="59" t="s">
        <v>313</v>
      </c>
      <c r="M390" s="62">
        <v>1383.44</v>
      </c>
      <c r="N390" s="63">
        <v>20</v>
      </c>
      <c r="O390" s="62">
        <v>276.69</v>
      </c>
      <c r="P390" s="61">
        <v>0</v>
      </c>
      <c r="Q390" s="62">
        <v>0</v>
      </c>
    </row>
    <row r="391" spans="1:17" ht="11.1" customHeight="1" x14ac:dyDescent="0.25">
      <c r="A391" s="15" t="s">
        <v>348</v>
      </c>
      <c r="B391" s="15"/>
      <c r="C391" s="15"/>
      <c r="D391" s="15"/>
      <c r="E391" s="15"/>
      <c r="F391" s="15"/>
      <c r="G391" s="15"/>
      <c r="H391" s="15"/>
      <c r="I391" s="15"/>
    </row>
    <row r="392" spans="1:17" ht="11.1" customHeight="1" x14ac:dyDescent="0.25">
      <c r="K392" s="61">
        <v>1905.98</v>
      </c>
      <c r="L392" s="59" t="s">
        <v>313</v>
      </c>
      <c r="M392" s="62">
        <v>1905.98</v>
      </c>
      <c r="O392" s="62">
        <v>381.2</v>
      </c>
      <c r="P392" s="61">
        <v>0</v>
      </c>
      <c r="Q392" s="62">
        <v>0</v>
      </c>
    </row>
    <row r="393" spans="1:17" ht="11.1" customHeight="1" x14ac:dyDescent="0.25">
      <c r="A393" s="56">
        <v>26882</v>
      </c>
      <c r="B393" s="57">
        <v>46043</v>
      </c>
      <c r="C393" s="58" t="s">
        <v>586</v>
      </c>
      <c r="D393" s="59" t="s">
        <v>412</v>
      </c>
      <c r="E393" s="56">
        <v>36</v>
      </c>
      <c r="F393" s="56">
        <v>753</v>
      </c>
      <c r="G393" s="59" t="s">
        <v>587</v>
      </c>
      <c r="H393" s="60">
        <v>2102</v>
      </c>
      <c r="I393" s="56">
        <v>6</v>
      </c>
      <c r="J393" s="59" t="s">
        <v>44</v>
      </c>
      <c r="K393" s="61">
        <v>22980</v>
      </c>
      <c r="L393" s="59" t="s">
        <v>313</v>
      </c>
      <c r="M393" s="62">
        <v>22980</v>
      </c>
      <c r="N393" s="63">
        <v>7</v>
      </c>
      <c r="O393" s="62">
        <v>1608.6</v>
      </c>
      <c r="P393" s="61">
        <v>0</v>
      </c>
      <c r="Q393" s="62">
        <v>0</v>
      </c>
    </row>
    <row r="394" spans="1:17" ht="11.1" customHeight="1" x14ac:dyDescent="0.25">
      <c r="A394" s="15" t="s">
        <v>348</v>
      </c>
      <c r="B394" s="15"/>
      <c r="C394" s="15"/>
      <c r="D394" s="15"/>
      <c r="E394" s="15"/>
      <c r="F394" s="15"/>
      <c r="G394" s="15"/>
      <c r="H394" s="15"/>
      <c r="I394" s="15"/>
    </row>
    <row r="395" spans="1:17" ht="11.1" customHeight="1" x14ac:dyDescent="0.25">
      <c r="K395" s="61">
        <v>22980</v>
      </c>
      <c r="L395" s="59" t="s">
        <v>313</v>
      </c>
      <c r="M395" s="62">
        <v>22980</v>
      </c>
      <c r="O395" s="62">
        <v>1608.6</v>
      </c>
      <c r="P395" s="61">
        <v>0</v>
      </c>
      <c r="Q395" s="62">
        <v>0</v>
      </c>
    </row>
    <row r="396" spans="1:17" ht="11.1" customHeight="1" x14ac:dyDescent="0.25">
      <c r="A396" s="56">
        <v>28865</v>
      </c>
      <c r="B396" s="57">
        <v>46034</v>
      </c>
      <c r="C396" s="58" t="s">
        <v>588</v>
      </c>
      <c r="D396" s="59" t="s">
        <v>75</v>
      </c>
      <c r="E396" s="56">
        <v>39</v>
      </c>
      <c r="F396" s="56">
        <v>1271</v>
      </c>
      <c r="G396" s="59" t="s">
        <v>589</v>
      </c>
      <c r="H396" s="60">
        <v>1933</v>
      </c>
      <c r="I396" s="56">
        <v>29</v>
      </c>
      <c r="J396" s="59" t="s">
        <v>26</v>
      </c>
      <c r="K396" s="61">
        <v>89.9</v>
      </c>
      <c r="L396" s="59" t="s">
        <v>75</v>
      </c>
      <c r="M396" s="62">
        <v>0</v>
      </c>
      <c r="N396" s="63">
        <v>0</v>
      </c>
      <c r="O396" s="62">
        <v>0</v>
      </c>
      <c r="P396" s="61">
        <v>0</v>
      </c>
      <c r="Q396" s="62">
        <v>0</v>
      </c>
    </row>
    <row r="397" spans="1:17" ht="11.1" customHeight="1" x14ac:dyDescent="0.25">
      <c r="A397" s="15" t="s">
        <v>348</v>
      </c>
      <c r="B397" s="15"/>
      <c r="C397" s="15"/>
      <c r="D397" s="15"/>
      <c r="E397" s="15"/>
      <c r="F397" s="15"/>
      <c r="G397" s="15"/>
      <c r="H397" s="15"/>
      <c r="I397" s="15"/>
    </row>
    <row r="398" spans="1:17" ht="11.1" customHeight="1" x14ac:dyDescent="0.25">
      <c r="K398" s="61">
        <v>89.9</v>
      </c>
      <c r="L398" s="59" t="s">
        <v>75</v>
      </c>
      <c r="M398" s="62">
        <v>0</v>
      </c>
      <c r="O398" s="62">
        <v>0</v>
      </c>
      <c r="P398" s="61">
        <v>0</v>
      </c>
      <c r="Q398" s="62">
        <v>0</v>
      </c>
    </row>
    <row r="399" spans="1:17" ht="11.1" customHeight="1" x14ac:dyDescent="0.25">
      <c r="A399" s="56">
        <v>26877</v>
      </c>
      <c r="B399" s="57">
        <v>46048</v>
      </c>
      <c r="C399" s="58" t="s">
        <v>590</v>
      </c>
      <c r="D399" s="59" t="s">
        <v>352</v>
      </c>
      <c r="E399" s="56">
        <v>36</v>
      </c>
      <c r="F399" s="56">
        <v>969</v>
      </c>
      <c r="G399" s="59" t="s">
        <v>591</v>
      </c>
      <c r="H399" s="60">
        <v>1202</v>
      </c>
      <c r="I399" s="56">
        <v>38</v>
      </c>
      <c r="J399" s="59" t="s">
        <v>26</v>
      </c>
      <c r="K399" s="61">
        <v>111.6</v>
      </c>
      <c r="L399" s="59" t="s">
        <v>313</v>
      </c>
      <c r="M399" s="62">
        <v>111.6</v>
      </c>
      <c r="N399" s="63">
        <v>20</v>
      </c>
      <c r="O399" s="62">
        <v>22.32</v>
      </c>
      <c r="P399" s="61">
        <v>0</v>
      </c>
      <c r="Q399" s="62">
        <v>0</v>
      </c>
    </row>
    <row r="400" spans="1:17" ht="11.1" customHeight="1" x14ac:dyDescent="0.25">
      <c r="A400" s="15" t="s">
        <v>348</v>
      </c>
      <c r="B400" s="15"/>
      <c r="C400" s="15"/>
      <c r="D400" s="15"/>
      <c r="E400" s="15"/>
      <c r="F400" s="15"/>
      <c r="G400" s="15"/>
      <c r="H400" s="15"/>
      <c r="I400" s="15"/>
    </row>
    <row r="401" spans="1:17" ht="11.1" customHeight="1" x14ac:dyDescent="0.25">
      <c r="K401" s="61">
        <v>111.6</v>
      </c>
      <c r="L401" s="59" t="s">
        <v>313</v>
      </c>
      <c r="M401" s="62">
        <v>111.6</v>
      </c>
      <c r="O401" s="62">
        <v>22.32</v>
      </c>
      <c r="P401" s="61">
        <v>0</v>
      </c>
      <c r="Q401" s="62">
        <v>0</v>
      </c>
    </row>
    <row r="402" spans="1:17" ht="11.1" customHeight="1" x14ac:dyDescent="0.25">
      <c r="A402" s="56">
        <v>28619</v>
      </c>
      <c r="B402" s="57">
        <v>46030</v>
      </c>
      <c r="C402" s="58" t="s">
        <v>592</v>
      </c>
      <c r="D402" s="59" t="s">
        <v>75</v>
      </c>
      <c r="E402" s="56">
        <v>39</v>
      </c>
      <c r="F402" s="56">
        <v>1262</v>
      </c>
      <c r="G402" s="59" t="s">
        <v>593</v>
      </c>
      <c r="H402" s="60">
        <v>1933</v>
      </c>
      <c r="I402" s="56">
        <v>29</v>
      </c>
      <c r="J402" s="59" t="s">
        <v>26</v>
      </c>
      <c r="K402" s="61">
        <v>1000</v>
      </c>
      <c r="L402" s="59" t="s">
        <v>358</v>
      </c>
      <c r="M402" s="62">
        <v>1000</v>
      </c>
      <c r="N402" s="63">
        <v>5</v>
      </c>
      <c r="O402" s="62">
        <v>50</v>
      </c>
      <c r="P402" s="61">
        <v>0</v>
      </c>
      <c r="Q402" s="62">
        <v>0</v>
      </c>
    </row>
    <row r="403" spans="1:17" ht="11.1" customHeight="1" x14ac:dyDescent="0.25">
      <c r="A403" s="15" t="s">
        <v>348</v>
      </c>
      <c r="B403" s="15"/>
      <c r="C403" s="15"/>
      <c r="D403" s="15"/>
      <c r="E403" s="15"/>
      <c r="F403" s="15"/>
      <c r="G403" s="15"/>
      <c r="H403" s="15"/>
      <c r="I403" s="15"/>
    </row>
    <row r="404" spans="1:17" ht="11.1" customHeight="1" x14ac:dyDescent="0.25">
      <c r="K404" s="61">
        <v>1000</v>
      </c>
      <c r="L404" s="59" t="s">
        <v>358</v>
      </c>
      <c r="M404" s="62">
        <v>1000</v>
      </c>
      <c r="O404" s="62">
        <v>50</v>
      </c>
      <c r="P404" s="61">
        <v>0</v>
      </c>
      <c r="Q404" s="62">
        <v>0</v>
      </c>
    </row>
    <row r="405" spans="1:17" ht="11.1" customHeight="1" x14ac:dyDescent="0.25">
      <c r="A405" s="56">
        <v>26857</v>
      </c>
      <c r="B405" s="57">
        <v>46029</v>
      </c>
      <c r="C405" s="58" t="s">
        <v>594</v>
      </c>
      <c r="D405" s="59" t="s">
        <v>352</v>
      </c>
      <c r="E405" s="56">
        <v>36</v>
      </c>
      <c r="F405" s="56">
        <v>1006</v>
      </c>
      <c r="G405" s="59" t="s">
        <v>595</v>
      </c>
      <c r="H405" s="60">
        <v>1411</v>
      </c>
      <c r="I405" s="56">
        <v>40</v>
      </c>
      <c r="J405" s="59" t="s">
        <v>26</v>
      </c>
      <c r="K405" s="61">
        <v>61.03</v>
      </c>
      <c r="L405" s="59" t="s">
        <v>313</v>
      </c>
      <c r="M405" s="62">
        <v>57.04</v>
      </c>
      <c r="N405" s="63">
        <v>20</v>
      </c>
      <c r="O405" s="62">
        <v>11.41</v>
      </c>
      <c r="P405" s="61">
        <v>0</v>
      </c>
      <c r="Q405" s="62">
        <v>3.99</v>
      </c>
    </row>
    <row r="406" spans="1:17" ht="11.1" customHeight="1" x14ac:dyDescent="0.25">
      <c r="L406" s="59" t="s">
        <v>436</v>
      </c>
      <c r="M406" s="62">
        <v>77</v>
      </c>
      <c r="N406" s="63">
        <v>20</v>
      </c>
      <c r="O406" s="62">
        <v>3.99</v>
      </c>
      <c r="P406" s="61">
        <v>0</v>
      </c>
      <c r="Q406" s="62">
        <v>0</v>
      </c>
    </row>
    <row r="407" spans="1:17" ht="11.1" customHeight="1" x14ac:dyDescent="0.25">
      <c r="A407" s="15" t="s">
        <v>348</v>
      </c>
      <c r="B407" s="15"/>
      <c r="C407" s="15"/>
      <c r="D407" s="15"/>
      <c r="E407" s="15"/>
      <c r="F407" s="15"/>
      <c r="G407" s="15"/>
      <c r="H407" s="15"/>
      <c r="I407" s="15"/>
    </row>
    <row r="408" spans="1:17" ht="11.1" customHeight="1" x14ac:dyDescent="0.25">
      <c r="K408" s="61">
        <v>61.03</v>
      </c>
      <c r="L408" s="59" t="s">
        <v>313</v>
      </c>
      <c r="M408" s="62">
        <v>57.04</v>
      </c>
      <c r="O408" s="62">
        <v>11.41</v>
      </c>
      <c r="P408" s="61">
        <v>0</v>
      </c>
      <c r="Q408" s="62">
        <v>3.99</v>
      </c>
    </row>
    <row r="409" spans="1:17" ht="11.1" customHeight="1" x14ac:dyDescent="0.25">
      <c r="L409" s="59" t="s">
        <v>436</v>
      </c>
      <c r="M409" s="62">
        <v>77</v>
      </c>
      <c r="O409" s="62">
        <v>3.99</v>
      </c>
      <c r="P409" s="61">
        <v>0</v>
      </c>
      <c r="Q409" s="62">
        <v>0</v>
      </c>
    </row>
    <row r="410" spans="1:17" ht="11.1" customHeight="1" x14ac:dyDescent="0.25">
      <c r="A410" s="56">
        <v>26861</v>
      </c>
      <c r="B410" s="57">
        <v>46036</v>
      </c>
      <c r="C410" s="58" t="s">
        <v>596</v>
      </c>
      <c r="D410" s="59" t="s">
        <v>352</v>
      </c>
      <c r="E410" s="56">
        <v>36</v>
      </c>
      <c r="F410" s="56">
        <v>1165</v>
      </c>
      <c r="G410" s="59" t="s">
        <v>597</v>
      </c>
      <c r="H410" s="60">
        <v>2202</v>
      </c>
      <c r="I410" s="56">
        <v>38</v>
      </c>
      <c r="J410" s="59" t="s">
        <v>34</v>
      </c>
      <c r="K410" s="61">
        <v>63.5</v>
      </c>
      <c r="L410" s="59" t="s">
        <v>313</v>
      </c>
      <c r="M410" s="62">
        <v>63.5</v>
      </c>
      <c r="N410" s="63">
        <v>12</v>
      </c>
      <c r="O410" s="62">
        <v>7.62</v>
      </c>
      <c r="P410" s="61">
        <v>0</v>
      </c>
      <c r="Q410" s="62">
        <v>0</v>
      </c>
    </row>
    <row r="411" spans="1:17" ht="11.1" customHeight="1" x14ac:dyDescent="0.25">
      <c r="A411" s="56">
        <v>26867</v>
      </c>
      <c r="B411" s="57">
        <v>46041</v>
      </c>
      <c r="C411" s="58" t="s">
        <v>598</v>
      </c>
      <c r="D411" s="59" t="s">
        <v>352</v>
      </c>
      <c r="E411" s="56">
        <v>36</v>
      </c>
      <c r="F411" s="56">
        <v>1165</v>
      </c>
      <c r="G411" s="59" t="s">
        <v>597</v>
      </c>
      <c r="H411" s="60">
        <v>2202</v>
      </c>
      <c r="I411" s="56">
        <v>38</v>
      </c>
      <c r="J411" s="59" t="s">
        <v>34</v>
      </c>
      <c r="K411" s="61">
        <v>88.7</v>
      </c>
      <c r="L411" s="59" t="s">
        <v>313</v>
      </c>
      <c r="M411" s="62">
        <v>88.7</v>
      </c>
      <c r="N411" s="63">
        <v>12</v>
      </c>
      <c r="O411" s="62">
        <v>10.64</v>
      </c>
      <c r="P411" s="61">
        <v>0</v>
      </c>
      <c r="Q411" s="62">
        <v>0</v>
      </c>
    </row>
    <row r="412" spans="1:17" ht="11.1" customHeight="1" x14ac:dyDescent="0.25">
      <c r="A412" s="15" t="s">
        <v>348</v>
      </c>
      <c r="B412" s="15"/>
      <c r="C412" s="15"/>
      <c r="D412" s="15"/>
      <c r="E412" s="15"/>
      <c r="F412" s="15"/>
      <c r="G412" s="15"/>
      <c r="H412" s="15"/>
      <c r="I412" s="15"/>
    </row>
    <row r="413" spans="1:17" ht="11.1" customHeight="1" x14ac:dyDescent="0.25">
      <c r="K413" s="61">
        <v>152.19999999999999</v>
      </c>
      <c r="L413" s="59" t="s">
        <v>313</v>
      </c>
      <c r="M413" s="62">
        <v>152.19999999999999</v>
      </c>
      <c r="O413" s="62">
        <v>18.260000000000002</v>
      </c>
      <c r="P413" s="61">
        <v>0</v>
      </c>
      <c r="Q413" s="62">
        <v>0</v>
      </c>
    </row>
    <row r="414" spans="1:17" ht="11.1" customHeight="1" x14ac:dyDescent="0.25">
      <c r="A414" s="15" t="s">
        <v>599</v>
      </c>
      <c r="B414" s="15"/>
      <c r="C414" s="15"/>
      <c r="D414" s="15"/>
      <c r="E414" s="15"/>
      <c r="F414" s="15"/>
      <c r="G414" s="15"/>
      <c r="H414" s="15"/>
      <c r="I414" s="15"/>
    </row>
    <row r="415" spans="1:17" ht="11.1" customHeight="1" x14ac:dyDescent="0.25">
      <c r="K415" s="61">
        <v>1790105.13</v>
      </c>
      <c r="L415" s="59" t="s">
        <v>313</v>
      </c>
      <c r="M415" s="62">
        <v>1573844.55</v>
      </c>
      <c r="O415" s="62">
        <v>107911.76</v>
      </c>
      <c r="P415" s="61">
        <v>0</v>
      </c>
      <c r="Q415" s="62">
        <v>107184.24</v>
      </c>
    </row>
    <row r="416" spans="1:17" ht="11.1" customHeight="1" x14ac:dyDescent="0.25">
      <c r="L416" s="59" t="s">
        <v>358</v>
      </c>
      <c r="M416" s="62">
        <v>20924.419999999998</v>
      </c>
      <c r="O416" s="62">
        <v>884.67</v>
      </c>
      <c r="P416" s="61">
        <v>0</v>
      </c>
      <c r="Q416" s="62">
        <v>0</v>
      </c>
    </row>
    <row r="417" spans="1:17" ht="11.1" customHeight="1" x14ac:dyDescent="0.25">
      <c r="L417" s="59" t="s">
        <v>436</v>
      </c>
      <c r="M417" s="62">
        <v>4826.55</v>
      </c>
      <c r="O417" s="62">
        <v>170.31</v>
      </c>
      <c r="P417" s="61">
        <v>0</v>
      </c>
      <c r="Q417" s="62">
        <v>0</v>
      </c>
    </row>
    <row r="418" spans="1:17" ht="11.1" customHeight="1" x14ac:dyDescent="0.25">
      <c r="L418" s="59" t="s">
        <v>440</v>
      </c>
      <c r="M418" s="62">
        <v>3643.7</v>
      </c>
      <c r="O418" s="62">
        <v>54.65</v>
      </c>
      <c r="P418" s="61">
        <v>0</v>
      </c>
      <c r="Q418" s="62">
        <v>0</v>
      </c>
    </row>
    <row r="419" spans="1:17" ht="13.5" customHeight="1" x14ac:dyDescent="0.25"/>
    <row r="420" spans="1:17" ht="10.35" customHeight="1" x14ac:dyDescent="0.25">
      <c r="A420" s="64" t="s">
        <v>103</v>
      </c>
      <c r="B420" s="64"/>
      <c r="C420" s="64"/>
      <c r="D420" s="64"/>
      <c r="E420" s="64"/>
      <c r="F420" s="64"/>
      <c r="G420" s="64"/>
      <c r="H420" s="64"/>
      <c r="I420" s="64"/>
      <c r="J420" s="64"/>
      <c r="K420" s="64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FC6CB-92D2-4BA2-92F5-7DB7B1487766}">
  <dimension ref="A1:T2513"/>
  <sheetViews>
    <sheetView tabSelected="1" topLeftCell="A5" workbookViewId="0">
      <selection activeCell="C26" sqref="C26"/>
    </sheetView>
  </sheetViews>
  <sheetFormatPr defaultRowHeight="15" x14ac:dyDescent="0.25"/>
  <cols>
    <col min="1" max="1" width="7" customWidth="1"/>
    <col min="2" max="2" width="11.28515625" customWidth="1"/>
    <col min="3" max="3" width="11.5703125" customWidth="1"/>
    <col min="4" max="4" width="4.85546875" bestFit="1" customWidth="1"/>
    <col min="5" max="5" width="6.5703125" customWidth="1"/>
    <col min="6" max="6" width="6.85546875" customWidth="1"/>
    <col min="7" max="7" width="8" customWidth="1"/>
    <col min="8" max="8" width="9.28515625" customWidth="1"/>
    <col min="9" max="9" width="17.28515625" customWidth="1"/>
    <col min="10" max="10" width="15.28515625" customWidth="1"/>
    <col min="11" max="11" width="7.28515625" customWidth="1"/>
    <col min="12" max="12" width="4" customWidth="1"/>
    <col min="13" max="13" width="3" customWidth="1"/>
    <col min="14" max="14" width="8.42578125" customWidth="1"/>
    <col min="15" max="15" width="6.28515625" customWidth="1"/>
    <col min="16" max="16" width="12.140625" customWidth="1"/>
    <col min="17" max="17" width="5" customWidth="1"/>
    <col min="18" max="18" width="10.85546875" customWidth="1"/>
    <col min="19" max="19" width="5.28515625" customWidth="1"/>
    <col min="20" max="20" width="9.85546875" customWidth="1"/>
    <col min="244" max="244" width="7" customWidth="1"/>
    <col min="245" max="245" width="1.5703125" customWidth="1"/>
    <col min="246" max="246" width="11.140625" customWidth="1"/>
    <col min="247" max="247" width="8.7109375" customWidth="1"/>
    <col min="248" max="248" width="22.85546875" customWidth="1"/>
    <col min="249" max="249" width="6.5703125" customWidth="1"/>
    <col min="250" max="250" width="1" customWidth="1"/>
    <col min="251" max="251" width="6.85546875" customWidth="1"/>
    <col min="252" max="252" width="1" customWidth="1"/>
    <col min="253" max="253" width="6.28515625" customWidth="1"/>
    <col min="254" max="254" width="1" customWidth="1"/>
    <col min="255" max="255" width="9.28515625" customWidth="1"/>
    <col min="256" max="256" width="6.28515625" customWidth="1"/>
    <col min="257" max="257" width="7.140625" customWidth="1"/>
    <col min="258" max="258" width="4.28515625" customWidth="1"/>
    <col min="259" max="259" width="17.28515625" customWidth="1"/>
    <col min="260" max="260" width="15.28515625" customWidth="1"/>
    <col min="261" max="261" width="7.28515625" customWidth="1"/>
    <col min="262" max="262" width="1" customWidth="1"/>
    <col min="263" max="263" width="4" customWidth="1"/>
    <col min="264" max="264" width="1" customWidth="1"/>
    <col min="265" max="265" width="3" customWidth="1"/>
    <col min="266" max="266" width="1" customWidth="1"/>
    <col min="267" max="267" width="11.85546875" customWidth="1"/>
    <col min="268" max="268" width="1" customWidth="1"/>
    <col min="269" max="269" width="6.28515625" customWidth="1"/>
    <col min="270" max="270" width="12.140625" customWidth="1"/>
    <col min="271" max="271" width="5" customWidth="1"/>
    <col min="272" max="272" width="10.85546875" customWidth="1"/>
    <col min="273" max="273" width="3" customWidth="1"/>
    <col min="274" max="274" width="7.5703125" customWidth="1"/>
    <col min="275" max="275" width="1.7109375" customWidth="1"/>
    <col min="276" max="276" width="9.85546875" customWidth="1"/>
    <col min="500" max="500" width="7" customWidth="1"/>
    <col min="501" max="501" width="1.5703125" customWidth="1"/>
    <col min="502" max="502" width="11.140625" customWidth="1"/>
    <col min="503" max="503" width="8.7109375" customWidth="1"/>
    <col min="504" max="504" width="22.85546875" customWidth="1"/>
    <col min="505" max="505" width="6.5703125" customWidth="1"/>
    <col min="506" max="506" width="1" customWidth="1"/>
    <col min="507" max="507" width="6.85546875" customWidth="1"/>
    <col min="508" max="508" width="1" customWidth="1"/>
    <col min="509" max="509" width="6.28515625" customWidth="1"/>
    <col min="510" max="510" width="1" customWidth="1"/>
    <col min="511" max="511" width="9.28515625" customWidth="1"/>
    <col min="512" max="512" width="6.28515625" customWidth="1"/>
    <col min="513" max="513" width="7.140625" customWidth="1"/>
    <col min="514" max="514" width="4.28515625" customWidth="1"/>
    <col min="515" max="515" width="17.28515625" customWidth="1"/>
    <col min="516" max="516" width="15.28515625" customWidth="1"/>
    <col min="517" max="517" width="7.28515625" customWidth="1"/>
    <col min="518" max="518" width="1" customWidth="1"/>
    <col min="519" max="519" width="4" customWidth="1"/>
    <col min="520" max="520" width="1" customWidth="1"/>
    <col min="521" max="521" width="3" customWidth="1"/>
    <col min="522" max="522" width="1" customWidth="1"/>
    <col min="523" max="523" width="11.85546875" customWidth="1"/>
    <col min="524" max="524" width="1" customWidth="1"/>
    <col min="525" max="525" width="6.28515625" customWidth="1"/>
    <col min="526" max="526" width="12.140625" customWidth="1"/>
    <col min="527" max="527" width="5" customWidth="1"/>
    <col min="528" max="528" width="10.85546875" customWidth="1"/>
    <col min="529" max="529" width="3" customWidth="1"/>
    <col min="530" max="530" width="7.5703125" customWidth="1"/>
    <col min="531" max="531" width="1.7109375" customWidth="1"/>
    <col min="532" max="532" width="9.85546875" customWidth="1"/>
    <col min="756" max="756" width="7" customWidth="1"/>
    <col min="757" max="757" width="1.5703125" customWidth="1"/>
    <col min="758" max="758" width="11.140625" customWidth="1"/>
    <col min="759" max="759" width="8.7109375" customWidth="1"/>
    <col min="760" max="760" width="22.85546875" customWidth="1"/>
    <col min="761" max="761" width="6.5703125" customWidth="1"/>
    <col min="762" max="762" width="1" customWidth="1"/>
    <col min="763" max="763" width="6.85546875" customWidth="1"/>
    <col min="764" max="764" width="1" customWidth="1"/>
    <col min="765" max="765" width="6.28515625" customWidth="1"/>
    <col min="766" max="766" width="1" customWidth="1"/>
    <col min="767" max="767" width="9.28515625" customWidth="1"/>
    <col min="768" max="768" width="6.28515625" customWidth="1"/>
    <col min="769" max="769" width="7.140625" customWidth="1"/>
    <col min="770" max="770" width="4.28515625" customWidth="1"/>
    <col min="771" max="771" width="17.28515625" customWidth="1"/>
    <col min="772" max="772" width="15.28515625" customWidth="1"/>
    <col min="773" max="773" width="7.28515625" customWidth="1"/>
    <col min="774" max="774" width="1" customWidth="1"/>
    <col min="775" max="775" width="4" customWidth="1"/>
    <col min="776" max="776" width="1" customWidth="1"/>
    <col min="777" max="777" width="3" customWidth="1"/>
    <col min="778" max="778" width="1" customWidth="1"/>
    <col min="779" max="779" width="11.85546875" customWidth="1"/>
    <col min="780" max="780" width="1" customWidth="1"/>
    <col min="781" max="781" width="6.28515625" customWidth="1"/>
    <col min="782" max="782" width="12.140625" customWidth="1"/>
    <col min="783" max="783" width="5" customWidth="1"/>
    <col min="784" max="784" width="10.85546875" customWidth="1"/>
    <col min="785" max="785" width="3" customWidth="1"/>
    <col min="786" max="786" width="7.5703125" customWidth="1"/>
    <col min="787" max="787" width="1.7109375" customWidth="1"/>
    <col min="788" max="788" width="9.85546875" customWidth="1"/>
    <col min="1012" max="1012" width="7" customWidth="1"/>
    <col min="1013" max="1013" width="1.5703125" customWidth="1"/>
    <col min="1014" max="1014" width="11.140625" customWidth="1"/>
    <col min="1015" max="1015" width="8.7109375" customWidth="1"/>
    <col min="1016" max="1016" width="22.85546875" customWidth="1"/>
    <col min="1017" max="1017" width="6.5703125" customWidth="1"/>
    <col min="1018" max="1018" width="1" customWidth="1"/>
    <col min="1019" max="1019" width="6.85546875" customWidth="1"/>
    <col min="1020" max="1020" width="1" customWidth="1"/>
    <col min="1021" max="1021" width="6.28515625" customWidth="1"/>
    <col min="1022" max="1022" width="1" customWidth="1"/>
    <col min="1023" max="1023" width="9.28515625" customWidth="1"/>
    <col min="1024" max="1024" width="6.28515625" customWidth="1"/>
    <col min="1025" max="1025" width="7.140625" customWidth="1"/>
    <col min="1026" max="1026" width="4.28515625" customWidth="1"/>
    <col min="1027" max="1027" width="17.28515625" customWidth="1"/>
    <col min="1028" max="1028" width="15.28515625" customWidth="1"/>
    <col min="1029" max="1029" width="7.28515625" customWidth="1"/>
    <col min="1030" max="1030" width="1" customWidth="1"/>
    <col min="1031" max="1031" width="4" customWidth="1"/>
    <col min="1032" max="1032" width="1" customWidth="1"/>
    <col min="1033" max="1033" width="3" customWidth="1"/>
    <col min="1034" max="1034" width="1" customWidth="1"/>
    <col min="1035" max="1035" width="11.85546875" customWidth="1"/>
    <col min="1036" max="1036" width="1" customWidth="1"/>
    <col min="1037" max="1037" width="6.28515625" customWidth="1"/>
    <col min="1038" max="1038" width="12.140625" customWidth="1"/>
    <col min="1039" max="1039" width="5" customWidth="1"/>
    <col min="1040" max="1040" width="10.85546875" customWidth="1"/>
    <col min="1041" max="1041" width="3" customWidth="1"/>
    <col min="1042" max="1042" width="7.5703125" customWidth="1"/>
    <col min="1043" max="1043" width="1.7109375" customWidth="1"/>
    <col min="1044" max="1044" width="9.85546875" customWidth="1"/>
    <col min="1268" max="1268" width="7" customWidth="1"/>
    <col min="1269" max="1269" width="1.5703125" customWidth="1"/>
    <col min="1270" max="1270" width="11.140625" customWidth="1"/>
    <col min="1271" max="1271" width="8.7109375" customWidth="1"/>
    <col min="1272" max="1272" width="22.85546875" customWidth="1"/>
    <col min="1273" max="1273" width="6.5703125" customWidth="1"/>
    <col min="1274" max="1274" width="1" customWidth="1"/>
    <col min="1275" max="1275" width="6.85546875" customWidth="1"/>
    <col min="1276" max="1276" width="1" customWidth="1"/>
    <col min="1277" max="1277" width="6.28515625" customWidth="1"/>
    <col min="1278" max="1278" width="1" customWidth="1"/>
    <col min="1279" max="1279" width="9.28515625" customWidth="1"/>
    <col min="1280" max="1280" width="6.28515625" customWidth="1"/>
    <col min="1281" max="1281" width="7.140625" customWidth="1"/>
    <col min="1282" max="1282" width="4.28515625" customWidth="1"/>
    <col min="1283" max="1283" width="17.28515625" customWidth="1"/>
    <col min="1284" max="1284" width="15.28515625" customWidth="1"/>
    <col min="1285" max="1285" width="7.28515625" customWidth="1"/>
    <col min="1286" max="1286" width="1" customWidth="1"/>
    <col min="1287" max="1287" width="4" customWidth="1"/>
    <col min="1288" max="1288" width="1" customWidth="1"/>
    <col min="1289" max="1289" width="3" customWidth="1"/>
    <col min="1290" max="1290" width="1" customWidth="1"/>
    <col min="1291" max="1291" width="11.85546875" customWidth="1"/>
    <col min="1292" max="1292" width="1" customWidth="1"/>
    <col min="1293" max="1293" width="6.28515625" customWidth="1"/>
    <col min="1294" max="1294" width="12.140625" customWidth="1"/>
    <col min="1295" max="1295" width="5" customWidth="1"/>
    <col min="1296" max="1296" width="10.85546875" customWidth="1"/>
    <col min="1297" max="1297" width="3" customWidth="1"/>
    <col min="1298" max="1298" width="7.5703125" customWidth="1"/>
    <col min="1299" max="1299" width="1.7109375" customWidth="1"/>
    <col min="1300" max="1300" width="9.85546875" customWidth="1"/>
    <col min="1524" max="1524" width="7" customWidth="1"/>
    <col min="1525" max="1525" width="1.5703125" customWidth="1"/>
    <col min="1526" max="1526" width="11.140625" customWidth="1"/>
    <col min="1527" max="1527" width="8.7109375" customWidth="1"/>
    <col min="1528" max="1528" width="22.85546875" customWidth="1"/>
    <col min="1529" max="1529" width="6.5703125" customWidth="1"/>
    <col min="1530" max="1530" width="1" customWidth="1"/>
    <col min="1531" max="1531" width="6.85546875" customWidth="1"/>
    <col min="1532" max="1532" width="1" customWidth="1"/>
    <col min="1533" max="1533" width="6.28515625" customWidth="1"/>
    <col min="1534" max="1534" width="1" customWidth="1"/>
    <col min="1535" max="1535" width="9.28515625" customWidth="1"/>
    <col min="1536" max="1536" width="6.28515625" customWidth="1"/>
    <col min="1537" max="1537" width="7.140625" customWidth="1"/>
    <col min="1538" max="1538" width="4.28515625" customWidth="1"/>
    <col min="1539" max="1539" width="17.28515625" customWidth="1"/>
    <col min="1540" max="1540" width="15.28515625" customWidth="1"/>
    <col min="1541" max="1541" width="7.28515625" customWidth="1"/>
    <col min="1542" max="1542" width="1" customWidth="1"/>
    <col min="1543" max="1543" width="4" customWidth="1"/>
    <col min="1544" max="1544" width="1" customWidth="1"/>
    <col min="1545" max="1545" width="3" customWidth="1"/>
    <col min="1546" max="1546" width="1" customWidth="1"/>
    <col min="1547" max="1547" width="11.85546875" customWidth="1"/>
    <col min="1548" max="1548" width="1" customWidth="1"/>
    <col min="1549" max="1549" width="6.28515625" customWidth="1"/>
    <col min="1550" max="1550" width="12.140625" customWidth="1"/>
    <col min="1551" max="1551" width="5" customWidth="1"/>
    <col min="1552" max="1552" width="10.85546875" customWidth="1"/>
    <col min="1553" max="1553" width="3" customWidth="1"/>
    <col min="1554" max="1554" width="7.5703125" customWidth="1"/>
    <col min="1555" max="1555" width="1.7109375" customWidth="1"/>
    <col min="1556" max="1556" width="9.85546875" customWidth="1"/>
    <col min="1780" max="1780" width="7" customWidth="1"/>
    <col min="1781" max="1781" width="1.5703125" customWidth="1"/>
    <col min="1782" max="1782" width="11.140625" customWidth="1"/>
    <col min="1783" max="1783" width="8.7109375" customWidth="1"/>
    <col min="1784" max="1784" width="22.85546875" customWidth="1"/>
    <col min="1785" max="1785" width="6.5703125" customWidth="1"/>
    <col min="1786" max="1786" width="1" customWidth="1"/>
    <col min="1787" max="1787" width="6.85546875" customWidth="1"/>
    <col min="1788" max="1788" width="1" customWidth="1"/>
    <col min="1789" max="1789" width="6.28515625" customWidth="1"/>
    <col min="1790" max="1790" width="1" customWidth="1"/>
    <col min="1791" max="1791" width="9.28515625" customWidth="1"/>
    <col min="1792" max="1792" width="6.28515625" customWidth="1"/>
    <col min="1793" max="1793" width="7.140625" customWidth="1"/>
    <col min="1794" max="1794" width="4.28515625" customWidth="1"/>
    <col min="1795" max="1795" width="17.28515625" customWidth="1"/>
    <col min="1796" max="1796" width="15.28515625" customWidth="1"/>
    <col min="1797" max="1797" width="7.28515625" customWidth="1"/>
    <col min="1798" max="1798" width="1" customWidth="1"/>
    <col min="1799" max="1799" width="4" customWidth="1"/>
    <col min="1800" max="1800" width="1" customWidth="1"/>
    <col min="1801" max="1801" width="3" customWidth="1"/>
    <col min="1802" max="1802" width="1" customWidth="1"/>
    <col min="1803" max="1803" width="11.85546875" customWidth="1"/>
    <col min="1804" max="1804" width="1" customWidth="1"/>
    <col min="1805" max="1805" width="6.28515625" customWidth="1"/>
    <col min="1806" max="1806" width="12.140625" customWidth="1"/>
    <col min="1807" max="1807" width="5" customWidth="1"/>
    <col min="1808" max="1808" width="10.85546875" customWidth="1"/>
    <col min="1809" max="1809" width="3" customWidth="1"/>
    <col min="1810" max="1810" width="7.5703125" customWidth="1"/>
    <col min="1811" max="1811" width="1.7109375" customWidth="1"/>
    <col min="1812" max="1812" width="9.85546875" customWidth="1"/>
    <col min="2036" max="2036" width="7" customWidth="1"/>
    <col min="2037" max="2037" width="1.5703125" customWidth="1"/>
    <col min="2038" max="2038" width="11.140625" customWidth="1"/>
    <col min="2039" max="2039" width="8.7109375" customWidth="1"/>
    <col min="2040" max="2040" width="22.85546875" customWidth="1"/>
    <col min="2041" max="2041" width="6.5703125" customWidth="1"/>
    <col min="2042" max="2042" width="1" customWidth="1"/>
    <col min="2043" max="2043" width="6.85546875" customWidth="1"/>
    <col min="2044" max="2044" width="1" customWidth="1"/>
    <col min="2045" max="2045" width="6.28515625" customWidth="1"/>
    <col min="2046" max="2046" width="1" customWidth="1"/>
    <col min="2047" max="2047" width="9.28515625" customWidth="1"/>
    <col min="2048" max="2048" width="6.28515625" customWidth="1"/>
    <col min="2049" max="2049" width="7.140625" customWidth="1"/>
    <col min="2050" max="2050" width="4.28515625" customWidth="1"/>
    <col min="2051" max="2051" width="17.28515625" customWidth="1"/>
    <col min="2052" max="2052" width="15.28515625" customWidth="1"/>
    <col min="2053" max="2053" width="7.28515625" customWidth="1"/>
    <col min="2054" max="2054" width="1" customWidth="1"/>
    <col min="2055" max="2055" width="4" customWidth="1"/>
    <col min="2056" max="2056" width="1" customWidth="1"/>
    <col min="2057" max="2057" width="3" customWidth="1"/>
    <col min="2058" max="2058" width="1" customWidth="1"/>
    <col min="2059" max="2059" width="11.85546875" customWidth="1"/>
    <col min="2060" max="2060" width="1" customWidth="1"/>
    <col min="2061" max="2061" width="6.28515625" customWidth="1"/>
    <col min="2062" max="2062" width="12.140625" customWidth="1"/>
    <col min="2063" max="2063" width="5" customWidth="1"/>
    <col min="2064" max="2064" width="10.85546875" customWidth="1"/>
    <col min="2065" max="2065" width="3" customWidth="1"/>
    <col min="2066" max="2066" width="7.5703125" customWidth="1"/>
    <col min="2067" max="2067" width="1.7109375" customWidth="1"/>
    <col min="2068" max="2068" width="9.85546875" customWidth="1"/>
    <col min="2292" max="2292" width="7" customWidth="1"/>
    <col min="2293" max="2293" width="1.5703125" customWidth="1"/>
    <col min="2294" max="2294" width="11.140625" customWidth="1"/>
    <col min="2295" max="2295" width="8.7109375" customWidth="1"/>
    <col min="2296" max="2296" width="22.85546875" customWidth="1"/>
    <col min="2297" max="2297" width="6.5703125" customWidth="1"/>
    <col min="2298" max="2298" width="1" customWidth="1"/>
    <col min="2299" max="2299" width="6.85546875" customWidth="1"/>
    <col min="2300" max="2300" width="1" customWidth="1"/>
    <col min="2301" max="2301" width="6.28515625" customWidth="1"/>
    <col min="2302" max="2302" width="1" customWidth="1"/>
    <col min="2303" max="2303" width="9.28515625" customWidth="1"/>
    <col min="2304" max="2304" width="6.28515625" customWidth="1"/>
    <col min="2305" max="2305" width="7.140625" customWidth="1"/>
    <col min="2306" max="2306" width="4.28515625" customWidth="1"/>
    <col min="2307" max="2307" width="17.28515625" customWidth="1"/>
    <col min="2308" max="2308" width="15.28515625" customWidth="1"/>
    <col min="2309" max="2309" width="7.28515625" customWidth="1"/>
    <col min="2310" max="2310" width="1" customWidth="1"/>
    <col min="2311" max="2311" width="4" customWidth="1"/>
    <col min="2312" max="2312" width="1" customWidth="1"/>
    <col min="2313" max="2313" width="3" customWidth="1"/>
    <col min="2314" max="2314" width="1" customWidth="1"/>
    <col min="2315" max="2315" width="11.85546875" customWidth="1"/>
    <col min="2316" max="2316" width="1" customWidth="1"/>
    <col min="2317" max="2317" width="6.28515625" customWidth="1"/>
    <col min="2318" max="2318" width="12.140625" customWidth="1"/>
    <col min="2319" max="2319" width="5" customWidth="1"/>
    <col min="2320" max="2320" width="10.85546875" customWidth="1"/>
    <col min="2321" max="2321" width="3" customWidth="1"/>
    <col min="2322" max="2322" width="7.5703125" customWidth="1"/>
    <col min="2323" max="2323" width="1.7109375" customWidth="1"/>
    <col min="2324" max="2324" width="9.85546875" customWidth="1"/>
    <col min="2548" max="2548" width="7" customWidth="1"/>
    <col min="2549" max="2549" width="1.5703125" customWidth="1"/>
    <col min="2550" max="2550" width="11.140625" customWidth="1"/>
    <col min="2551" max="2551" width="8.7109375" customWidth="1"/>
    <col min="2552" max="2552" width="22.85546875" customWidth="1"/>
    <col min="2553" max="2553" width="6.5703125" customWidth="1"/>
    <col min="2554" max="2554" width="1" customWidth="1"/>
    <col min="2555" max="2555" width="6.85546875" customWidth="1"/>
    <col min="2556" max="2556" width="1" customWidth="1"/>
    <col min="2557" max="2557" width="6.28515625" customWidth="1"/>
    <col min="2558" max="2558" width="1" customWidth="1"/>
    <col min="2559" max="2559" width="9.28515625" customWidth="1"/>
    <col min="2560" max="2560" width="6.28515625" customWidth="1"/>
    <col min="2561" max="2561" width="7.140625" customWidth="1"/>
    <col min="2562" max="2562" width="4.28515625" customWidth="1"/>
    <col min="2563" max="2563" width="17.28515625" customWidth="1"/>
    <col min="2564" max="2564" width="15.28515625" customWidth="1"/>
    <col min="2565" max="2565" width="7.28515625" customWidth="1"/>
    <col min="2566" max="2566" width="1" customWidth="1"/>
    <col min="2567" max="2567" width="4" customWidth="1"/>
    <col min="2568" max="2568" width="1" customWidth="1"/>
    <col min="2569" max="2569" width="3" customWidth="1"/>
    <col min="2570" max="2570" width="1" customWidth="1"/>
    <col min="2571" max="2571" width="11.85546875" customWidth="1"/>
    <col min="2572" max="2572" width="1" customWidth="1"/>
    <col min="2573" max="2573" width="6.28515625" customWidth="1"/>
    <col min="2574" max="2574" width="12.140625" customWidth="1"/>
    <col min="2575" max="2575" width="5" customWidth="1"/>
    <col min="2576" max="2576" width="10.85546875" customWidth="1"/>
    <col min="2577" max="2577" width="3" customWidth="1"/>
    <col min="2578" max="2578" width="7.5703125" customWidth="1"/>
    <col min="2579" max="2579" width="1.7109375" customWidth="1"/>
    <col min="2580" max="2580" width="9.85546875" customWidth="1"/>
    <col min="2804" max="2804" width="7" customWidth="1"/>
    <col min="2805" max="2805" width="1.5703125" customWidth="1"/>
    <col min="2806" max="2806" width="11.140625" customWidth="1"/>
    <col min="2807" max="2807" width="8.7109375" customWidth="1"/>
    <col min="2808" max="2808" width="22.85546875" customWidth="1"/>
    <col min="2809" max="2809" width="6.5703125" customWidth="1"/>
    <col min="2810" max="2810" width="1" customWidth="1"/>
    <col min="2811" max="2811" width="6.85546875" customWidth="1"/>
    <col min="2812" max="2812" width="1" customWidth="1"/>
    <col min="2813" max="2813" width="6.28515625" customWidth="1"/>
    <col min="2814" max="2814" width="1" customWidth="1"/>
    <col min="2815" max="2815" width="9.28515625" customWidth="1"/>
    <col min="2816" max="2816" width="6.28515625" customWidth="1"/>
    <col min="2817" max="2817" width="7.140625" customWidth="1"/>
    <col min="2818" max="2818" width="4.28515625" customWidth="1"/>
    <col min="2819" max="2819" width="17.28515625" customWidth="1"/>
    <col min="2820" max="2820" width="15.28515625" customWidth="1"/>
    <col min="2821" max="2821" width="7.28515625" customWidth="1"/>
    <col min="2822" max="2822" width="1" customWidth="1"/>
    <col min="2823" max="2823" width="4" customWidth="1"/>
    <col min="2824" max="2824" width="1" customWidth="1"/>
    <col min="2825" max="2825" width="3" customWidth="1"/>
    <col min="2826" max="2826" width="1" customWidth="1"/>
    <col min="2827" max="2827" width="11.85546875" customWidth="1"/>
    <col min="2828" max="2828" width="1" customWidth="1"/>
    <col min="2829" max="2829" width="6.28515625" customWidth="1"/>
    <col min="2830" max="2830" width="12.140625" customWidth="1"/>
    <col min="2831" max="2831" width="5" customWidth="1"/>
    <col min="2832" max="2832" width="10.85546875" customWidth="1"/>
    <col min="2833" max="2833" width="3" customWidth="1"/>
    <col min="2834" max="2834" width="7.5703125" customWidth="1"/>
    <col min="2835" max="2835" width="1.7109375" customWidth="1"/>
    <col min="2836" max="2836" width="9.85546875" customWidth="1"/>
    <col min="3060" max="3060" width="7" customWidth="1"/>
    <col min="3061" max="3061" width="1.5703125" customWidth="1"/>
    <col min="3062" max="3062" width="11.140625" customWidth="1"/>
    <col min="3063" max="3063" width="8.7109375" customWidth="1"/>
    <col min="3064" max="3064" width="22.85546875" customWidth="1"/>
    <col min="3065" max="3065" width="6.5703125" customWidth="1"/>
    <col min="3066" max="3066" width="1" customWidth="1"/>
    <col min="3067" max="3067" width="6.85546875" customWidth="1"/>
    <col min="3068" max="3068" width="1" customWidth="1"/>
    <col min="3069" max="3069" width="6.28515625" customWidth="1"/>
    <col min="3070" max="3070" width="1" customWidth="1"/>
    <col min="3071" max="3071" width="9.28515625" customWidth="1"/>
    <col min="3072" max="3072" width="6.28515625" customWidth="1"/>
    <col min="3073" max="3073" width="7.140625" customWidth="1"/>
    <col min="3074" max="3074" width="4.28515625" customWidth="1"/>
    <col min="3075" max="3075" width="17.28515625" customWidth="1"/>
    <col min="3076" max="3076" width="15.28515625" customWidth="1"/>
    <col min="3077" max="3077" width="7.28515625" customWidth="1"/>
    <col min="3078" max="3078" width="1" customWidth="1"/>
    <col min="3079" max="3079" width="4" customWidth="1"/>
    <col min="3080" max="3080" width="1" customWidth="1"/>
    <col min="3081" max="3081" width="3" customWidth="1"/>
    <col min="3082" max="3082" width="1" customWidth="1"/>
    <col min="3083" max="3083" width="11.85546875" customWidth="1"/>
    <col min="3084" max="3084" width="1" customWidth="1"/>
    <col min="3085" max="3085" width="6.28515625" customWidth="1"/>
    <col min="3086" max="3086" width="12.140625" customWidth="1"/>
    <col min="3087" max="3087" width="5" customWidth="1"/>
    <col min="3088" max="3088" width="10.85546875" customWidth="1"/>
    <col min="3089" max="3089" width="3" customWidth="1"/>
    <col min="3090" max="3090" width="7.5703125" customWidth="1"/>
    <col min="3091" max="3091" width="1.7109375" customWidth="1"/>
    <col min="3092" max="3092" width="9.85546875" customWidth="1"/>
    <col min="3316" max="3316" width="7" customWidth="1"/>
    <col min="3317" max="3317" width="1.5703125" customWidth="1"/>
    <col min="3318" max="3318" width="11.140625" customWidth="1"/>
    <col min="3319" max="3319" width="8.7109375" customWidth="1"/>
    <col min="3320" max="3320" width="22.85546875" customWidth="1"/>
    <col min="3321" max="3321" width="6.5703125" customWidth="1"/>
    <col min="3322" max="3322" width="1" customWidth="1"/>
    <col min="3323" max="3323" width="6.85546875" customWidth="1"/>
    <col min="3324" max="3324" width="1" customWidth="1"/>
    <col min="3325" max="3325" width="6.28515625" customWidth="1"/>
    <col min="3326" max="3326" width="1" customWidth="1"/>
    <col min="3327" max="3327" width="9.28515625" customWidth="1"/>
    <col min="3328" max="3328" width="6.28515625" customWidth="1"/>
    <col min="3329" max="3329" width="7.140625" customWidth="1"/>
    <col min="3330" max="3330" width="4.28515625" customWidth="1"/>
    <col min="3331" max="3331" width="17.28515625" customWidth="1"/>
    <col min="3332" max="3332" width="15.28515625" customWidth="1"/>
    <col min="3333" max="3333" width="7.28515625" customWidth="1"/>
    <col min="3334" max="3334" width="1" customWidth="1"/>
    <col min="3335" max="3335" width="4" customWidth="1"/>
    <col min="3336" max="3336" width="1" customWidth="1"/>
    <col min="3337" max="3337" width="3" customWidth="1"/>
    <col min="3338" max="3338" width="1" customWidth="1"/>
    <col min="3339" max="3339" width="11.85546875" customWidth="1"/>
    <col min="3340" max="3340" width="1" customWidth="1"/>
    <col min="3341" max="3341" width="6.28515625" customWidth="1"/>
    <col min="3342" max="3342" width="12.140625" customWidth="1"/>
    <col min="3343" max="3343" width="5" customWidth="1"/>
    <col min="3344" max="3344" width="10.85546875" customWidth="1"/>
    <col min="3345" max="3345" width="3" customWidth="1"/>
    <col min="3346" max="3346" width="7.5703125" customWidth="1"/>
    <col min="3347" max="3347" width="1.7109375" customWidth="1"/>
    <col min="3348" max="3348" width="9.85546875" customWidth="1"/>
    <col min="3572" max="3572" width="7" customWidth="1"/>
    <col min="3573" max="3573" width="1.5703125" customWidth="1"/>
    <col min="3574" max="3574" width="11.140625" customWidth="1"/>
    <col min="3575" max="3575" width="8.7109375" customWidth="1"/>
    <col min="3576" max="3576" width="22.85546875" customWidth="1"/>
    <col min="3577" max="3577" width="6.5703125" customWidth="1"/>
    <col min="3578" max="3578" width="1" customWidth="1"/>
    <col min="3579" max="3579" width="6.85546875" customWidth="1"/>
    <col min="3580" max="3580" width="1" customWidth="1"/>
    <col min="3581" max="3581" width="6.28515625" customWidth="1"/>
    <col min="3582" max="3582" width="1" customWidth="1"/>
    <col min="3583" max="3583" width="9.28515625" customWidth="1"/>
    <col min="3584" max="3584" width="6.28515625" customWidth="1"/>
    <col min="3585" max="3585" width="7.140625" customWidth="1"/>
    <col min="3586" max="3586" width="4.28515625" customWidth="1"/>
    <col min="3587" max="3587" width="17.28515625" customWidth="1"/>
    <col min="3588" max="3588" width="15.28515625" customWidth="1"/>
    <col min="3589" max="3589" width="7.28515625" customWidth="1"/>
    <col min="3590" max="3590" width="1" customWidth="1"/>
    <col min="3591" max="3591" width="4" customWidth="1"/>
    <col min="3592" max="3592" width="1" customWidth="1"/>
    <col min="3593" max="3593" width="3" customWidth="1"/>
    <col min="3594" max="3594" width="1" customWidth="1"/>
    <col min="3595" max="3595" width="11.85546875" customWidth="1"/>
    <col min="3596" max="3596" width="1" customWidth="1"/>
    <col min="3597" max="3597" width="6.28515625" customWidth="1"/>
    <col min="3598" max="3598" width="12.140625" customWidth="1"/>
    <col min="3599" max="3599" width="5" customWidth="1"/>
    <col min="3600" max="3600" width="10.85546875" customWidth="1"/>
    <col min="3601" max="3601" width="3" customWidth="1"/>
    <col min="3602" max="3602" width="7.5703125" customWidth="1"/>
    <col min="3603" max="3603" width="1.7109375" customWidth="1"/>
    <col min="3604" max="3604" width="9.85546875" customWidth="1"/>
    <col min="3828" max="3828" width="7" customWidth="1"/>
    <col min="3829" max="3829" width="1.5703125" customWidth="1"/>
    <col min="3830" max="3830" width="11.140625" customWidth="1"/>
    <col min="3831" max="3831" width="8.7109375" customWidth="1"/>
    <col min="3832" max="3832" width="22.85546875" customWidth="1"/>
    <col min="3833" max="3833" width="6.5703125" customWidth="1"/>
    <col min="3834" max="3834" width="1" customWidth="1"/>
    <col min="3835" max="3835" width="6.85546875" customWidth="1"/>
    <col min="3836" max="3836" width="1" customWidth="1"/>
    <col min="3837" max="3837" width="6.28515625" customWidth="1"/>
    <col min="3838" max="3838" width="1" customWidth="1"/>
    <col min="3839" max="3839" width="9.28515625" customWidth="1"/>
    <col min="3840" max="3840" width="6.28515625" customWidth="1"/>
    <col min="3841" max="3841" width="7.140625" customWidth="1"/>
    <col min="3842" max="3842" width="4.28515625" customWidth="1"/>
    <col min="3843" max="3843" width="17.28515625" customWidth="1"/>
    <col min="3844" max="3844" width="15.28515625" customWidth="1"/>
    <col min="3845" max="3845" width="7.28515625" customWidth="1"/>
    <col min="3846" max="3846" width="1" customWidth="1"/>
    <col min="3847" max="3847" width="4" customWidth="1"/>
    <col min="3848" max="3848" width="1" customWidth="1"/>
    <col min="3849" max="3849" width="3" customWidth="1"/>
    <col min="3850" max="3850" width="1" customWidth="1"/>
    <col min="3851" max="3851" width="11.85546875" customWidth="1"/>
    <col min="3852" max="3852" width="1" customWidth="1"/>
    <col min="3853" max="3853" width="6.28515625" customWidth="1"/>
    <col min="3854" max="3854" width="12.140625" customWidth="1"/>
    <col min="3855" max="3855" width="5" customWidth="1"/>
    <col min="3856" max="3856" width="10.85546875" customWidth="1"/>
    <col min="3857" max="3857" width="3" customWidth="1"/>
    <col min="3858" max="3858" width="7.5703125" customWidth="1"/>
    <col min="3859" max="3859" width="1.7109375" customWidth="1"/>
    <col min="3860" max="3860" width="9.85546875" customWidth="1"/>
    <col min="4084" max="4084" width="7" customWidth="1"/>
    <col min="4085" max="4085" width="1.5703125" customWidth="1"/>
    <col min="4086" max="4086" width="11.140625" customWidth="1"/>
    <col min="4087" max="4087" width="8.7109375" customWidth="1"/>
    <col min="4088" max="4088" width="22.85546875" customWidth="1"/>
    <col min="4089" max="4089" width="6.5703125" customWidth="1"/>
    <col min="4090" max="4090" width="1" customWidth="1"/>
    <col min="4091" max="4091" width="6.85546875" customWidth="1"/>
    <col min="4092" max="4092" width="1" customWidth="1"/>
    <col min="4093" max="4093" width="6.28515625" customWidth="1"/>
    <col min="4094" max="4094" width="1" customWidth="1"/>
    <col min="4095" max="4095" width="9.28515625" customWidth="1"/>
    <col min="4096" max="4096" width="6.28515625" customWidth="1"/>
    <col min="4097" max="4097" width="7.140625" customWidth="1"/>
    <col min="4098" max="4098" width="4.28515625" customWidth="1"/>
    <col min="4099" max="4099" width="17.28515625" customWidth="1"/>
    <col min="4100" max="4100" width="15.28515625" customWidth="1"/>
    <col min="4101" max="4101" width="7.28515625" customWidth="1"/>
    <col min="4102" max="4102" width="1" customWidth="1"/>
    <col min="4103" max="4103" width="4" customWidth="1"/>
    <col min="4104" max="4104" width="1" customWidth="1"/>
    <col min="4105" max="4105" width="3" customWidth="1"/>
    <col min="4106" max="4106" width="1" customWidth="1"/>
    <col min="4107" max="4107" width="11.85546875" customWidth="1"/>
    <col min="4108" max="4108" width="1" customWidth="1"/>
    <col min="4109" max="4109" width="6.28515625" customWidth="1"/>
    <col min="4110" max="4110" width="12.140625" customWidth="1"/>
    <col min="4111" max="4111" width="5" customWidth="1"/>
    <col min="4112" max="4112" width="10.85546875" customWidth="1"/>
    <col min="4113" max="4113" width="3" customWidth="1"/>
    <col min="4114" max="4114" width="7.5703125" customWidth="1"/>
    <col min="4115" max="4115" width="1.7109375" customWidth="1"/>
    <col min="4116" max="4116" width="9.85546875" customWidth="1"/>
    <col min="4340" max="4340" width="7" customWidth="1"/>
    <col min="4341" max="4341" width="1.5703125" customWidth="1"/>
    <col min="4342" max="4342" width="11.140625" customWidth="1"/>
    <col min="4343" max="4343" width="8.7109375" customWidth="1"/>
    <col min="4344" max="4344" width="22.85546875" customWidth="1"/>
    <col min="4345" max="4345" width="6.5703125" customWidth="1"/>
    <col min="4346" max="4346" width="1" customWidth="1"/>
    <col min="4347" max="4347" width="6.85546875" customWidth="1"/>
    <col min="4348" max="4348" width="1" customWidth="1"/>
    <col min="4349" max="4349" width="6.28515625" customWidth="1"/>
    <col min="4350" max="4350" width="1" customWidth="1"/>
    <col min="4351" max="4351" width="9.28515625" customWidth="1"/>
    <col min="4352" max="4352" width="6.28515625" customWidth="1"/>
    <col min="4353" max="4353" width="7.140625" customWidth="1"/>
    <col min="4354" max="4354" width="4.28515625" customWidth="1"/>
    <col min="4355" max="4355" width="17.28515625" customWidth="1"/>
    <col min="4356" max="4356" width="15.28515625" customWidth="1"/>
    <col min="4357" max="4357" width="7.28515625" customWidth="1"/>
    <col min="4358" max="4358" width="1" customWidth="1"/>
    <col min="4359" max="4359" width="4" customWidth="1"/>
    <col min="4360" max="4360" width="1" customWidth="1"/>
    <col min="4361" max="4361" width="3" customWidth="1"/>
    <col min="4362" max="4362" width="1" customWidth="1"/>
    <col min="4363" max="4363" width="11.85546875" customWidth="1"/>
    <col min="4364" max="4364" width="1" customWidth="1"/>
    <col min="4365" max="4365" width="6.28515625" customWidth="1"/>
    <col min="4366" max="4366" width="12.140625" customWidth="1"/>
    <col min="4367" max="4367" width="5" customWidth="1"/>
    <col min="4368" max="4368" width="10.85546875" customWidth="1"/>
    <col min="4369" max="4369" width="3" customWidth="1"/>
    <col min="4370" max="4370" width="7.5703125" customWidth="1"/>
    <col min="4371" max="4371" width="1.7109375" customWidth="1"/>
    <col min="4372" max="4372" width="9.85546875" customWidth="1"/>
    <col min="4596" max="4596" width="7" customWidth="1"/>
    <col min="4597" max="4597" width="1.5703125" customWidth="1"/>
    <col min="4598" max="4598" width="11.140625" customWidth="1"/>
    <col min="4599" max="4599" width="8.7109375" customWidth="1"/>
    <col min="4600" max="4600" width="22.85546875" customWidth="1"/>
    <col min="4601" max="4601" width="6.5703125" customWidth="1"/>
    <col min="4602" max="4602" width="1" customWidth="1"/>
    <col min="4603" max="4603" width="6.85546875" customWidth="1"/>
    <col min="4604" max="4604" width="1" customWidth="1"/>
    <col min="4605" max="4605" width="6.28515625" customWidth="1"/>
    <col min="4606" max="4606" width="1" customWidth="1"/>
    <col min="4607" max="4607" width="9.28515625" customWidth="1"/>
    <col min="4608" max="4608" width="6.28515625" customWidth="1"/>
    <col min="4609" max="4609" width="7.140625" customWidth="1"/>
    <col min="4610" max="4610" width="4.28515625" customWidth="1"/>
    <col min="4611" max="4611" width="17.28515625" customWidth="1"/>
    <col min="4612" max="4612" width="15.28515625" customWidth="1"/>
    <col min="4613" max="4613" width="7.28515625" customWidth="1"/>
    <col min="4614" max="4614" width="1" customWidth="1"/>
    <col min="4615" max="4615" width="4" customWidth="1"/>
    <col min="4616" max="4616" width="1" customWidth="1"/>
    <col min="4617" max="4617" width="3" customWidth="1"/>
    <col min="4618" max="4618" width="1" customWidth="1"/>
    <col min="4619" max="4619" width="11.85546875" customWidth="1"/>
    <col min="4620" max="4620" width="1" customWidth="1"/>
    <col min="4621" max="4621" width="6.28515625" customWidth="1"/>
    <col min="4622" max="4622" width="12.140625" customWidth="1"/>
    <col min="4623" max="4623" width="5" customWidth="1"/>
    <col min="4624" max="4624" width="10.85546875" customWidth="1"/>
    <col min="4625" max="4625" width="3" customWidth="1"/>
    <col min="4626" max="4626" width="7.5703125" customWidth="1"/>
    <col min="4627" max="4627" width="1.7109375" customWidth="1"/>
    <col min="4628" max="4628" width="9.85546875" customWidth="1"/>
    <col min="4852" max="4852" width="7" customWidth="1"/>
    <col min="4853" max="4853" width="1.5703125" customWidth="1"/>
    <col min="4854" max="4854" width="11.140625" customWidth="1"/>
    <col min="4855" max="4855" width="8.7109375" customWidth="1"/>
    <col min="4856" max="4856" width="22.85546875" customWidth="1"/>
    <col min="4857" max="4857" width="6.5703125" customWidth="1"/>
    <col min="4858" max="4858" width="1" customWidth="1"/>
    <col min="4859" max="4859" width="6.85546875" customWidth="1"/>
    <col min="4860" max="4860" width="1" customWidth="1"/>
    <col min="4861" max="4861" width="6.28515625" customWidth="1"/>
    <col min="4862" max="4862" width="1" customWidth="1"/>
    <col min="4863" max="4863" width="9.28515625" customWidth="1"/>
    <col min="4864" max="4864" width="6.28515625" customWidth="1"/>
    <col min="4865" max="4865" width="7.140625" customWidth="1"/>
    <col min="4866" max="4866" width="4.28515625" customWidth="1"/>
    <col min="4867" max="4867" width="17.28515625" customWidth="1"/>
    <col min="4868" max="4868" width="15.28515625" customWidth="1"/>
    <col min="4869" max="4869" width="7.28515625" customWidth="1"/>
    <col min="4870" max="4870" width="1" customWidth="1"/>
    <col min="4871" max="4871" width="4" customWidth="1"/>
    <col min="4872" max="4872" width="1" customWidth="1"/>
    <col min="4873" max="4873" width="3" customWidth="1"/>
    <col min="4874" max="4874" width="1" customWidth="1"/>
    <col min="4875" max="4875" width="11.85546875" customWidth="1"/>
    <col min="4876" max="4876" width="1" customWidth="1"/>
    <col min="4877" max="4877" width="6.28515625" customWidth="1"/>
    <col min="4878" max="4878" width="12.140625" customWidth="1"/>
    <col min="4879" max="4879" width="5" customWidth="1"/>
    <col min="4880" max="4880" width="10.85546875" customWidth="1"/>
    <col min="4881" max="4881" width="3" customWidth="1"/>
    <col min="4882" max="4882" width="7.5703125" customWidth="1"/>
    <col min="4883" max="4883" width="1.7109375" customWidth="1"/>
    <col min="4884" max="4884" width="9.85546875" customWidth="1"/>
    <col min="5108" max="5108" width="7" customWidth="1"/>
    <col min="5109" max="5109" width="1.5703125" customWidth="1"/>
    <col min="5110" max="5110" width="11.140625" customWidth="1"/>
    <col min="5111" max="5111" width="8.7109375" customWidth="1"/>
    <col min="5112" max="5112" width="22.85546875" customWidth="1"/>
    <col min="5113" max="5113" width="6.5703125" customWidth="1"/>
    <col min="5114" max="5114" width="1" customWidth="1"/>
    <col min="5115" max="5115" width="6.85546875" customWidth="1"/>
    <col min="5116" max="5116" width="1" customWidth="1"/>
    <col min="5117" max="5117" width="6.28515625" customWidth="1"/>
    <col min="5118" max="5118" width="1" customWidth="1"/>
    <col min="5119" max="5119" width="9.28515625" customWidth="1"/>
    <col min="5120" max="5120" width="6.28515625" customWidth="1"/>
    <col min="5121" max="5121" width="7.140625" customWidth="1"/>
    <col min="5122" max="5122" width="4.28515625" customWidth="1"/>
    <col min="5123" max="5123" width="17.28515625" customWidth="1"/>
    <col min="5124" max="5124" width="15.28515625" customWidth="1"/>
    <col min="5125" max="5125" width="7.28515625" customWidth="1"/>
    <col min="5126" max="5126" width="1" customWidth="1"/>
    <col min="5127" max="5127" width="4" customWidth="1"/>
    <col min="5128" max="5128" width="1" customWidth="1"/>
    <col min="5129" max="5129" width="3" customWidth="1"/>
    <col min="5130" max="5130" width="1" customWidth="1"/>
    <col min="5131" max="5131" width="11.85546875" customWidth="1"/>
    <col min="5132" max="5132" width="1" customWidth="1"/>
    <col min="5133" max="5133" width="6.28515625" customWidth="1"/>
    <col min="5134" max="5134" width="12.140625" customWidth="1"/>
    <col min="5135" max="5135" width="5" customWidth="1"/>
    <col min="5136" max="5136" width="10.85546875" customWidth="1"/>
    <col min="5137" max="5137" width="3" customWidth="1"/>
    <col min="5138" max="5138" width="7.5703125" customWidth="1"/>
    <col min="5139" max="5139" width="1.7109375" customWidth="1"/>
    <col min="5140" max="5140" width="9.85546875" customWidth="1"/>
    <col min="5364" max="5364" width="7" customWidth="1"/>
    <col min="5365" max="5365" width="1.5703125" customWidth="1"/>
    <col min="5366" max="5366" width="11.140625" customWidth="1"/>
    <col min="5367" max="5367" width="8.7109375" customWidth="1"/>
    <col min="5368" max="5368" width="22.85546875" customWidth="1"/>
    <col min="5369" max="5369" width="6.5703125" customWidth="1"/>
    <col min="5370" max="5370" width="1" customWidth="1"/>
    <col min="5371" max="5371" width="6.85546875" customWidth="1"/>
    <col min="5372" max="5372" width="1" customWidth="1"/>
    <col min="5373" max="5373" width="6.28515625" customWidth="1"/>
    <col min="5374" max="5374" width="1" customWidth="1"/>
    <col min="5375" max="5375" width="9.28515625" customWidth="1"/>
    <col min="5376" max="5376" width="6.28515625" customWidth="1"/>
    <col min="5377" max="5377" width="7.140625" customWidth="1"/>
    <col min="5378" max="5378" width="4.28515625" customWidth="1"/>
    <col min="5379" max="5379" width="17.28515625" customWidth="1"/>
    <col min="5380" max="5380" width="15.28515625" customWidth="1"/>
    <col min="5381" max="5381" width="7.28515625" customWidth="1"/>
    <col min="5382" max="5382" width="1" customWidth="1"/>
    <col min="5383" max="5383" width="4" customWidth="1"/>
    <col min="5384" max="5384" width="1" customWidth="1"/>
    <col min="5385" max="5385" width="3" customWidth="1"/>
    <col min="5386" max="5386" width="1" customWidth="1"/>
    <col min="5387" max="5387" width="11.85546875" customWidth="1"/>
    <col min="5388" max="5388" width="1" customWidth="1"/>
    <col min="5389" max="5389" width="6.28515625" customWidth="1"/>
    <col min="5390" max="5390" width="12.140625" customWidth="1"/>
    <col min="5391" max="5391" width="5" customWidth="1"/>
    <col min="5392" max="5392" width="10.85546875" customWidth="1"/>
    <col min="5393" max="5393" width="3" customWidth="1"/>
    <col min="5394" max="5394" width="7.5703125" customWidth="1"/>
    <col min="5395" max="5395" width="1.7109375" customWidth="1"/>
    <col min="5396" max="5396" width="9.85546875" customWidth="1"/>
    <col min="5620" max="5620" width="7" customWidth="1"/>
    <col min="5621" max="5621" width="1.5703125" customWidth="1"/>
    <col min="5622" max="5622" width="11.140625" customWidth="1"/>
    <col min="5623" max="5623" width="8.7109375" customWidth="1"/>
    <col min="5624" max="5624" width="22.85546875" customWidth="1"/>
    <col min="5625" max="5625" width="6.5703125" customWidth="1"/>
    <col min="5626" max="5626" width="1" customWidth="1"/>
    <col min="5627" max="5627" width="6.85546875" customWidth="1"/>
    <col min="5628" max="5628" width="1" customWidth="1"/>
    <col min="5629" max="5629" width="6.28515625" customWidth="1"/>
    <col min="5630" max="5630" width="1" customWidth="1"/>
    <col min="5631" max="5631" width="9.28515625" customWidth="1"/>
    <col min="5632" max="5632" width="6.28515625" customWidth="1"/>
    <col min="5633" max="5633" width="7.140625" customWidth="1"/>
    <col min="5634" max="5634" width="4.28515625" customWidth="1"/>
    <col min="5635" max="5635" width="17.28515625" customWidth="1"/>
    <col min="5636" max="5636" width="15.28515625" customWidth="1"/>
    <col min="5637" max="5637" width="7.28515625" customWidth="1"/>
    <col min="5638" max="5638" width="1" customWidth="1"/>
    <col min="5639" max="5639" width="4" customWidth="1"/>
    <col min="5640" max="5640" width="1" customWidth="1"/>
    <col min="5641" max="5641" width="3" customWidth="1"/>
    <col min="5642" max="5642" width="1" customWidth="1"/>
    <col min="5643" max="5643" width="11.85546875" customWidth="1"/>
    <col min="5644" max="5644" width="1" customWidth="1"/>
    <col min="5645" max="5645" width="6.28515625" customWidth="1"/>
    <col min="5646" max="5646" width="12.140625" customWidth="1"/>
    <col min="5647" max="5647" width="5" customWidth="1"/>
    <col min="5648" max="5648" width="10.85546875" customWidth="1"/>
    <col min="5649" max="5649" width="3" customWidth="1"/>
    <col min="5650" max="5650" width="7.5703125" customWidth="1"/>
    <col min="5651" max="5651" width="1.7109375" customWidth="1"/>
    <col min="5652" max="5652" width="9.85546875" customWidth="1"/>
    <col min="5876" max="5876" width="7" customWidth="1"/>
    <col min="5877" max="5877" width="1.5703125" customWidth="1"/>
    <col min="5878" max="5878" width="11.140625" customWidth="1"/>
    <col min="5879" max="5879" width="8.7109375" customWidth="1"/>
    <col min="5880" max="5880" width="22.85546875" customWidth="1"/>
    <col min="5881" max="5881" width="6.5703125" customWidth="1"/>
    <col min="5882" max="5882" width="1" customWidth="1"/>
    <col min="5883" max="5883" width="6.85546875" customWidth="1"/>
    <col min="5884" max="5884" width="1" customWidth="1"/>
    <col min="5885" max="5885" width="6.28515625" customWidth="1"/>
    <col min="5886" max="5886" width="1" customWidth="1"/>
    <col min="5887" max="5887" width="9.28515625" customWidth="1"/>
    <col min="5888" max="5888" width="6.28515625" customWidth="1"/>
    <col min="5889" max="5889" width="7.140625" customWidth="1"/>
    <col min="5890" max="5890" width="4.28515625" customWidth="1"/>
    <col min="5891" max="5891" width="17.28515625" customWidth="1"/>
    <col min="5892" max="5892" width="15.28515625" customWidth="1"/>
    <col min="5893" max="5893" width="7.28515625" customWidth="1"/>
    <col min="5894" max="5894" width="1" customWidth="1"/>
    <col min="5895" max="5895" width="4" customWidth="1"/>
    <col min="5896" max="5896" width="1" customWidth="1"/>
    <col min="5897" max="5897" width="3" customWidth="1"/>
    <col min="5898" max="5898" width="1" customWidth="1"/>
    <col min="5899" max="5899" width="11.85546875" customWidth="1"/>
    <col min="5900" max="5900" width="1" customWidth="1"/>
    <col min="5901" max="5901" width="6.28515625" customWidth="1"/>
    <col min="5902" max="5902" width="12.140625" customWidth="1"/>
    <col min="5903" max="5903" width="5" customWidth="1"/>
    <col min="5904" max="5904" width="10.85546875" customWidth="1"/>
    <col min="5905" max="5905" width="3" customWidth="1"/>
    <col min="5906" max="5906" width="7.5703125" customWidth="1"/>
    <col min="5907" max="5907" width="1.7109375" customWidth="1"/>
    <col min="5908" max="5908" width="9.85546875" customWidth="1"/>
    <col min="6132" max="6132" width="7" customWidth="1"/>
    <col min="6133" max="6133" width="1.5703125" customWidth="1"/>
    <col min="6134" max="6134" width="11.140625" customWidth="1"/>
    <col min="6135" max="6135" width="8.7109375" customWidth="1"/>
    <col min="6136" max="6136" width="22.85546875" customWidth="1"/>
    <col min="6137" max="6137" width="6.5703125" customWidth="1"/>
    <col min="6138" max="6138" width="1" customWidth="1"/>
    <col min="6139" max="6139" width="6.85546875" customWidth="1"/>
    <col min="6140" max="6140" width="1" customWidth="1"/>
    <col min="6141" max="6141" width="6.28515625" customWidth="1"/>
    <col min="6142" max="6142" width="1" customWidth="1"/>
    <col min="6143" max="6143" width="9.28515625" customWidth="1"/>
    <col min="6144" max="6144" width="6.28515625" customWidth="1"/>
    <col min="6145" max="6145" width="7.140625" customWidth="1"/>
    <col min="6146" max="6146" width="4.28515625" customWidth="1"/>
    <col min="6147" max="6147" width="17.28515625" customWidth="1"/>
    <col min="6148" max="6148" width="15.28515625" customWidth="1"/>
    <col min="6149" max="6149" width="7.28515625" customWidth="1"/>
    <col min="6150" max="6150" width="1" customWidth="1"/>
    <col min="6151" max="6151" width="4" customWidth="1"/>
    <col min="6152" max="6152" width="1" customWidth="1"/>
    <col min="6153" max="6153" width="3" customWidth="1"/>
    <col min="6154" max="6154" width="1" customWidth="1"/>
    <col min="6155" max="6155" width="11.85546875" customWidth="1"/>
    <col min="6156" max="6156" width="1" customWidth="1"/>
    <col min="6157" max="6157" width="6.28515625" customWidth="1"/>
    <col min="6158" max="6158" width="12.140625" customWidth="1"/>
    <col min="6159" max="6159" width="5" customWidth="1"/>
    <col min="6160" max="6160" width="10.85546875" customWidth="1"/>
    <col min="6161" max="6161" width="3" customWidth="1"/>
    <col min="6162" max="6162" width="7.5703125" customWidth="1"/>
    <col min="6163" max="6163" width="1.7109375" customWidth="1"/>
    <col min="6164" max="6164" width="9.85546875" customWidth="1"/>
    <col min="6388" max="6388" width="7" customWidth="1"/>
    <col min="6389" max="6389" width="1.5703125" customWidth="1"/>
    <col min="6390" max="6390" width="11.140625" customWidth="1"/>
    <col min="6391" max="6391" width="8.7109375" customWidth="1"/>
    <col min="6392" max="6392" width="22.85546875" customWidth="1"/>
    <col min="6393" max="6393" width="6.5703125" customWidth="1"/>
    <col min="6394" max="6394" width="1" customWidth="1"/>
    <col min="6395" max="6395" width="6.85546875" customWidth="1"/>
    <col min="6396" max="6396" width="1" customWidth="1"/>
    <col min="6397" max="6397" width="6.28515625" customWidth="1"/>
    <col min="6398" max="6398" width="1" customWidth="1"/>
    <col min="6399" max="6399" width="9.28515625" customWidth="1"/>
    <col min="6400" max="6400" width="6.28515625" customWidth="1"/>
    <col min="6401" max="6401" width="7.140625" customWidth="1"/>
    <col min="6402" max="6402" width="4.28515625" customWidth="1"/>
    <col min="6403" max="6403" width="17.28515625" customWidth="1"/>
    <col min="6404" max="6404" width="15.28515625" customWidth="1"/>
    <col min="6405" max="6405" width="7.28515625" customWidth="1"/>
    <col min="6406" max="6406" width="1" customWidth="1"/>
    <col min="6407" max="6407" width="4" customWidth="1"/>
    <col min="6408" max="6408" width="1" customWidth="1"/>
    <col min="6409" max="6409" width="3" customWidth="1"/>
    <col min="6410" max="6410" width="1" customWidth="1"/>
    <col min="6411" max="6411" width="11.85546875" customWidth="1"/>
    <col min="6412" max="6412" width="1" customWidth="1"/>
    <col min="6413" max="6413" width="6.28515625" customWidth="1"/>
    <col min="6414" max="6414" width="12.140625" customWidth="1"/>
    <col min="6415" max="6415" width="5" customWidth="1"/>
    <col min="6416" max="6416" width="10.85546875" customWidth="1"/>
    <col min="6417" max="6417" width="3" customWidth="1"/>
    <col min="6418" max="6418" width="7.5703125" customWidth="1"/>
    <col min="6419" max="6419" width="1.7109375" customWidth="1"/>
    <col min="6420" max="6420" width="9.85546875" customWidth="1"/>
    <col min="6644" max="6644" width="7" customWidth="1"/>
    <col min="6645" max="6645" width="1.5703125" customWidth="1"/>
    <col min="6646" max="6646" width="11.140625" customWidth="1"/>
    <col min="6647" max="6647" width="8.7109375" customWidth="1"/>
    <col min="6648" max="6648" width="22.85546875" customWidth="1"/>
    <col min="6649" max="6649" width="6.5703125" customWidth="1"/>
    <col min="6650" max="6650" width="1" customWidth="1"/>
    <col min="6651" max="6651" width="6.85546875" customWidth="1"/>
    <col min="6652" max="6652" width="1" customWidth="1"/>
    <col min="6653" max="6653" width="6.28515625" customWidth="1"/>
    <col min="6654" max="6654" width="1" customWidth="1"/>
    <col min="6655" max="6655" width="9.28515625" customWidth="1"/>
    <col min="6656" max="6656" width="6.28515625" customWidth="1"/>
    <col min="6657" max="6657" width="7.140625" customWidth="1"/>
    <col min="6658" max="6658" width="4.28515625" customWidth="1"/>
    <col min="6659" max="6659" width="17.28515625" customWidth="1"/>
    <col min="6660" max="6660" width="15.28515625" customWidth="1"/>
    <col min="6661" max="6661" width="7.28515625" customWidth="1"/>
    <col min="6662" max="6662" width="1" customWidth="1"/>
    <col min="6663" max="6663" width="4" customWidth="1"/>
    <col min="6664" max="6664" width="1" customWidth="1"/>
    <col min="6665" max="6665" width="3" customWidth="1"/>
    <col min="6666" max="6666" width="1" customWidth="1"/>
    <col min="6667" max="6667" width="11.85546875" customWidth="1"/>
    <col min="6668" max="6668" width="1" customWidth="1"/>
    <col min="6669" max="6669" width="6.28515625" customWidth="1"/>
    <col min="6670" max="6670" width="12.140625" customWidth="1"/>
    <col min="6671" max="6671" width="5" customWidth="1"/>
    <col min="6672" max="6672" width="10.85546875" customWidth="1"/>
    <col min="6673" max="6673" width="3" customWidth="1"/>
    <col min="6674" max="6674" width="7.5703125" customWidth="1"/>
    <col min="6675" max="6675" width="1.7109375" customWidth="1"/>
    <col min="6676" max="6676" width="9.85546875" customWidth="1"/>
    <col min="6900" max="6900" width="7" customWidth="1"/>
    <col min="6901" max="6901" width="1.5703125" customWidth="1"/>
    <col min="6902" max="6902" width="11.140625" customWidth="1"/>
    <col min="6903" max="6903" width="8.7109375" customWidth="1"/>
    <col min="6904" max="6904" width="22.85546875" customWidth="1"/>
    <col min="6905" max="6905" width="6.5703125" customWidth="1"/>
    <col min="6906" max="6906" width="1" customWidth="1"/>
    <col min="6907" max="6907" width="6.85546875" customWidth="1"/>
    <col min="6908" max="6908" width="1" customWidth="1"/>
    <col min="6909" max="6909" width="6.28515625" customWidth="1"/>
    <col min="6910" max="6910" width="1" customWidth="1"/>
    <col min="6911" max="6911" width="9.28515625" customWidth="1"/>
    <col min="6912" max="6912" width="6.28515625" customWidth="1"/>
    <col min="6913" max="6913" width="7.140625" customWidth="1"/>
    <col min="6914" max="6914" width="4.28515625" customWidth="1"/>
    <col min="6915" max="6915" width="17.28515625" customWidth="1"/>
    <col min="6916" max="6916" width="15.28515625" customWidth="1"/>
    <col min="6917" max="6917" width="7.28515625" customWidth="1"/>
    <col min="6918" max="6918" width="1" customWidth="1"/>
    <col min="6919" max="6919" width="4" customWidth="1"/>
    <col min="6920" max="6920" width="1" customWidth="1"/>
    <col min="6921" max="6921" width="3" customWidth="1"/>
    <col min="6922" max="6922" width="1" customWidth="1"/>
    <col min="6923" max="6923" width="11.85546875" customWidth="1"/>
    <col min="6924" max="6924" width="1" customWidth="1"/>
    <col min="6925" max="6925" width="6.28515625" customWidth="1"/>
    <col min="6926" max="6926" width="12.140625" customWidth="1"/>
    <col min="6927" max="6927" width="5" customWidth="1"/>
    <col min="6928" max="6928" width="10.85546875" customWidth="1"/>
    <col min="6929" max="6929" width="3" customWidth="1"/>
    <col min="6930" max="6930" width="7.5703125" customWidth="1"/>
    <col min="6931" max="6931" width="1.7109375" customWidth="1"/>
    <col min="6932" max="6932" width="9.85546875" customWidth="1"/>
    <col min="7156" max="7156" width="7" customWidth="1"/>
    <col min="7157" max="7157" width="1.5703125" customWidth="1"/>
    <col min="7158" max="7158" width="11.140625" customWidth="1"/>
    <col min="7159" max="7159" width="8.7109375" customWidth="1"/>
    <col min="7160" max="7160" width="22.85546875" customWidth="1"/>
    <col min="7161" max="7161" width="6.5703125" customWidth="1"/>
    <col min="7162" max="7162" width="1" customWidth="1"/>
    <col min="7163" max="7163" width="6.85546875" customWidth="1"/>
    <col min="7164" max="7164" width="1" customWidth="1"/>
    <col min="7165" max="7165" width="6.28515625" customWidth="1"/>
    <col min="7166" max="7166" width="1" customWidth="1"/>
    <col min="7167" max="7167" width="9.28515625" customWidth="1"/>
    <col min="7168" max="7168" width="6.28515625" customWidth="1"/>
    <col min="7169" max="7169" width="7.140625" customWidth="1"/>
    <col min="7170" max="7170" width="4.28515625" customWidth="1"/>
    <col min="7171" max="7171" width="17.28515625" customWidth="1"/>
    <col min="7172" max="7172" width="15.28515625" customWidth="1"/>
    <col min="7173" max="7173" width="7.28515625" customWidth="1"/>
    <col min="7174" max="7174" width="1" customWidth="1"/>
    <col min="7175" max="7175" width="4" customWidth="1"/>
    <col min="7176" max="7176" width="1" customWidth="1"/>
    <col min="7177" max="7177" width="3" customWidth="1"/>
    <col min="7178" max="7178" width="1" customWidth="1"/>
    <col min="7179" max="7179" width="11.85546875" customWidth="1"/>
    <col min="7180" max="7180" width="1" customWidth="1"/>
    <col min="7181" max="7181" width="6.28515625" customWidth="1"/>
    <col min="7182" max="7182" width="12.140625" customWidth="1"/>
    <col min="7183" max="7183" width="5" customWidth="1"/>
    <col min="7184" max="7184" width="10.85546875" customWidth="1"/>
    <col min="7185" max="7185" width="3" customWidth="1"/>
    <col min="7186" max="7186" width="7.5703125" customWidth="1"/>
    <col min="7187" max="7187" width="1.7109375" customWidth="1"/>
    <col min="7188" max="7188" width="9.85546875" customWidth="1"/>
    <col min="7412" max="7412" width="7" customWidth="1"/>
    <col min="7413" max="7413" width="1.5703125" customWidth="1"/>
    <col min="7414" max="7414" width="11.140625" customWidth="1"/>
    <col min="7415" max="7415" width="8.7109375" customWidth="1"/>
    <col min="7416" max="7416" width="22.85546875" customWidth="1"/>
    <col min="7417" max="7417" width="6.5703125" customWidth="1"/>
    <col min="7418" max="7418" width="1" customWidth="1"/>
    <col min="7419" max="7419" width="6.85546875" customWidth="1"/>
    <col min="7420" max="7420" width="1" customWidth="1"/>
    <col min="7421" max="7421" width="6.28515625" customWidth="1"/>
    <col min="7422" max="7422" width="1" customWidth="1"/>
    <col min="7423" max="7423" width="9.28515625" customWidth="1"/>
    <col min="7424" max="7424" width="6.28515625" customWidth="1"/>
    <col min="7425" max="7425" width="7.140625" customWidth="1"/>
    <col min="7426" max="7426" width="4.28515625" customWidth="1"/>
    <col min="7427" max="7427" width="17.28515625" customWidth="1"/>
    <col min="7428" max="7428" width="15.28515625" customWidth="1"/>
    <col min="7429" max="7429" width="7.28515625" customWidth="1"/>
    <col min="7430" max="7430" width="1" customWidth="1"/>
    <col min="7431" max="7431" width="4" customWidth="1"/>
    <col min="7432" max="7432" width="1" customWidth="1"/>
    <col min="7433" max="7433" width="3" customWidth="1"/>
    <col min="7434" max="7434" width="1" customWidth="1"/>
    <col min="7435" max="7435" width="11.85546875" customWidth="1"/>
    <col min="7436" max="7436" width="1" customWidth="1"/>
    <col min="7437" max="7437" width="6.28515625" customWidth="1"/>
    <col min="7438" max="7438" width="12.140625" customWidth="1"/>
    <col min="7439" max="7439" width="5" customWidth="1"/>
    <col min="7440" max="7440" width="10.85546875" customWidth="1"/>
    <col min="7441" max="7441" width="3" customWidth="1"/>
    <col min="7442" max="7442" width="7.5703125" customWidth="1"/>
    <col min="7443" max="7443" width="1.7109375" customWidth="1"/>
    <col min="7444" max="7444" width="9.85546875" customWidth="1"/>
    <col min="7668" max="7668" width="7" customWidth="1"/>
    <col min="7669" max="7669" width="1.5703125" customWidth="1"/>
    <col min="7670" max="7670" width="11.140625" customWidth="1"/>
    <col min="7671" max="7671" width="8.7109375" customWidth="1"/>
    <col min="7672" max="7672" width="22.85546875" customWidth="1"/>
    <col min="7673" max="7673" width="6.5703125" customWidth="1"/>
    <col min="7674" max="7674" width="1" customWidth="1"/>
    <col min="7675" max="7675" width="6.85546875" customWidth="1"/>
    <col min="7676" max="7676" width="1" customWidth="1"/>
    <col min="7677" max="7677" width="6.28515625" customWidth="1"/>
    <col min="7678" max="7678" width="1" customWidth="1"/>
    <col min="7679" max="7679" width="9.28515625" customWidth="1"/>
    <col min="7680" max="7680" width="6.28515625" customWidth="1"/>
    <col min="7681" max="7681" width="7.140625" customWidth="1"/>
    <col min="7682" max="7682" width="4.28515625" customWidth="1"/>
    <col min="7683" max="7683" width="17.28515625" customWidth="1"/>
    <col min="7684" max="7684" width="15.28515625" customWidth="1"/>
    <col min="7685" max="7685" width="7.28515625" customWidth="1"/>
    <col min="7686" max="7686" width="1" customWidth="1"/>
    <col min="7687" max="7687" width="4" customWidth="1"/>
    <col min="7688" max="7688" width="1" customWidth="1"/>
    <col min="7689" max="7689" width="3" customWidth="1"/>
    <col min="7690" max="7690" width="1" customWidth="1"/>
    <col min="7691" max="7691" width="11.85546875" customWidth="1"/>
    <col min="7692" max="7692" width="1" customWidth="1"/>
    <col min="7693" max="7693" width="6.28515625" customWidth="1"/>
    <col min="7694" max="7694" width="12.140625" customWidth="1"/>
    <col min="7695" max="7695" width="5" customWidth="1"/>
    <col min="7696" max="7696" width="10.85546875" customWidth="1"/>
    <col min="7697" max="7697" width="3" customWidth="1"/>
    <col min="7698" max="7698" width="7.5703125" customWidth="1"/>
    <col min="7699" max="7699" width="1.7109375" customWidth="1"/>
    <col min="7700" max="7700" width="9.85546875" customWidth="1"/>
    <col min="7924" max="7924" width="7" customWidth="1"/>
    <col min="7925" max="7925" width="1.5703125" customWidth="1"/>
    <col min="7926" max="7926" width="11.140625" customWidth="1"/>
    <col min="7927" max="7927" width="8.7109375" customWidth="1"/>
    <col min="7928" max="7928" width="22.85546875" customWidth="1"/>
    <col min="7929" max="7929" width="6.5703125" customWidth="1"/>
    <col min="7930" max="7930" width="1" customWidth="1"/>
    <col min="7931" max="7931" width="6.85546875" customWidth="1"/>
    <col min="7932" max="7932" width="1" customWidth="1"/>
    <col min="7933" max="7933" width="6.28515625" customWidth="1"/>
    <col min="7934" max="7934" width="1" customWidth="1"/>
    <col min="7935" max="7935" width="9.28515625" customWidth="1"/>
    <col min="7936" max="7936" width="6.28515625" customWidth="1"/>
    <col min="7937" max="7937" width="7.140625" customWidth="1"/>
    <col min="7938" max="7938" width="4.28515625" customWidth="1"/>
    <col min="7939" max="7939" width="17.28515625" customWidth="1"/>
    <col min="7940" max="7940" width="15.28515625" customWidth="1"/>
    <col min="7941" max="7941" width="7.28515625" customWidth="1"/>
    <col min="7942" max="7942" width="1" customWidth="1"/>
    <col min="7943" max="7943" width="4" customWidth="1"/>
    <col min="7944" max="7944" width="1" customWidth="1"/>
    <col min="7945" max="7945" width="3" customWidth="1"/>
    <col min="7946" max="7946" width="1" customWidth="1"/>
    <col min="7947" max="7947" width="11.85546875" customWidth="1"/>
    <col min="7948" max="7948" width="1" customWidth="1"/>
    <col min="7949" max="7949" width="6.28515625" customWidth="1"/>
    <col min="7950" max="7950" width="12.140625" customWidth="1"/>
    <col min="7951" max="7951" width="5" customWidth="1"/>
    <col min="7952" max="7952" width="10.85546875" customWidth="1"/>
    <col min="7953" max="7953" width="3" customWidth="1"/>
    <col min="7954" max="7954" width="7.5703125" customWidth="1"/>
    <col min="7955" max="7955" width="1.7109375" customWidth="1"/>
    <col min="7956" max="7956" width="9.85546875" customWidth="1"/>
    <col min="8180" max="8180" width="7" customWidth="1"/>
    <col min="8181" max="8181" width="1.5703125" customWidth="1"/>
    <col min="8182" max="8182" width="11.140625" customWidth="1"/>
    <col min="8183" max="8183" width="8.7109375" customWidth="1"/>
    <col min="8184" max="8184" width="22.85546875" customWidth="1"/>
    <col min="8185" max="8185" width="6.5703125" customWidth="1"/>
    <col min="8186" max="8186" width="1" customWidth="1"/>
    <col min="8187" max="8187" width="6.85546875" customWidth="1"/>
    <col min="8188" max="8188" width="1" customWidth="1"/>
    <col min="8189" max="8189" width="6.28515625" customWidth="1"/>
    <col min="8190" max="8190" width="1" customWidth="1"/>
    <col min="8191" max="8191" width="9.28515625" customWidth="1"/>
    <col min="8192" max="8192" width="6.28515625" customWidth="1"/>
    <col min="8193" max="8193" width="7.140625" customWidth="1"/>
    <col min="8194" max="8194" width="4.28515625" customWidth="1"/>
    <col min="8195" max="8195" width="17.28515625" customWidth="1"/>
    <col min="8196" max="8196" width="15.28515625" customWidth="1"/>
    <col min="8197" max="8197" width="7.28515625" customWidth="1"/>
    <col min="8198" max="8198" width="1" customWidth="1"/>
    <col min="8199" max="8199" width="4" customWidth="1"/>
    <col min="8200" max="8200" width="1" customWidth="1"/>
    <col min="8201" max="8201" width="3" customWidth="1"/>
    <col min="8202" max="8202" width="1" customWidth="1"/>
    <col min="8203" max="8203" width="11.85546875" customWidth="1"/>
    <col min="8204" max="8204" width="1" customWidth="1"/>
    <col min="8205" max="8205" width="6.28515625" customWidth="1"/>
    <col min="8206" max="8206" width="12.140625" customWidth="1"/>
    <col min="8207" max="8207" width="5" customWidth="1"/>
    <col min="8208" max="8208" width="10.85546875" customWidth="1"/>
    <col min="8209" max="8209" width="3" customWidth="1"/>
    <col min="8210" max="8210" width="7.5703125" customWidth="1"/>
    <col min="8211" max="8211" width="1.7109375" customWidth="1"/>
    <col min="8212" max="8212" width="9.85546875" customWidth="1"/>
    <col min="8436" max="8436" width="7" customWidth="1"/>
    <col min="8437" max="8437" width="1.5703125" customWidth="1"/>
    <col min="8438" max="8438" width="11.140625" customWidth="1"/>
    <col min="8439" max="8439" width="8.7109375" customWidth="1"/>
    <col min="8440" max="8440" width="22.85546875" customWidth="1"/>
    <col min="8441" max="8441" width="6.5703125" customWidth="1"/>
    <col min="8442" max="8442" width="1" customWidth="1"/>
    <col min="8443" max="8443" width="6.85546875" customWidth="1"/>
    <col min="8444" max="8444" width="1" customWidth="1"/>
    <col min="8445" max="8445" width="6.28515625" customWidth="1"/>
    <col min="8446" max="8446" width="1" customWidth="1"/>
    <col min="8447" max="8447" width="9.28515625" customWidth="1"/>
    <col min="8448" max="8448" width="6.28515625" customWidth="1"/>
    <col min="8449" max="8449" width="7.140625" customWidth="1"/>
    <col min="8450" max="8450" width="4.28515625" customWidth="1"/>
    <col min="8451" max="8451" width="17.28515625" customWidth="1"/>
    <col min="8452" max="8452" width="15.28515625" customWidth="1"/>
    <col min="8453" max="8453" width="7.28515625" customWidth="1"/>
    <col min="8454" max="8454" width="1" customWidth="1"/>
    <col min="8455" max="8455" width="4" customWidth="1"/>
    <col min="8456" max="8456" width="1" customWidth="1"/>
    <col min="8457" max="8457" width="3" customWidth="1"/>
    <col min="8458" max="8458" width="1" customWidth="1"/>
    <col min="8459" max="8459" width="11.85546875" customWidth="1"/>
    <col min="8460" max="8460" width="1" customWidth="1"/>
    <col min="8461" max="8461" width="6.28515625" customWidth="1"/>
    <col min="8462" max="8462" width="12.140625" customWidth="1"/>
    <col min="8463" max="8463" width="5" customWidth="1"/>
    <col min="8464" max="8464" width="10.85546875" customWidth="1"/>
    <col min="8465" max="8465" width="3" customWidth="1"/>
    <col min="8466" max="8466" width="7.5703125" customWidth="1"/>
    <col min="8467" max="8467" width="1.7109375" customWidth="1"/>
    <col min="8468" max="8468" width="9.85546875" customWidth="1"/>
    <col min="8692" max="8692" width="7" customWidth="1"/>
    <col min="8693" max="8693" width="1.5703125" customWidth="1"/>
    <col min="8694" max="8694" width="11.140625" customWidth="1"/>
    <col min="8695" max="8695" width="8.7109375" customWidth="1"/>
    <col min="8696" max="8696" width="22.85546875" customWidth="1"/>
    <col min="8697" max="8697" width="6.5703125" customWidth="1"/>
    <col min="8698" max="8698" width="1" customWidth="1"/>
    <col min="8699" max="8699" width="6.85546875" customWidth="1"/>
    <col min="8700" max="8700" width="1" customWidth="1"/>
    <col min="8701" max="8701" width="6.28515625" customWidth="1"/>
    <col min="8702" max="8702" width="1" customWidth="1"/>
    <col min="8703" max="8703" width="9.28515625" customWidth="1"/>
    <col min="8704" max="8704" width="6.28515625" customWidth="1"/>
    <col min="8705" max="8705" width="7.140625" customWidth="1"/>
    <col min="8706" max="8706" width="4.28515625" customWidth="1"/>
    <col min="8707" max="8707" width="17.28515625" customWidth="1"/>
    <col min="8708" max="8708" width="15.28515625" customWidth="1"/>
    <col min="8709" max="8709" width="7.28515625" customWidth="1"/>
    <col min="8710" max="8710" width="1" customWidth="1"/>
    <col min="8711" max="8711" width="4" customWidth="1"/>
    <col min="8712" max="8712" width="1" customWidth="1"/>
    <col min="8713" max="8713" width="3" customWidth="1"/>
    <col min="8714" max="8714" width="1" customWidth="1"/>
    <col min="8715" max="8715" width="11.85546875" customWidth="1"/>
    <col min="8716" max="8716" width="1" customWidth="1"/>
    <col min="8717" max="8717" width="6.28515625" customWidth="1"/>
    <col min="8718" max="8718" width="12.140625" customWidth="1"/>
    <col min="8719" max="8719" width="5" customWidth="1"/>
    <col min="8720" max="8720" width="10.85546875" customWidth="1"/>
    <col min="8721" max="8721" width="3" customWidth="1"/>
    <col min="8722" max="8722" width="7.5703125" customWidth="1"/>
    <col min="8723" max="8723" width="1.7109375" customWidth="1"/>
    <col min="8724" max="8724" width="9.85546875" customWidth="1"/>
    <col min="8948" max="8948" width="7" customWidth="1"/>
    <col min="8949" max="8949" width="1.5703125" customWidth="1"/>
    <col min="8950" max="8950" width="11.140625" customWidth="1"/>
    <col min="8951" max="8951" width="8.7109375" customWidth="1"/>
    <col min="8952" max="8952" width="22.85546875" customWidth="1"/>
    <col min="8953" max="8953" width="6.5703125" customWidth="1"/>
    <col min="8954" max="8954" width="1" customWidth="1"/>
    <col min="8955" max="8955" width="6.85546875" customWidth="1"/>
    <col min="8956" max="8956" width="1" customWidth="1"/>
    <col min="8957" max="8957" width="6.28515625" customWidth="1"/>
    <col min="8958" max="8958" width="1" customWidth="1"/>
    <col min="8959" max="8959" width="9.28515625" customWidth="1"/>
    <col min="8960" max="8960" width="6.28515625" customWidth="1"/>
    <col min="8961" max="8961" width="7.140625" customWidth="1"/>
    <col min="8962" max="8962" width="4.28515625" customWidth="1"/>
    <col min="8963" max="8963" width="17.28515625" customWidth="1"/>
    <col min="8964" max="8964" width="15.28515625" customWidth="1"/>
    <col min="8965" max="8965" width="7.28515625" customWidth="1"/>
    <col min="8966" max="8966" width="1" customWidth="1"/>
    <col min="8967" max="8967" width="4" customWidth="1"/>
    <col min="8968" max="8968" width="1" customWidth="1"/>
    <col min="8969" max="8969" width="3" customWidth="1"/>
    <col min="8970" max="8970" width="1" customWidth="1"/>
    <col min="8971" max="8971" width="11.85546875" customWidth="1"/>
    <col min="8972" max="8972" width="1" customWidth="1"/>
    <col min="8973" max="8973" width="6.28515625" customWidth="1"/>
    <col min="8974" max="8974" width="12.140625" customWidth="1"/>
    <col min="8975" max="8975" width="5" customWidth="1"/>
    <col min="8976" max="8976" width="10.85546875" customWidth="1"/>
    <col min="8977" max="8977" width="3" customWidth="1"/>
    <col min="8978" max="8978" width="7.5703125" customWidth="1"/>
    <col min="8979" max="8979" width="1.7109375" customWidth="1"/>
    <col min="8980" max="8980" width="9.85546875" customWidth="1"/>
    <col min="9204" max="9204" width="7" customWidth="1"/>
    <col min="9205" max="9205" width="1.5703125" customWidth="1"/>
    <col min="9206" max="9206" width="11.140625" customWidth="1"/>
    <col min="9207" max="9207" width="8.7109375" customWidth="1"/>
    <col min="9208" max="9208" width="22.85546875" customWidth="1"/>
    <col min="9209" max="9209" width="6.5703125" customWidth="1"/>
    <col min="9210" max="9210" width="1" customWidth="1"/>
    <col min="9211" max="9211" width="6.85546875" customWidth="1"/>
    <col min="9212" max="9212" width="1" customWidth="1"/>
    <col min="9213" max="9213" width="6.28515625" customWidth="1"/>
    <col min="9214" max="9214" width="1" customWidth="1"/>
    <col min="9215" max="9215" width="9.28515625" customWidth="1"/>
    <col min="9216" max="9216" width="6.28515625" customWidth="1"/>
    <col min="9217" max="9217" width="7.140625" customWidth="1"/>
    <col min="9218" max="9218" width="4.28515625" customWidth="1"/>
    <col min="9219" max="9219" width="17.28515625" customWidth="1"/>
    <col min="9220" max="9220" width="15.28515625" customWidth="1"/>
    <col min="9221" max="9221" width="7.28515625" customWidth="1"/>
    <col min="9222" max="9222" width="1" customWidth="1"/>
    <col min="9223" max="9223" width="4" customWidth="1"/>
    <col min="9224" max="9224" width="1" customWidth="1"/>
    <col min="9225" max="9225" width="3" customWidth="1"/>
    <col min="9226" max="9226" width="1" customWidth="1"/>
    <col min="9227" max="9227" width="11.85546875" customWidth="1"/>
    <col min="9228" max="9228" width="1" customWidth="1"/>
    <col min="9229" max="9229" width="6.28515625" customWidth="1"/>
    <col min="9230" max="9230" width="12.140625" customWidth="1"/>
    <col min="9231" max="9231" width="5" customWidth="1"/>
    <col min="9232" max="9232" width="10.85546875" customWidth="1"/>
    <col min="9233" max="9233" width="3" customWidth="1"/>
    <col min="9234" max="9234" width="7.5703125" customWidth="1"/>
    <col min="9235" max="9235" width="1.7109375" customWidth="1"/>
    <col min="9236" max="9236" width="9.85546875" customWidth="1"/>
    <col min="9460" max="9460" width="7" customWidth="1"/>
    <col min="9461" max="9461" width="1.5703125" customWidth="1"/>
    <col min="9462" max="9462" width="11.140625" customWidth="1"/>
    <col min="9463" max="9463" width="8.7109375" customWidth="1"/>
    <col min="9464" max="9464" width="22.85546875" customWidth="1"/>
    <col min="9465" max="9465" width="6.5703125" customWidth="1"/>
    <col min="9466" max="9466" width="1" customWidth="1"/>
    <col min="9467" max="9467" width="6.85546875" customWidth="1"/>
    <col min="9468" max="9468" width="1" customWidth="1"/>
    <col min="9469" max="9469" width="6.28515625" customWidth="1"/>
    <col min="9470" max="9470" width="1" customWidth="1"/>
    <col min="9471" max="9471" width="9.28515625" customWidth="1"/>
    <col min="9472" max="9472" width="6.28515625" customWidth="1"/>
    <col min="9473" max="9473" width="7.140625" customWidth="1"/>
    <col min="9474" max="9474" width="4.28515625" customWidth="1"/>
    <col min="9475" max="9475" width="17.28515625" customWidth="1"/>
    <col min="9476" max="9476" width="15.28515625" customWidth="1"/>
    <col min="9477" max="9477" width="7.28515625" customWidth="1"/>
    <col min="9478" max="9478" width="1" customWidth="1"/>
    <col min="9479" max="9479" width="4" customWidth="1"/>
    <col min="9480" max="9480" width="1" customWidth="1"/>
    <col min="9481" max="9481" width="3" customWidth="1"/>
    <col min="9482" max="9482" width="1" customWidth="1"/>
    <col min="9483" max="9483" width="11.85546875" customWidth="1"/>
    <col min="9484" max="9484" width="1" customWidth="1"/>
    <col min="9485" max="9485" width="6.28515625" customWidth="1"/>
    <col min="9486" max="9486" width="12.140625" customWidth="1"/>
    <col min="9487" max="9487" width="5" customWidth="1"/>
    <col min="9488" max="9488" width="10.85546875" customWidth="1"/>
    <col min="9489" max="9489" width="3" customWidth="1"/>
    <col min="9490" max="9490" width="7.5703125" customWidth="1"/>
    <col min="9491" max="9491" width="1.7109375" customWidth="1"/>
    <col min="9492" max="9492" width="9.85546875" customWidth="1"/>
    <col min="9716" max="9716" width="7" customWidth="1"/>
    <col min="9717" max="9717" width="1.5703125" customWidth="1"/>
    <col min="9718" max="9718" width="11.140625" customWidth="1"/>
    <col min="9719" max="9719" width="8.7109375" customWidth="1"/>
    <col min="9720" max="9720" width="22.85546875" customWidth="1"/>
    <col min="9721" max="9721" width="6.5703125" customWidth="1"/>
    <col min="9722" max="9722" width="1" customWidth="1"/>
    <col min="9723" max="9723" width="6.85546875" customWidth="1"/>
    <col min="9724" max="9724" width="1" customWidth="1"/>
    <col min="9725" max="9725" width="6.28515625" customWidth="1"/>
    <col min="9726" max="9726" width="1" customWidth="1"/>
    <col min="9727" max="9727" width="9.28515625" customWidth="1"/>
    <col min="9728" max="9728" width="6.28515625" customWidth="1"/>
    <col min="9729" max="9729" width="7.140625" customWidth="1"/>
    <col min="9730" max="9730" width="4.28515625" customWidth="1"/>
    <col min="9731" max="9731" width="17.28515625" customWidth="1"/>
    <col min="9732" max="9732" width="15.28515625" customWidth="1"/>
    <col min="9733" max="9733" width="7.28515625" customWidth="1"/>
    <col min="9734" max="9734" width="1" customWidth="1"/>
    <col min="9735" max="9735" width="4" customWidth="1"/>
    <col min="9736" max="9736" width="1" customWidth="1"/>
    <col min="9737" max="9737" width="3" customWidth="1"/>
    <col min="9738" max="9738" width="1" customWidth="1"/>
    <col min="9739" max="9739" width="11.85546875" customWidth="1"/>
    <col min="9740" max="9740" width="1" customWidth="1"/>
    <col min="9741" max="9741" width="6.28515625" customWidth="1"/>
    <col min="9742" max="9742" width="12.140625" customWidth="1"/>
    <col min="9743" max="9743" width="5" customWidth="1"/>
    <col min="9744" max="9744" width="10.85546875" customWidth="1"/>
    <col min="9745" max="9745" width="3" customWidth="1"/>
    <col min="9746" max="9746" width="7.5703125" customWidth="1"/>
    <col min="9747" max="9747" width="1.7109375" customWidth="1"/>
    <col min="9748" max="9748" width="9.85546875" customWidth="1"/>
    <col min="9972" max="9972" width="7" customWidth="1"/>
    <col min="9973" max="9973" width="1.5703125" customWidth="1"/>
    <col min="9974" max="9974" width="11.140625" customWidth="1"/>
    <col min="9975" max="9975" width="8.7109375" customWidth="1"/>
    <col min="9976" max="9976" width="22.85546875" customWidth="1"/>
    <col min="9977" max="9977" width="6.5703125" customWidth="1"/>
    <col min="9978" max="9978" width="1" customWidth="1"/>
    <col min="9979" max="9979" width="6.85546875" customWidth="1"/>
    <col min="9980" max="9980" width="1" customWidth="1"/>
    <col min="9981" max="9981" width="6.28515625" customWidth="1"/>
    <col min="9982" max="9982" width="1" customWidth="1"/>
    <col min="9983" max="9983" width="9.28515625" customWidth="1"/>
    <col min="9984" max="9984" width="6.28515625" customWidth="1"/>
    <col min="9985" max="9985" width="7.140625" customWidth="1"/>
    <col min="9986" max="9986" width="4.28515625" customWidth="1"/>
    <col min="9987" max="9987" width="17.28515625" customWidth="1"/>
    <col min="9988" max="9988" width="15.28515625" customWidth="1"/>
    <col min="9989" max="9989" width="7.28515625" customWidth="1"/>
    <col min="9990" max="9990" width="1" customWidth="1"/>
    <col min="9991" max="9991" width="4" customWidth="1"/>
    <col min="9992" max="9992" width="1" customWidth="1"/>
    <col min="9993" max="9993" width="3" customWidth="1"/>
    <col min="9994" max="9994" width="1" customWidth="1"/>
    <col min="9995" max="9995" width="11.85546875" customWidth="1"/>
    <col min="9996" max="9996" width="1" customWidth="1"/>
    <col min="9997" max="9997" width="6.28515625" customWidth="1"/>
    <col min="9998" max="9998" width="12.140625" customWidth="1"/>
    <col min="9999" max="9999" width="5" customWidth="1"/>
    <col min="10000" max="10000" width="10.85546875" customWidth="1"/>
    <col min="10001" max="10001" width="3" customWidth="1"/>
    <col min="10002" max="10002" width="7.5703125" customWidth="1"/>
    <col min="10003" max="10003" width="1.7109375" customWidth="1"/>
    <col min="10004" max="10004" width="9.85546875" customWidth="1"/>
    <col min="10228" max="10228" width="7" customWidth="1"/>
    <col min="10229" max="10229" width="1.5703125" customWidth="1"/>
    <col min="10230" max="10230" width="11.140625" customWidth="1"/>
    <col min="10231" max="10231" width="8.7109375" customWidth="1"/>
    <col min="10232" max="10232" width="22.85546875" customWidth="1"/>
    <col min="10233" max="10233" width="6.5703125" customWidth="1"/>
    <col min="10234" max="10234" width="1" customWidth="1"/>
    <col min="10235" max="10235" width="6.85546875" customWidth="1"/>
    <col min="10236" max="10236" width="1" customWidth="1"/>
    <col min="10237" max="10237" width="6.28515625" customWidth="1"/>
    <col min="10238" max="10238" width="1" customWidth="1"/>
    <col min="10239" max="10239" width="9.28515625" customWidth="1"/>
    <col min="10240" max="10240" width="6.28515625" customWidth="1"/>
    <col min="10241" max="10241" width="7.140625" customWidth="1"/>
    <col min="10242" max="10242" width="4.28515625" customWidth="1"/>
    <col min="10243" max="10243" width="17.28515625" customWidth="1"/>
    <col min="10244" max="10244" width="15.28515625" customWidth="1"/>
    <col min="10245" max="10245" width="7.28515625" customWidth="1"/>
    <col min="10246" max="10246" width="1" customWidth="1"/>
    <col min="10247" max="10247" width="4" customWidth="1"/>
    <col min="10248" max="10248" width="1" customWidth="1"/>
    <col min="10249" max="10249" width="3" customWidth="1"/>
    <col min="10250" max="10250" width="1" customWidth="1"/>
    <col min="10251" max="10251" width="11.85546875" customWidth="1"/>
    <col min="10252" max="10252" width="1" customWidth="1"/>
    <col min="10253" max="10253" width="6.28515625" customWidth="1"/>
    <col min="10254" max="10254" width="12.140625" customWidth="1"/>
    <col min="10255" max="10255" width="5" customWidth="1"/>
    <col min="10256" max="10256" width="10.85546875" customWidth="1"/>
    <col min="10257" max="10257" width="3" customWidth="1"/>
    <col min="10258" max="10258" width="7.5703125" customWidth="1"/>
    <col min="10259" max="10259" width="1.7109375" customWidth="1"/>
    <col min="10260" max="10260" width="9.85546875" customWidth="1"/>
    <col min="10484" max="10484" width="7" customWidth="1"/>
    <col min="10485" max="10485" width="1.5703125" customWidth="1"/>
    <col min="10486" max="10486" width="11.140625" customWidth="1"/>
    <col min="10487" max="10487" width="8.7109375" customWidth="1"/>
    <col min="10488" max="10488" width="22.85546875" customWidth="1"/>
    <col min="10489" max="10489" width="6.5703125" customWidth="1"/>
    <col min="10490" max="10490" width="1" customWidth="1"/>
    <col min="10491" max="10491" width="6.85546875" customWidth="1"/>
    <col min="10492" max="10492" width="1" customWidth="1"/>
    <col min="10493" max="10493" width="6.28515625" customWidth="1"/>
    <col min="10494" max="10494" width="1" customWidth="1"/>
    <col min="10495" max="10495" width="9.28515625" customWidth="1"/>
    <col min="10496" max="10496" width="6.28515625" customWidth="1"/>
    <col min="10497" max="10497" width="7.140625" customWidth="1"/>
    <col min="10498" max="10498" width="4.28515625" customWidth="1"/>
    <col min="10499" max="10499" width="17.28515625" customWidth="1"/>
    <col min="10500" max="10500" width="15.28515625" customWidth="1"/>
    <col min="10501" max="10501" width="7.28515625" customWidth="1"/>
    <col min="10502" max="10502" width="1" customWidth="1"/>
    <col min="10503" max="10503" width="4" customWidth="1"/>
    <col min="10504" max="10504" width="1" customWidth="1"/>
    <col min="10505" max="10505" width="3" customWidth="1"/>
    <col min="10506" max="10506" width="1" customWidth="1"/>
    <col min="10507" max="10507" width="11.85546875" customWidth="1"/>
    <col min="10508" max="10508" width="1" customWidth="1"/>
    <col min="10509" max="10509" width="6.28515625" customWidth="1"/>
    <col min="10510" max="10510" width="12.140625" customWidth="1"/>
    <col min="10511" max="10511" width="5" customWidth="1"/>
    <col min="10512" max="10512" width="10.85546875" customWidth="1"/>
    <col min="10513" max="10513" width="3" customWidth="1"/>
    <col min="10514" max="10514" width="7.5703125" customWidth="1"/>
    <col min="10515" max="10515" width="1.7109375" customWidth="1"/>
    <col min="10516" max="10516" width="9.85546875" customWidth="1"/>
    <col min="10740" max="10740" width="7" customWidth="1"/>
    <col min="10741" max="10741" width="1.5703125" customWidth="1"/>
    <col min="10742" max="10742" width="11.140625" customWidth="1"/>
    <col min="10743" max="10743" width="8.7109375" customWidth="1"/>
    <col min="10744" max="10744" width="22.85546875" customWidth="1"/>
    <col min="10745" max="10745" width="6.5703125" customWidth="1"/>
    <col min="10746" max="10746" width="1" customWidth="1"/>
    <col min="10747" max="10747" width="6.85546875" customWidth="1"/>
    <col min="10748" max="10748" width="1" customWidth="1"/>
    <col min="10749" max="10749" width="6.28515625" customWidth="1"/>
    <col min="10750" max="10750" width="1" customWidth="1"/>
    <col min="10751" max="10751" width="9.28515625" customWidth="1"/>
    <col min="10752" max="10752" width="6.28515625" customWidth="1"/>
    <col min="10753" max="10753" width="7.140625" customWidth="1"/>
    <col min="10754" max="10754" width="4.28515625" customWidth="1"/>
    <col min="10755" max="10755" width="17.28515625" customWidth="1"/>
    <col min="10756" max="10756" width="15.28515625" customWidth="1"/>
    <col min="10757" max="10757" width="7.28515625" customWidth="1"/>
    <col min="10758" max="10758" width="1" customWidth="1"/>
    <col min="10759" max="10759" width="4" customWidth="1"/>
    <col min="10760" max="10760" width="1" customWidth="1"/>
    <col min="10761" max="10761" width="3" customWidth="1"/>
    <col min="10762" max="10762" width="1" customWidth="1"/>
    <col min="10763" max="10763" width="11.85546875" customWidth="1"/>
    <col min="10764" max="10764" width="1" customWidth="1"/>
    <col min="10765" max="10765" width="6.28515625" customWidth="1"/>
    <col min="10766" max="10766" width="12.140625" customWidth="1"/>
    <col min="10767" max="10767" width="5" customWidth="1"/>
    <col min="10768" max="10768" width="10.85546875" customWidth="1"/>
    <col min="10769" max="10769" width="3" customWidth="1"/>
    <col min="10770" max="10770" width="7.5703125" customWidth="1"/>
    <col min="10771" max="10771" width="1.7109375" customWidth="1"/>
    <col min="10772" max="10772" width="9.85546875" customWidth="1"/>
    <col min="10996" max="10996" width="7" customWidth="1"/>
    <col min="10997" max="10997" width="1.5703125" customWidth="1"/>
    <col min="10998" max="10998" width="11.140625" customWidth="1"/>
    <col min="10999" max="10999" width="8.7109375" customWidth="1"/>
    <col min="11000" max="11000" width="22.85546875" customWidth="1"/>
    <col min="11001" max="11001" width="6.5703125" customWidth="1"/>
    <col min="11002" max="11002" width="1" customWidth="1"/>
    <col min="11003" max="11003" width="6.85546875" customWidth="1"/>
    <col min="11004" max="11004" width="1" customWidth="1"/>
    <col min="11005" max="11005" width="6.28515625" customWidth="1"/>
    <col min="11006" max="11006" width="1" customWidth="1"/>
    <col min="11007" max="11007" width="9.28515625" customWidth="1"/>
    <col min="11008" max="11008" width="6.28515625" customWidth="1"/>
    <col min="11009" max="11009" width="7.140625" customWidth="1"/>
    <col min="11010" max="11010" width="4.28515625" customWidth="1"/>
    <col min="11011" max="11011" width="17.28515625" customWidth="1"/>
    <col min="11012" max="11012" width="15.28515625" customWidth="1"/>
    <col min="11013" max="11013" width="7.28515625" customWidth="1"/>
    <col min="11014" max="11014" width="1" customWidth="1"/>
    <col min="11015" max="11015" width="4" customWidth="1"/>
    <col min="11016" max="11016" width="1" customWidth="1"/>
    <col min="11017" max="11017" width="3" customWidth="1"/>
    <col min="11018" max="11018" width="1" customWidth="1"/>
    <col min="11019" max="11019" width="11.85546875" customWidth="1"/>
    <col min="11020" max="11020" width="1" customWidth="1"/>
    <col min="11021" max="11021" width="6.28515625" customWidth="1"/>
    <col min="11022" max="11022" width="12.140625" customWidth="1"/>
    <col min="11023" max="11023" width="5" customWidth="1"/>
    <col min="11024" max="11024" width="10.85546875" customWidth="1"/>
    <col min="11025" max="11025" width="3" customWidth="1"/>
    <col min="11026" max="11026" width="7.5703125" customWidth="1"/>
    <col min="11027" max="11027" width="1.7109375" customWidth="1"/>
    <col min="11028" max="11028" width="9.85546875" customWidth="1"/>
    <col min="11252" max="11252" width="7" customWidth="1"/>
    <col min="11253" max="11253" width="1.5703125" customWidth="1"/>
    <col min="11254" max="11254" width="11.140625" customWidth="1"/>
    <col min="11255" max="11255" width="8.7109375" customWidth="1"/>
    <col min="11256" max="11256" width="22.85546875" customWidth="1"/>
    <col min="11257" max="11257" width="6.5703125" customWidth="1"/>
    <col min="11258" max="11258" width="1" customWidth="1"/>
    <col min="11259" max="11259" width="6.85546875" customWidth="1"/>
    <col min="11260" max="11260" width="1" customWidth="1"/>
    <col min="11261" max="11261" width="6.28515625" customWidth="1"/>
    <col min="11262" max="11262" width="1" customWidth="1"/>
    <col min="11263" max="11263" width="9.28515625" customWidth="1"/>
    <col min="11264" max="11264" width="6.28515625" customWidth="1"/>
    <col min="11265" max="11265" width="7.140625" customWidth="1"/>
    <col min="11266" max="11266" width="4.28515625" customWidth="1"/>
    <col min="11267" max="11267" width="17.28515625" customWidth="1"/>
    <col min="11268" max="11268" width="15.28515625" customWidth="1"/>
    <col min="11269" max="11269" width="7.28515625" customWidth="1"/>
    <col min="11270" max="11270" width="1" customWidth="1"/>
    <col min="11271" max="11271" width="4" customWidth="1"/>
    <col min="11272" max="11272" width="1" customWidth="1"/>
    <col min="11273" max="11273" width="3" customWidth="1"/>
    <col min="11274" max="11274" width="1" customWidth="1"/>
    <col min="11275" max="11275" width="11.85546875" customWidth="1"/>
    <col min="11276" max="11276" width="1" customWidth="1"/>
    <col min="11277" max="11277" width="6.28515625" customWidth="1"/>
    <col min="11278" max="11278" width="12.140625" customWidth="1"/>
    <col min="11279" max="11279" width="5" customWidth="1"/>
    <col min="11280" max="11280" width="10.85546875" customWidth="1"/>
    <col min="11281" max="11281" width="3" customWidth="1"/>
    <col min="11282" max="11282" width="7.5703125" customWidth="1"/>
    <col min="11283" max="11283" width="1.7109375" customWidth="1"/>
    <col min="11284" max="11284" width="9.85546875" customWidth="1"/>
    <col min="11508" max="11508" width="7" customWidth="1"/>
    <col min="11509" max="11509" width="1.5703125" customWidth="1"/>
    <col min="11510" max="11510" width="11.140625" customWidth="1"/>
    <col min="11511" max="11511" width="8.7109375" customWidth="1"/>
    <col min="11512" max="11512" width="22.85546875" customWidth="1"/>
    <col min="11513" max="11513" width="6.5703125" customWidth="1"/>
    <col min="11514" max="11514" width="1" customWidth="1"/>
    <col min="11515" max="11515" width="6.85546875" customWidth="1"/>
    <col min="11516" max="11516" width="1" customWidth="1"/>
    <col min="11517" max="11517" width="6.28515625" customWidth="1"/>
    <col min="11518" max="11518" width="1" customWidth="1"/>
    <col min="11519" max="11519" width="9.28515625" customWidth="1"/>
    <col min="11520" max="11520" width="6.28515625" customWidth="1"/>
    <col min="11521" max="11521" width="7.140625" customWidth="1"/>
    <col min="11522" max="11522" width="4.28515625" customWidth="1"/>
    <col min="11523" max="11523" width="17.28515625" customWidth="1"/>
    <col min="11524" max="11524" width="15.28515625" customWidth="1"/>
    <col min="11525" max="11525" width="7.28515625" customWidth="1"/>
    <col min="11526" max="11526" width="1" customWidth="1"/>
    <col min="11527" max="11527" width="4" customWidth="1"/>
    <col min="11528" max="11528" width="1" customWidth="1"/>
    <col min="11529" max="11529" width="3" customWidth="1"/>
    <col min="11530" max="11530" width="1" customWidth="1"/>
    <col min="11531" max="11531" width="11.85546875" customWidth="1"/>
    <col min="11532" max="11532" width="1" customWidth="1"/>
    <col min="11533" max="11533" width="6.28515625" customWidth="1"/>
    <col min="11534" max="11534" width="12.140625" customWidth="1"/>
    <col min="11535" max="11535" width="5" customWidth="1"/>
    <col min="11536" max="11536" width="10.85546875" customWidth="1"/>
    <col min="11537" max="11537" width="3" customWidth="1"/>
    <col min="11538" max="11538" width="7.5703125" customWidth="1"/>
    <col min="11539" max="11539" width="1.7109375" customWidth="1"/>
    <col min="11540" max="11540" width="9.85546875" customWidth="1"/>
    <col min="11764" max="11764" width="7" customWidth="1"/>
    <col min="11765" max="11765" width="1.5703125" customWidth="1"/>
    <col min="11766" max="11766" width="11.140625" customWidth="1"/>
    <col min="11767" max="11767" width="8.7109375" customWidth="1"/>
    <col min="11768" max="11768" width="22.85546875" customWidth="1"/>
    <col min="11769" max="11769" width="6.5703125" customWidth="1"/>
    <col min="11770" max="11770" width="1" customWidth="1"/>
    <col min="11771" max="11771" width="6.85546875" customWidth="1"/>
    <col min="11772" max="11772" width="1" customWidth="1"/>
    <col min="11773" max="11773" width="6.28515625" customWidth="1"/>
    <col min="11774" max="11774" width="1" customWidth="1"/>
    <col min="11775" max="11775" width="9.28515625" customWidth="1"/>
    <col min="11776" max="11776" width="6.28515625" customWidth="1"/>
    <col min="11777" max="11777" width="7.140625" customWidth="1"/>
    <col min="11778" max="11778" width="4.28515625" customWidth="1"/>
    <col min="11779" max="11779" width="17.28515625" customWidth="1"/>
    <col min="11780" max="11780" width="15.28515625" customWidth="1"/>
    <col min="11781" max="11781" width="7.28515625" customWidth="1"/>
    <col min="11782" max="11782" width="1" customWidth="1"/>
    <col min="11783" max="11783" width="4" customWidth="1"/>
    <col min="11784" max="11784" width="1" customWidth="1"/>
    <col min="11785" max="11785" width="3" customWidth="1"/>
    <col min="11786" max="11786" width="1" customWidth="1"/>
    <col min="11787" max="11787" width="11.85546875" customWidth="1"/>
    <col min="11788" max="11788" width="1" customWidth="1"/>
    <col min="11789" max="11789" width="6.28515625" customWidth="1"/>
    <col min="11790" max="11790" width="12.140625" customWidth="1"/>
    <col min="11791" max="11791" width="5" customWidth="1"/>
    <col min="11792" max="11792" width="10.85546875" customWidth="1"/>
    <col min="11793" max="11793" width="3" customWidth="1"/>
    <col min="11794" max="11794" width="7.5703125" customWidth="1"/>
    <col min="11795" max="11795" width="1.7109375" customWidth="1"/>
    <col min="11796" max="11796" width="9.85546875" customWidth="1"/>
    <col min="12020" max="12020" width="7" customWidth="1"/>
    <col min="12021" max="12021" width="1.5703125" customWidth="1"/>
    <col min="12022" max="12022" width="11.140625" customWidth="1"/>
    <col min="12023" max="12023" width="8.7109375" customWidth="1"/>
    <col min="12024" max="12024" width="22.85546875" customWidth="1"/>
    <col min="12025" max="12025" width="6.5703125" customWidth="1"/>
    <col min="12026" max="12026" width="1" customWidth="1"/>
    <col min="12027" max="12027" width="6.85546875" customWidth="1"/>
    <col min="12028" max="12028" width="1" customWidth="1"/>
    <col min="12029" max="12029" width="6.28515625" customWidth="1"/>
    <col min="12030" max="12030" width="1" customWidth="1"/>
    <col min="12031" max="12031" width="9.28515625" customWidth="1"/>
    <col min="12032" max="12032" width="6.28515625" customWidth="1"/>
    <col min="12033" max="12033" width="7.140625" customWidth="1"/>
    <col min="12034" max="12034" width="4.28515625" customWidth="1"/>
    <col min="12035" max="12035" width="17.28515625" customWidth="1"/>
    <col min="12036" max="12036" width="15.28515625" customWidth="1"/>
    <col min="12037" max="12037" width="7.28515625" customWidth="1"/>
    <col min="12038" max="12038" width="1" customWidth="1"/>
    <col min="12039" max="12039" width="4" customWidth="1"/>
    <col min="12040" max="12040" width="1" customWidth="1"/>
    <col min="12041" max="12041" width="3" customWidth="1"/>
    <col min="12042" max="12042" width="1" customWidth="1"/>
    <col min="12043" max="12043" width="11.85546875" customWidth="1"/>
    <col min="12044" max="12044" width="1" customWidth="1"/>
    <col min="12045" max="12045" width="6.28515625" customWidth="1"/>
    <col min="12046" max="12046" width="12.140625" customWidth="1"/>
    <col min="12047" max="12047" width="5" customWidth="1"/>
    <col min="12048" max="12048" width="10.85546875" customWidth="1"/>
    <col min="12049" max="12049" width="3" customWidth="1"/>
    <col min="12050" max="12050" width="7.5703125" customWidth="1"/>
    <col min="12051" max="12051" width="1.7109375" customWidth="1"/>
    <col min="12052" max="12052" width="9.85546875" customWidth="1"/>
    <col min="12276" max="12276" width="7" customWidth="1"/>
    <col min="12277" max="12277" width="1.5703125" customWidth="1"/>
    <col min="12278" max="12278" width="11.140625" customWidth="1"/>
    <col min="12279" max="12279" width="8.7109375" customWidth="1"/>
    <col min="12280" max="12280" width="22.85546875" customWidth="1"/>
    <col min="12281" max="12281" width="6.5703125" customWidth="1"/>
    <col min="12282" max="12282" width="1" customWidth="1"/>
    <col min="12283" max="12283" width="6.85546875" customWidth="1"/>
    <col min="12284" max="12284" width="1" customWidth="1"/>
    <col min="12285" max="12285" width="6.28515625" customWidth="1"/>
    <col min="12286" max="12286" width="1" customWidth="1"/>
    <col min="12287" max="12287" width="9.28515625" customWidth="1"/>
    <col min="12288" max="12288" width="6.28515625" customWidth="1"/>
    <col min="12289" max="12289" width="7.140625" customWidth="1"/>
    <col min="12290" max="12290" width="4.28515625" customWidth="1"/>
    <col min="12291" max="12291" width="17.28515625" customWidth="1"/>
    <col min="12292" max="12292" width="15.28515625" customWidth="1"/>
    <col min="12293" max="12293" width="7.28515625" customWidth="1"/>
    <col min="12294" max="12294" width="1" customWidth="1"/>
    <col min="12295" max="12295" width="4" customWidth="1"/>
    <col min="12296" max="12296" width="1" customWidth="1"/>
    <col min="12297" max="12297" width="3" customWidth="1"/>
    <col min="12298" max="12298" width="1" customWidth="1"/>
    <col min="12299" max="12299" width="11.85546875" customWidth="1"/>
    <col min="12300" max="12300" width="1" customWidth="1"/>
    <col min="12301" max="12301" width="6.28515625" customWidth="1"/>
    <col min="12302" max="12302" width="12.140625" customWidth="1"/>
    <col min="12303" max="12303" width="5" customWidth="1"/>
    <col min="12304" max="12304" width="10.85546875" customWidth="1"/>
    <col min="12305" max="12305" width="3" customWidth="1"/>
    <col min="12306" max="12306" width="7.5703125" customWidth="1"/>
    <col min="12307" max="12307" width="1.7109375" customWidth="1"/>
    <col min="12308" max="12308" width="9.85546875" customWidth="1"/>
    <col min="12532" max="12532" width="7" customWidth="1"/>
    <col min="12533" max="12533" width="1.5703125" customWidth="1"/>
    <col min="12534" max="12534" width="11.140625" customWidth="1"/>
    <col min="12535" max="12535" width="8.7109375" customWidth="1"/>
    <col min="12536" max="12536" width="22.85546875" customWidth="1"/>
    <col min="12537" max="12537" width="6.5703125" customWidth="1"/>
    <col min="12538" max="12538" width="1" customWidth="1"/>
    <col min="12539" max="12539" width="6.85546875" customWidth="1"/>
    <col min="12540" max="12540" width="1" customWidth="1"/>
    <col min="12541" max="12541" width="6.28515625" customWidth="1"/>
    <col min="12542" max="12542" width="1" customWidth="1"/>
    <col min="12543" max="12543" width="9.28515625" customWidth="1"/>
    <col min="12544" max="12544" width="6.28515625" customWidth="1"/>
    <col min="12545" max="12545" width="7.140625" customWidth="1"/>
    <col min="12546" max="12546" width="4.28515625" customWidth="1"/>
    <col min="12547" max="12547" width="17.28515625" customWidth="1"/>
    <col min="12548" max="12548" width="15.28515625" customWidth="1"/>
    <col min="12549" max="12549" width="7.28515625" customWidth="1"/>
    <col min="12550" max="12550" width="1" customWidth="1"/>
    <col min="12551" max="12551" width="4" customWidth="1"/>
    <col min="12552" max="12552" width="1" customWidth="1"/>
    <col min="12553" max="12553" width="3" customWidth="1"/>
    <col min="12554" max="12554" width="1" customWidth="1"/>
    <col min="12555" max="12555" width="11.85546875" customWidth="1"/>
    <col min="12556" max="12556" width="1" customWidth="1"/>
    <col min="12557" max="12557" width="6.28515625" customWidth="1"/>
    <col min="12558" max="12558" width="12.140625" customWidth="1"/>
    <col min="12559" max="12559" width="5" customWidth="1"/>
    <col min="12560" max="12560" width="10.85546875" customWidth="1"/>
    <col min="12561" max="12561" width="3" customWidth="1"/>
    <col min="12562" max="12562" width="7.5703125" customWidth="1"/>
    <col min="12563" max="12563" width="1.7109375" customWidth="1"/>
    <col min="12564" max="12564" width="9.85546875" customWidth="1"/>
    <col min="12788" max="12788" width="7" customWidth="1"/>
    <col min="12789" max="12789" width="1.5703125" customWidth="1"/>
    <col min="12790" max="12790" width="11.140625" customWidth="1"/>
    <col min="12791" max="12791" width="8.7109375" customWidth="1"/>
    <col min="12792" max="12792" width="22.85546875" customWidth="1"/>
    <col min="12793" max="12793" width="6.5703125" customWidth="1"/>
    <col min="12794" max="12794" width="1" customWidth="1"/>
    <col min="12795" max="12795" width="6.85546875" customWidth="1"/>
    <col min="12796" max="12796" width="1" customWidth="1"/>
    <col min="12797" max="12797" width="6.28515625" customWidth="1"/>
    <col min="12798" max="12798" width="1" customWidth="1"/>
    <col min="12799" max="12799" width="9.28515625" customWidth="1"/>
    <col min="12800" max="12800" width="6.28515625" customWidth="1"/>
    <col min="12801" max="12801" width="7.140625" customWidth="1"/>
    <col min="12802" max="12802" width="4.28515625" customWidth="1"/>
    <col min="12803" max="12803" width="17.28515625" customWidth="1"/>
    <col min="12804" max="12804" width="15.28515625" customWidth="1"/>
    <col min="12805" max="12805" width="7.28515625" customWidth="1"/>
    <col min="12806" max="12806" width="1" customWidth="1"/>
    <col min="12807" max="12807" width="4" customWidth="1"/>
    <col min="12808" max="12808" width="1" customWidth="1"/>
    <col min="12809" max="12809" width="3" customWidth="1"/>
    <col min="12810" max="12810" width="1" customWidth="1"/>
    <col min="12811" max="12811" width="11.85546875" customWidth="1"/>
    <col min="12812" max="12812" width="1" customWidth="1"/>
    <col min="12813" max="12813" width="6.28515625" customWidth="1"/>
    <col min="12814" max="12814" width="12.140625" customWidth="1"/>
    <col min="12815" max="12815" width="5" customWidth="1"/>
    <col min="12816" max="12816" width="10.85546875" customWidth="1"/>
    <col min="12817" max="12817" width="3" customWidth="1"/>
    <col min="12818" max="12818" width="7.5703125" customWidth="1"/>
    <col min="12819" max="12819" width="1.7109375" customWidth="1"/>
    <col min="12820" max="12820" width="9.85546875" customWidth="1"/>
    <col min="13044" max="13044" width="7" customWidth="1"/>
    <col min="13045" max="13045" width="1.5703125" customWidth="1"/>
    <col min="13046" max="13046" width="11.140625" customWidth="1"/>
    <col min="13047" max="13047" width="8.7109375" customWidth="1"/>
    <col min="13048" max="13048" width="22.85546875" customWidth="1"/>
    <col min="13049" max="13049" width="6.5703125" customWidth="1"/>
    <col min="13050" max="13050" width="1" customWidth="1"/>
    <col min="13051" max="13051" width="6.85546875" customWidth="1"/>
    <col min="13052" max="13052" width="1" customWidth="1"/>
    <col min="13053" max="13053" width="6.28515625" customWidth="1"/>
    <col min="13054" max="13054" width="1" customWidth="1"/>
    <col min="13055" max="13055" width="9.28515625" customWidth="1"/>
    <col min="13056" max="13056" width="6.28515625" customWidth="1"/>
    <col min="13057" max="13057" width="7.140625" customWidth="1"/>
    <col min="13058" max="13058" width="4.28515625" customWidth="1"/>
    <col min="13059" max="13059" width="17.28515625" customWidth="1"/>
    <col min="13060" max="13060" width="15.28515625" customWidth="1"/>
    <col min="13061" max="13061" width="7.28515625" customWidth="1"/>
    <col min="13062" max="13062" width="1" customWidth="1"/>
    <col min="13063" max="13063" width="4" customWidth="1"/>
    <col min="13064" max="13064" width="1" customWidth="1"/>
    <col min="13065" max="13065" width="3" customWidth="1"/>
    <col min="13066" max="13066" width="1" customWidth="1"/>
    <col min="13067" max="13067" width="11.85546875" customWidth="1"/>
    <col min="13068" max="13068" width="1" customWidth="1"/>
    <col min="13069" max="13069" width="6.28515625" customWidth="1"/>
    <col min="13070" max="13070" width="12.140625" customWidth="1"/>
    <col min="13071" max="13071" width="5" customWidth="1"/>
    <col min="13072" max="13072" width="10.85546875" customWidth="1"/>
    <col min="13073" max="13073" width="3" customWidth="1"/>
    <col min="13074" max="13074" width="7.5703125" customWidth="1"/>
    <col min="13075" max="13075" width="1.7109375" customWidth="1"/>
    <col min="13076" max="13076" width="9.85546875" customWidth="1"/>
    <col min="13300" max="13300" width="7" customWidth="1"/>
    <col min="13301" max="13301" width="1.5703125" customWidth="1"/>
    <col min="13302" max="13302" width="11.140625" customWidth="1"/>
    <col min="13303" max="13303" width="8.7109375" customWidth="1"/>
    <col min="13304" max="13304" width="22.85546875" customWidth="1"/>
    <col min="13305" max="13305" width="6.5703125" customWidth="1"/>
    <col min="13306" max="13306" width="1" customWidth="1"/>
    <col min="13307" max="13307" width="6.85546875" customWidth="1"/>
    <col min="13308" max="13308" width="1" customWidth="1"/>
    <col min="13309" max="13309" width="6.28515625" customWidth="1"/>
    <col min="13310" max="13310" width="1" customWidth="1"/>
    <col min="13311" max="13311" width="9.28515625" customWidth="1"/>
    <col min="13312" max="13312" width="6.28515625" customWidth="1"/>
    <col min="13313" max="13313" width="7.140625" customWidth="1"/>
    <col min="13314" max="13314" width="4.28515625" customWidth="1"/>
    <col min="13315" max="13315" width="17.28515625" customWidth="1"/>
    <col min="13316" max="13316" width="15.28515625" customWidth="1"/>
    <col min="13317" max="13317" width="7.28515625" customWidth="1"/>
    <col min="13318" max="13318" width="1" customWidth="1"/>
    <col min="13319" max="13319" width="4" customWidth="1"/>
    <col min="13320" max="13320" width="1" customWidth="1"/>
    <col min="13321" max="13321" width="3" customWidth="1"/>
    <col min="13322" max="13322" width="1" customWidth="1"/>
    <col min="13323" max="13323" width="11.85546875" customWidth="1"/>
    <col min="13324" max="13324" width="1" customWidth="1"/>
    <col min="13325" max="13325" width="6.28515625" customWidth="1"/>
    <col min="13326" max="13326" width="12.140625" customWidth="1"/>
    <col min="13327" max="13327" width="5" customWidth="1"/>
    <col min="13328" max="13328" width="10.85546875" customWidth="1"/>
    <col min="13329" max="13329" width="3" customWidth="1"/>
    <col min="13330" max="13330" width="7.5703125" customWidth="1"/>
    <col min="13331" max="13331" width="1.7109375" customWidth="1"/>
    <col min="13332" max="13332" width="9.85546875" customWidth="1"/>
    <col min="13556" max="13556" width="7" customWidth="1"/>
    <col min="13557" max="13557" width="1.5703125" customWidth="1"/>
    <col min="13558" max="13558" width="11.140625" customWidth="1"/>
    <col min="13559" max="13559" width="8.7109375" customWidth="1"/>
    <col min="13560" max="13560" width="22.85546875" customWidth="1"/>
    <col min="13561" max="13561" width="6.5703125" customWidth="1"/>
    <col min="13562" max="13562" width="1" customWidth="1"/>
    <col min="13563" max="13563" width="6.85546875" customWidth="1"/>
    <col min="13564" max="13564" width="1" customWidth="1"/>
    <col min="13565" max="13565" width="6.28515625" customWidth="1"/>
    <col min="13566" max="13566" width="1" customWidth="1"/>
    <col min="13567" max="13567" width="9.28515625" customWidth="1"/>
    <col min="13568" max="13568" width="6.28515625" customWidth="1"/>
    <col min="13569" max="13569" width="7.140625" customWidth="1"/>
    <col min="13570" max="13570" width="4.28515625" customWidth="1"/>
    <col min="13571" max="13571" width="17.28515625" customWidth="1"/>
    <col min="13572" max="13572" width="15.28515625" customWidth="1"/>
    <col min="13573" max="13573" width="7.28515625" customWidth="1"/>
    <col min="13574" max="13574" width="1" customWidth="1"/>
    <col min="13575" max="13575" width="4" customWidth="1"/>
    <col min="13576" max="13576" width="1" customWidth="1"/>
    <col min="13577" max="13577" width="3" customWidth="1"/>
    <col min="13578" max="13578" width="1" customWidth="1"/>
    <col min="13579" max="13579" width="11.85546875" customWidth="1"/>
    <col min="13580" max="13580" width="1" customWidth="1"/>
    <col min="13581" max="13581" width="6.28515625" customWidth="1"/>
    <col min="13582" max="13582" width="12.140625" customWidth="1"/>
    <col min="13583" max="13583" width="5" customWidth="1"/>
    <col min="13584" max="13584" width="10.85546875" customWidth="1"/>
    <col min="13585" max="13585" width="3" customWidth="1"/>
    <col min="13586" max="13586" width="7.5703125" customWidth="1"/>
    <col min="13587" max="13587" width="1.7109375" customWidth="1"/>
    <col min="13588" max="13588" width="9.85546875" customWidth="1"/>
    <col min="13812" max="13812" width="7" customWidth="1"/>
    <col min="13813" max="13813" width="1.5703125" customWidth="1"/>
    <col min="13814" max="13814" width="11.140625" customWidth="1"/>
    <col min="13815" max="13815" width="8.7109375" customWidth="1"/>
    <col min="13816" max="13816" width="22.85546875" customWidth="1"/>
    <col min="13817" max="13817" width="6.5703125" customWidth="1"/>
    <col min="13818" max="13818" width="1" customWidth="1"/>
    <col min="13819" max="13819" width="6.85546875" customWidth="1"/>
    <col min="13820" max="13820" width="1" customWidth="1"/>
    <col min="13821" max="13821" width="6.28515625" customWidth="1"/>
    <col min="13822" max="13822" width="1" customWidth="1"/>
    <col min="13823" max="13823" width="9.28515625" customWidth="1"/>
    <col min="13824" max="13824" width="6.28515625" customWidth="1"/>
    <col min="13825" max="13825" width="7.140625" customWidth="1"/>
    <col min="13826" max="13826" width="4.28515625" customWidth="1"/>
    <col min="13827" max="13827" width="17.28515625" customWidth="1"/>
    <col min="13828" max="13828" width="15.28515625" customWidth="1"/>
    <col min="13829" max="13829" width="7.28515625" customWidth="1"/>
    <col min="13830" max="13830" width="1" customWidth="1"/>
    <col min="13831" max="13831" width="4" customWidth="1"/>
    <col min="13832" max="13832" width="1" customWidth="1"/>
    <col min="13833" max="13833" width="3" customWidth="1"/>
    <col min="13834" max="13834" width="1" customWidth="1"/>
    <col min="13835" max="13835" width="11.85546875" customWidth="1"/>
    <col min="13836" max="13836" width="1" customWidth="1"/>
    <col min="13837" max="13837" width="6.28515625" customWidth="1"/>
    <col min="13838" max="13838" width="12.140625" customWidth="1"/>
    <col min="13839" max="13839" width="5" customWidth="1"/>
    <col min="13840" max="13840" width="10.85546875" customWidth="1"/>
    <col min="13841" max="13841" width="3" customWidth="1"/>
    <col min="13842" max="13842" width="7.5703125" customWidth="1"/>
    <col min="13843" max="13843" width="1.7109375" customWidth="1"/>
    <col min="13844" max="13844" width="9.85546875" customWidth="1"/>
    <col min="14068" max="14068" width="7" customWidth="1"/>
    <col min="14069" max="14069" width="1.5703125" customWidth="1"/>
    <col min="14070" max="14070" width="11.140625" customWidth="1"/>
    <col min="14071" max="14071" width="8.7109375" customWidth="1"/>
    <col min="14072" max="14072" width="22.85546875" customWidth="1"/>
    <col min="14073" max="14073" width="6.5703125" customWidth="1"/>
    <col min="14074" max="14074" width="1" customWidth="1"/>
    <col min="14075" max="14075" width="6.85546875" customWidth="1"/>
    <col min="14076" max="14076" width="1" customWidth="1"/>
    <col min="14077" max="14077" width="6.28515625" customWidth="1"/>
    <col min="14078" max="14078" width="1" customWidth="1"/>
    <col min="14079" max="14079" width="9.28515625" customWidth="1"/>
    <col min="14080" max="14080" width="6.28515625" customWidth="1"/>
    <col min="14081" max="14081" width="7.140625" customWidth="1"/>
    <col min="14082" max="14082" width="4.28515625" customWidth="1"/>
    <col min="14083" max="14083" width="17.28515625" customWidth="1"/>
    <col min="14084" max="14084" width="15.28515625" customWidth="1"/>
    <col min="14085" max="14085" width="7.28515625" customWidth="1"/>
    <col min="14086" max="14086" width="1" customWidth="1"/>
    <col min="14087" max="14087" width="4" customWidth="1"/>
    <col min="14088" max="14088" width="1" customWidth="1"/>
    <col min="14089" max="14089" width="3" customWidth="1"/>
    <col min="14090" max="14090" width="1" customWidth="1"/>
    <col min="14091" max="14091" width="11.85546875" customWidth="1"/>
    <col min="14092" max="14092" width="1" customWidth="1"/>
    <col min="14093" max="14093" width="6.28515625" customWidth="1"/>
    <col min="14094" max="14094" width="12.140625" customWidth="1"/>
    <col min="14095" max="14095" width="5" customWidth="1"/>
    <col min="14096" max="14096" width="10.85546875" customWidth="1"/>
    <col min="14097" max="14097" width="3" customWidth="1"/>
    <col min="14098" max="14098" width="7.5703125" customWidth="1"/>
    <col min="14099" max="14099" width="1.7109375" customWidth="1"/>
    <col min="14100" max="14100" width="9.85546875" customWidth="1"/>
    <col min="14324" max="14324" width="7" customWidth="1"/>
    <col min="14325" max="14325" width="1.5703125" customWidth="1"/>
    <col min="14326" max="14326" width="11.140625" customWidth="1"/>
    <col min="14327" max="14327" width="8.7109375" customWidth="1"/>
    <col min="14328" max="14328" width="22.85546875" customWidth="1"/>
    <col min="14329" max="14329" width="6.5703125" customWidth="1"/>
    <col min="14330" max="14330" width="1" customWidth="1"/>
    <col min="14331" max="14331" width="6.85546875" customWidth="1"/>
    <col min="14332" max="14332" width="1" customWidth="1"/>
    <col min="14333" max="14333" width="6.28515625" customWidth="1"/>
    <col min="14334" max="14334" width="1" customWidth="1"/>
    <col min="14335" max="14335" width="9.28515625" customWidth="1"/>
    <col min="14336" max="14336" width="6.28515625" customWidth="1"/>
    <col min="14337" max="14337" width="7.140625" customWidth="1"/>
    <col min="14338" max="14338" width="4.28515625" customWidth="1"/>
    <col min="14339" max="14339" width="17.28515625" customWidth="1"/>
    <col min="14340" max="14340" width="15.28515625" customWidth="1"/>
    <col min="14341" max="14341" width="7.28515625" customWidth="1"/>
    <col min="14342" max="14342" width="1" customWidth="1"/>
    <col min="14343" max="14343" width="4" customWidth="1"/>
    <col min="14344" max="14344" width="1" customWidth="1"/>
    <col min="14345" max="14345" width="3" customWidth="1"/>
    <col min="14346" max="14346" width="1" customWidth="1"/>
    <col min="14347" max="14347" width="11.85546875" customWidth="1"/>
    <col min="14348" max="14348" width="1" customWidth="1"/>
    <col min="14349" max="14349" width="6.28515625" customWidth="1"/>
    <col min="14350" max="14350" width="12.140625" customWidth="1"/>
    <col min="14351" max="14351" width="5" customWidth="1"/>
    <col min="14352" max="14352" width="10.85546875" customWidth="1"/>
    <col min="14353" max="14353" width="3" customWidth="1"/>
    <col min="14354" max="14354" width="7.5703125" customWidth="1"/>
    <col min="14355" max="14355" width="1.7109375" customWidth="1"/>
    <col min="14356" max="14356" width="9.85546875" customWidth="1"/>
    <col min="14580" max="14580" width="7" customWidth="1"/>
    <col min="14581" max="14581" width="1.5703125" customWidth="1"/>
    <col min="14582" max="14582" width="11.140625" customWidth="1"/>
    <col min="14583" max="14583" width="8.7109375" customWidth="1"/>
    <col min="14584" max="14584" width="22.85546875" customWidth="1"/>
    <col min="14585" max="14585" width="6.5703125" customWidth="1"/>
    <col min="14586" max="14586" width="1" customWidth="1"/>
    <col min="14587" max="14587" width="6.85546875" customWidth="1"/>
    <col min="14588" max="14588" width="1" customWidth="1"/>
    <col min="14589" max="14589" width="6.28515625" customWidth="1"/>
    <col min="14590" max="14590" width="1" customWidth="1"/>
    <col min="14591" max="14591" width="9.28515625" customWidth="1"/>
    <col min="14592" max="14592" width="6.28515625" customWidth="1"/>
    <col min="14593" max="14593" width="7.140625" customWidth="1"/>
    <col min="14594" max="14594" width="4.28515625" customWidth="1"/>
    <col min="14595" max="14595" width="17.28515625" customWidth="1"/>
    <col min="14596" max="14596" width="15.28515625" customWidth="1"/>
    <col min="14597" max="14597" width="7.28515625" customWidth="1"/>
    <col min="14598" max="14598" width="1" customWidth="1"/>
    <col min="14599" max="14599" width="4" customWidth="1"/>
    <col min="14600" max="14600" width="1" customWidth="1"/>
    <col min="14601" max="14601" width="3" customWidth="1"/>
    <col min="14602" max="14602" width="1" customWidth="1"/>
    <col min="14603" max="14603" width="11.85546875" customWidth="1"/>
    <col min="14604" max="14604" width="1" customWidth="1"/>
    <col min="14605" max="14605" width="6.28515625" customWidth="1"/>
    <col min="14606" max="14606" width="12.140625" customWidth="1"/>
    <col min="14607" max="14607" width="5" customWidth="1"/>
    <col min="14608" max="14608" width="10.85546875" customWidth="1"/>
    <col min="14609" max="14609" width="3" customWidth="1"/>
    <col min="14610" max="14610" width="7.5703125" customWidth="1"/>
    <col min="14611" max="14611" width="1.7109375" customWidth="1"/>
    <col min="14612" max="14612" width="9.85546875" customWidth="1"/>
    <col min="14836" max="14836" width="7" customWidth="1"/>
    <col min="14837" max="14837" width="1.5703125" customWidth="1"/>
    <col min="14838" max="14838" width="11.140625" customWidth="1"/>
    <col min="14839" max="14839" width="8.7109375" customWidth="1"/>
    <col min="14840" max="14840" width="22.85546875" customWidth="1"/>
    <col min="14841" max="14841" width="6.5703125" customWidth="1"/>
    <col min="14842" max="14842" width="1" customWidth="1"/>
    <col min="14843" max="14843" width="6.85546875" customWidth="1"/>
    <col min="14844" max="14844" width="1" customWidth="1"/>
    <col min="14845" max="14845" width="6.28515625" customWidth="1"/>
    <col min="14846" max="14846" width="1" customWidth="1"/>
    <col min="14847" max="14847" width="9.28515625" customWidth="1"/>
    <col min="14848" max="14848" width="6.28515625" customWidth="1"/>
    <col min="14849" max="14849" width="7.140625" customWidth="1"/>
    <col min="14850" max="14850" width="4.28515625" customWidth="1"/>
    <col min="14851" max="14851" width="17.28515625" customWidth="1"/>
    <col min="14852" max="14852" width="15.28515625" customWidth="1"/>
    <col min="14853" max="14853" width="7.28515625" customWidth="1"/>
    <col min="14854" max="14854" width="1" customWidth="1"/>
    <col min="14855" max="14855" width="4" customWidth="1"/>
    <col min="14856" max="14856" width="1" customWidth="1"/>
    <col min="14857" max="14857" width="3" customWidth="1"/>
    <col min="14858" max="14858" width="1" customWidth="1"/>
    <col min="14859" max="14859" width="11.85546875" customWidth="1"/>
    <col min="14860" max="14860" width="1" customWidth="1"/>
    <col min="14861" max="14861" width="6.28515625" customWidth="1"/>
    <col min="14862" max="14862" width="12.140625" customWidth="1"/>
    <col min="14863" max="14863" width="5" customWidth="1"/>
    <col min="14864" max="14864" width="10.85546875" customWidth="1"/>
    <col min="14865" max="14865" width="3" customWidth="1"/>
    <col min="14866" max="14866" width="7.5703125" customWidth="1"/>
    <col min="14867" max="14867" width="1.7109375" customWidth="1"/>
    <col min="14868" max="14868" width="9.85546875" customWidth="1"/>
    <col min="15092" max="15092" width="7" customWidth="1"/>
    <col min="15093" max="15093" width="1.5703125" customWidth="1"/>
    <col min="15094" max="15094" width="11.140625" customWidth="1"/>
    <col min="15095" max="15095" width="8.7109375" customWidth="1"/>
    <col min="15096" max="15096" width="22.85546875" customWidth="1"/>
    <col min="15097" max="15097" width="6.5703125" customWidth="1"/>
    <col min="15098" max="15098" width="1" customWidth="1"/>
    <col min="15099" max="15099" width="6.85546875" customWidth="1"/>
    <col min="15100" max="15100" width="1" customWidth="1"/>
    <col min="15101" max="15101" width="6.28515625" customWidth="1"/>
    <col min="15102" max="15102" width="1" customWidth="1"/>
    <col min="15103" max="15103" width="9.28515625" customWidth="1"/>
    <col min="15104" max="15104" width="6.28515625" customWidth="1"/>
    <col min="15105" max="15105" width="7.140625" customWidth="1"/>
    <col min="15106" max="15106" width="4.28515625" customWidth="1"/>
    <col min="15107" max="15107" width="17.28515625" customWidth="1"/>
    <col min="15108" max="15108" width="15.28515625" customWidth="1"/>
    <col min="15109" max="15109" width="7.28515625" customWidth="1"/>
    <col min="15110" max="15110" width="1" customWidth="1"/>
    <col min="15111" max="15111" width="4" customWidth="1"/>
    <col min="15112" max="15112" width="1" customWidth="1"/>
    <col min="15113" max="15113" width="3" customWidth="1"/>
    <col min="15114" max="15114" width="1" customWidth="1"/>
    <col min="15115" max="15115" width="11.85546875" customWidth="1"/>
    <col min="15116" max="15116" width="1" customWidth="1"/>
    <col min="15117" max="15117" width="6.28515625" customWidth="1"/>
    <col min="15118" max="15118" width="12.140625" customWidth="1"/>
    <col min="15119" max="15119" width="5" customWidth="1"/>
    <col min="15120" max="15120" width="10.85546875" customWidth="1"/>
    <col min="15121" max="15121" width="3" customWidth="1"/>
    <col min="15122" max="15122" width="7.5703125" customWidth="1"/>
    <col min="15123" max="15123" width="1.7109375" customWidth="1"/>
    <col min="15124" max="15124" width="9.85546875" customWidth="1"/>
    <col min="15348" max="15348" width="7" customWidth="1"/>
    <col min="15349" max="15349" width="1.5703125" customWidth="1"/>
    <col min="15350" max="15350" width="11.140625" customWidth="1"/>
    <col min="15351" max="15351" width="8.7109375" customWidth="1"/>
    <col min="15352" max="15352" width="22.85546875" customWidth="1"/>
    <col min="15353" max="15353" width="6.5703125" customWidth="1"/>
    <col min="15354" max="15354" width="1" customWidth="1"/>
    <col min="15355" max="15355" width="6.85546875" customWidth="1"/>
    <col min="15356" max="15356" width="1" customWidth="1"/>
    <col min="15357" max="15357" width="6.28515625" customWidth="1"/>
    <col min="15358" max="15358" width="1" customWidth="1"/>
    <col min="15359" max="15359" width="9.28515625" customWidth="1"/>
    <col min="15360" max="15360" width="6.28515625" customWidth="1"/>
    <col min="15361" max="15361" width="7.140625" customWidth="1"/>
    <col min="15362" max="15362" width="4.28515625" customWidth="1"/>
    <col min="15363" max="15363" width="17.28515625" customWidth="1"/>
    <col min="15364" max="15364" width="15.28515625" customWidth="1"/>
    <col min="15365" max="15365" width="7.28515625" customWidth="1"/>
    <col min="15366" max="15366" width="1" customWidth="1"/>
    <col min="15367" max="15367" width="4" customWidth="1"/>
    <col min="15368" max="15368" width="1" customWidth="1"/>
    <col min="15369" max="15369" width="3" customWidth="1"/>
    <col min="15370" max="15370" width="1" customWidth="1"/>
    <col min="15371" max="15371" width="11.85546875" customWidth="1"/>
    <col min="15372" max="15372" width="1" customWidth="1"/>
    <col min="15373" max="15373" width="6.28515625" customWidth="1"/>
    <col min="15374" max="15374" width="12.140625" customWidth="1"/>
    <col min="15375" max="15375" width="5" customWidth="1"/>
    <col min="15376" max="15376" width="10.85546875" customWidth="1"/>
    <col min="15377" max="15377" width="3" customWidth="1"/>
    <col min="15378" max="15378" width="7.5703125" customWidth="1"/>
    <col min="15379" max="15379" width="1.7109375" customWidth="1"/>
    <col min="15380" max="15380" width="9.85546875" customWidth="1"/>
    <col min="15604" max="15604" width="7" customWidth="1"/>
    <col min="15605" max="15605" width="1.5703125" customWidth="1"/>
    <col min="15606" max="15606" width="11.140625" customWidth="1"/>
    <col min="15607" max="15607" width="8.7109375" customWidth="1"/>
    <col min="15608" max="15608" width="22.85546875" customWidth="1"/>
    <col min="15609" max="15609" width="6.5703125" customWidth="1"/>
    <col min="15610" max="15610" width="1" customWidth="1"/>
    <col min="15611" max="15611" width="6.85546875" customWidth="1"/>
    <col min="15612" max="15612" width="1" customWidth="1"/>
    <col min="15613" max="15613" width="6.28515625" customWidth="1"/>
    <col min="15614" max="15614" width="1" customWidth="1"/>
    <col min="15615" max="15615" width="9.28515625" customWidth="1"/>
    <col min="15616" max="15616" width="6.28515625" customWidth="1"/>
    <col min="15617" max="15617" width="7.140625" customWidth="1"/>
    <col min="15618" max="15618" width="4.28515625" customWidth="1"/>
    <col min="15619" max="15619" width="17.28515625" customWidth="1"/>
    <col min="15620" max="15620" width="15.28515625" customWidth="1"/>
    <col min="15621" max="15621" width="7.28515625" customWidth="1"/>
    <col min="15622" max="15622" width="1" customWidth="1"/>
    <col min="15623" max="15623" width="4" customWidth="1"/>
    <col min="15624" max="15624" width="1" customWidth="1"/>
    <col min="15625" max="15625" width="3" customWidth="1"/>
    <col min="15626" max="15626" width="1" customWidth="1"/>
    <col min="15627" max="15627" width="11.85546875" customWidth="1"/>
    <col min="15628" max="15628" width="1" customWidth="1"/>
    <col min="15629" max="15629" width="6.28515625" customWidth="1"/>
    <col min="15630" max="15630" width="12.140625" customWidth="1"/>
    <col min="15631" max="15631" width="5" customWidth="1"/>
    <col min="15632" max="15632" width="10.85546875" customWidth="1"/>
    <col min="15633" max="15633" width="3" customWidth="1"/>
    <col min="15634" max="15634" width="7.5703125" customWidth="1"/>
    <col min="15635" max="15635" width="1.7109375" customWidth="1"/>
    <col min="15636" max="15636" width="9.85546875" customWidth="1"/>
    <col min="15860" max="15860" width="7" customWidth="1"/>
    <col min="15861" max="15861" width="1.5703125" customWidth="1"/>
    <col min="15862" max="15862" width="11.140625" customWidth="1"/>
    <col min="15863" max="15863" width="8.7109375" customWidth="1"/>
    <col min="15864" max="15864" width="22.85546875" customWidth="1"/>
    <col min="15865" max="15865" width="6.5703125" customWidth="1"/>
    <col min="15866" max="15866" width="1" customWidth="1"/>
    <col min="15867" max="15867" width="6.85546875" customWidth="1"/>
    <col min="15868" max="15868" width="1" customWidth="1"/>
    <col min="15869" max="15869" width="6.28515625" customWidth="1"/>
    <col min="15870" max="15870" width="1" customWidth="1"/>
    <col min="15871" max="15871" width="9.28515625" customWidth="1"/>
    <col min="15872" max="15872" width="6.28515625" customWidth="1"/>
    <col min="15873" max="15873" width="7.140625" customWidth="1"/>
    <col min="15874" max="15874" width="4.28515625" customWidth="1"/>
    <col min="15875" max="15875" width="17.28515625" customWidth="1"/>
    <col min="15876" max="15876" width="15.28515625" customWidth="1"/>
    <col min="15877" max="15877" width="7.28515625" customWidth="1"/>
    <col min="15878" max="15878" width="1" customWidth="1"/>
    <col min="15879" max="15879" width="4" customWidth="1"/>
    <col min="15880" max="15880" width="1" customWidth="1"/>
    <col min="15881" max="15881" width="3" customWidth="1"/>
    <col min="15882" max="15882" width="1" customWidth="1"/>
    <col min="15883" max="15883" width="11.85546875" customWidth="1"/>
    <col min="15884" max="15884" width="1" customWidth="1"/>
    <col min="15885" max="15885" width="6.28515625" customWidth="1"/>
    <col min="15886" max="15886" width="12.140625" customWidth="1"/>
    <col min="15887" max="15887" width="5" customWidth="1"/>
    <col min="15888" max="15888" width="10.85546875" customWidth="1"/>
    <col min="15889" max="15889" width="3" customWidth="1"/>
    <col min="15890" max="15890" width="7.5703125" customWidth="1"/>
    <col min="15891" max="15891" width="1.7109375" customWidth="1"/>
    <col min="15892" max="15892" width="9.85546875" customWidth="1"/>
    <col min="16116" max="16116" width="7" customWidth="1"/>
    <col min="16117" max="16117" width="1.5703125" customWidth="1"/>
    <col min="16118" max="16118" width="11.140625" customWidth="1"/>
    <col min="16119" max="16119" width="8.7109375" customWidth="1"/>
    <col min="16120" max="16120" width="22.85546875" customWidth="1"/>
    <col min="16121" max="16121" width="6.5703125" customWidth="1"/>
    <col min="16122" max="16122" width="1" customWidth="1"/>
    <col min="16123" max="16123" width="6.85546875" customWidth="1"/>
    <col min="16124" max="16124" width="1" customWidth="1"/>
    <col min="16125" max="16125" width="6.28515625" customWidth="1"/>
    <col min="16126" max="16126" width="1" customWidth="1"/>
    <col min="16127" max="16127" width="9.28515625" customWidth="1"/>
    <col min="16128" max="16128" width="6.28515625" customWidth="1"/>
    <col min="16129" max="16129" width="7.140625" customWidth="1"/>
    <col min="16130" max="16130" width="4.28515625" customWidth="1"/>
    <col min="16131" max="16131" width="17.28515625" customWidth="1"/>
    <col min="16132" max="16132" width="15.28515625" customWidth="1"/>
    <col min="16133" max="16133" width="7.28515625" customWidth="1"/>
    <col min="16134" max="16134" width="1" customWidth="1"/>
    <col min="16135" max="16135" width="4" customWidth="1"/>
    <col min="16136" max="16136" width="1" customWidth="1"/>
    <col min="16137" max="16137" width="3" customWidth="1"/>
    <col min="16138" max="16138" width="1" customWidth="1"/>
    <col min="16139" max="16139" width="11.85546875" customWidth="1"/>
    <col min="16140" max="16140" width="1" customWidth="1"/>
    <col min="16141" max="16141" width="6.28515625" customWidth="1"/>
    <col min="16142" max="16142" width="12.140625" customWidth="1"/>
    <col min="16143" max="16143" width="5" customWidth="1"/>
    <col min="16144" max="16144" width="10.85546875" customWidth="1"/>
    <col min="16145" max="16145" width="3" customWidth="1"/>
    <col min="16146" max="16146" width="7.5703125" customWidth="1"/>
    <col min="16147" max="16147" width="1.7109375" customWidth="1"/>
    <col min="16148" max="16148" width="9.85546875" customWidth="1"/>
  </cols>
  <sheetData>
    <row r="1" spans="1:20" ht="11.1" customHeight="1" x14ac:dyDescent="0.25">
      <c r="A1" s="75" t="s">
        <v>600</v>
      </c>
      <c r="B1" s="75"/>
      <c r="C1" s="75"/>
      <c r="D1" s="75"/>
      <c r="E1" s="75"/>
      <c r="F1" s="75"/>
      <c r="G1" s="75"/>
      <c r="H1" s="75"/>
      <c r="T1" s="76"/>
    </row>
    <row r="2" spans="1:20" ht="11.85" customHeight="1" x14ac:dyDescent="0.25">
      <c r="A2" s="65" t="s">
        <v>290</v>
      </c>
      <c r="B2" s="14" t="s">
        <v>601</v>
      </c>
      <c r="C2" s="14"/>
      <c r="D2" s="14"/>
      <c r="E2" s="14"/>
      <c r="F2" s="14"/>
      <c r="G2" s="14"/>
      <c r="H2" s="14"/>
      <c r="T2" s="72"/>
    </row>
    <row r="3" spans="1:20" ht="11.85" customHeight="1" x14ac:dyDescent="0.25">
      <c r="A3" s="59" t="s">
        <v>292</v>
      </c>
      <c r="B3" s="14" t="s">
        <v>293</v>
      </c>
      <c r="C3" s="14"/>
      <c r="D3" s="14"/>
      <c r="E3" s="14"/>
      <c r="F3" s="14"/>
      <c r="G3" s="14"/>
      <c r="H3" s="14"/>
      <c r="T3" s="77"/>
    </row>
    <row r="4" spans="1:20" ht="11.85" customHeight="1" x14ac:dyDescent="0.25">
      <c r="A4" s="59" t="s">
        <v>294</v>
      </c>
      <c r="B4" s="14" t="s">
        <v>295</v>
      </c>
      <c r="C4" s="14"/>
      <c r="D4" s="14"/>
      <c r="E4" s="14"/>
      <c r="F4" s="14"/>
      <c r="G4" s="14"/>
      <c r="H4" s="14"/>
    </row>
    <row r="5" spans="1:20" ht="11.1" customHeight="1" x14ac:dyDescent="0.25">
      <c r="A5" s="75" t="s">
        <v>602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</row>
    <row r="6" spans="1:20" ht="11.1" customHeight="1" x14ac:dyDescent="0.25">
      <c r="A6" s="66" t="s">
        <v>184</v>
      </c>
      <c r="B6" s="75" t="s">
        <v>603</v>
      </c>
      <c r="C6" s="66" t="s">
        <v>604</v>
      </c>
      <c r="D6" s="66" t="s">
        <v>298</v>
      </c>
      <c r="E6" s="67" t="s">
        <v>299</v>
      </c>
      <c r="F6" s="66" t="s">
        <v>300</v>
      </c>
      <c r="G6" s="66" t="s">
        <v>184</v>
      </c>
      <c r="H6" s="75" t="s">
        <v>605</v>
      </c>
      <c r="I6" s="67" t="s">
        <v>606</v>
      </c>
      <c r="J6" s="67" t="s">
        <v>607</v>
      </c>
      <c r="K6" s="66" t="s">
        <v>302</v>
      </c>
      <c r="L6" s="66" t="s">
        <v>303</v>
      </c>
      <c r="M6" s="67" t="s">
        <v>24</v>
      </c>
      <c r="N6" s="75" t="s">
        <v>304</v>
      </c>
      <c r="O6" s="67" t="s">
        <v>305</v>
      </c>
      <c r="P6" s="66" t="s">
        <v>306</v>
      </c>
      <c r="Q6" s="66" t="s">
        <v>307</v>
      </c>
      <c r="R6" s="66" t="s">
        <v>73</v>
      </c>
      <c r="S6" s="75" t="s">
        <v>308</v>
      </c>
      <c r="T6" s="66" t="s">
        <v>309</v>
      </c>
    </row>
    <row r="7" spans="1:20" ht="11.1" customHeight="1" x14ac:dyDescent="0.25">
      <c r="A7" s="56">
        <v>108872</v>
      </c>
      <c r="B7" s="72">
        <v>46035</v>
      </c>
      <c r="C7" s="68">
        <v>46035</v>
      </c>
      <c r="D7" s="58" t="s">
        <v>608</v>
      </c>
      <c r="E7" s="59" t="s">
        <v>352</v>
      </c>
      <c r="F7" s="56">
        <v>36</v>
      </c>
      <c r="G7" s="73">
        <v>823</v>
      </c>
      <c r="H7" s="74" t="s">
        <v>609</v>
      </c>
      <c r="I7" s="59" t="s">
        <v>610</v>
      </c>
      <c r="J7" s="59" t="s">
        <v>611</v>
      </c>
      <c r="K7" s="69">
        <v>5102</v>
      </c>
      <c r="L7" s="56">
        <v>205</v>
      </c>
      <c r="M7" s="59" t="s">
        <v>26</v>
      </c>
      <c r="N7" s="61">
        <v>60.16</v>
      </c>
      <c r="O7" s="59" t="s">
        <v>313</v>
      </c>
      <c r="P7" s="62">
        <v>60.16</v>
      </c>
      <c r="Q7" s="63">
        <v>20</v>
      </c>
      <c r="R7" s="62">
        <v>12.03</v>
      </c>
      <c r="S7" s="61">
        <v>0</v>
      </c>
      <c r="T7" s="62">
        <v>0</v>
      </c>
    </row>
    <row r="8" spans="1:20" ht="11.1" customHeight="1" x14ac:dyDescent="0.25">
      <c r="A8" s="56">
        <v>108873</v>
      </c>
      <c r="B8" s="72">
        <v>46035</v>
      </c>
      <c r="C8" s="68">
        <v>46035</v>
      </c>
      <c r="D8" s="58" t="s">
        <v>608</v>
      </c>
      <c r="E8" s="59" t="s">
        <v>352</v>
      </c>
      <c r="F8" s="56">
        <v>36</v>
      </c>
      <c r="G8" s="73">
        <v>823</v>
      </c>
      <c r="H8" s="74" t="s">
        <v>609</v>
      </c>
      <c r="I8" s="59" t="s">
        <v>610</v>
      </c>
      <c r="J8" s="59" t="s">
        <v>611</v>
      </c>
      <c r="K8" s="69">
        <v>5403</v>
      </c>
      <c r="L8" s="56">
        <v>207</v>
      </c>
      <c r="M8" s="59" t="s">
        <v>26</v>
      </c>
      <c r="N8" s="61">
        <v>120.51</v>
      </c>
      <c r="O8" s="59" t="s">
        <v>313</v>
      </c>
      <c r="P8" s="62">
        <v>112.63</v>
      </c>
      <c r="Q8" s="63">
        <v>20</v>
      </c>
      <c r="R8" s="62">
        <v>22.53</v>
      </c>
      <c r="S8" s="61">
        <v>0</v>
      </c>
      <c r="T8" s="62">
        <v>7.88</v>
      </c>
    </row>
    <row r="9" spans="1:20" ht="11.1" customHeight="1" x14ac:dyDescent="0.25">
      <c r="O9" s="59" t="s">
        <v>436</v>
      </c>
      <c r="P9" s="62">
        <v>152.05000000000001</v>
      </c>
      <c r="Q9" s="63">
        <v>20</v>
      </c>
      <c r="R9" s="62">
        <v>7.88</v>
      </c>
      <c r="S9" s="61">
        <v>0</v>
      </c>
      <c r="T9" s="62">
        <v>0</v>
      </c>
    </row>
    <row r="10" spans="1:20" ht="11.1" customHeight="1" x14ac:dyDescent="0.25">
      <c r="A10" s="56">
        <v>108874</v>
      </c>
      <c r="B10" s="72">
        <v>46035</v>
      </c>
      <c r="C10" s="68">
        <v>46035</v>
      </c>
      <c r="D10" s="58" t="s">
        <v>612</v>
      </c>
      <c r="E10" s="59" t="s">
        <v>352</v>
      </c>
      <c r="F10" s="56">
        <v>36</v>
      </c>
      <c r="G10" s="73">
        <v>823</v>
      </c>
      <c r="H10" s="74" t="s">
        <v>609</v>
      </c>
      <c r="I10" s="59" t="s">
        <v>610</v>
      </c>
      <c r="J10" s="59" t="s">
        <v>611</v>
      </c>
      <c r="K10" s="69">
        <v>5102</v>
      </c>
      <c r="L10" s="56">
        <v>205</v>
      </c>
      <c r="M10" s="59" t="s">
        <v>26</v>
      </c>
      <c r="N10" s="61">
        <v>331.67</v>
      </c>
      <c r="O10" s="59" t="s">
        <v>313</v>
      </c>
      <c r="P10" s="62">
        <v>331.67</v>
      </c>
      <c r="Q10" s="63">
        <v>20</v>
      </c>
      <c r="R10" s="62">
        <v>66.34</v>
      </c>
      <c r="S10" s="61">
        <v>0</v>
      </c>
      <c r="T10" s="62">
        <v>0</v>
      </c>
    </row>
    <row r="11" spans="1:20" ht="11.1" customHeight="1" x14ac:dyDescent="0.25">
      <c r="A11" s="56">
        <v>108875</v>
      </c>
      <c r="B11" s="72">
        <v>46035</v>
      </c>
      <c r="C11" s="68">
        <v>46035</v>
      </c>
      <c r="D11" s="58" t="s">
        <v>612</v>
      </c>
      <c r="E11" s="59" t="s">
        <v>352</v>
      </c>
      <c r="F11" s="56">
        <v>36</v>
      </c>
      <c r="G11" s="73">
        <v>823</v>
      </c>
      <c r="H11" s="74" t="s">
        <v>609</v>
      </c>
      <c r="I11" s="59" t="s">
        <v>610</v>
      </c>
      <c r="J11" s="59" t="s">
        <v>611</v>
      </c>
      <c r="K11" s="69">
        <v>5403</v>
      </c>
      <c r="L11" s="56">
        <v>207</v>
      </c>
      <c r="M11" s="59" t="s">
        <v>26</v>
      </c>
      <c r="N11" s="61">
        <v>621.79</v>
      </c>
      <c r="O11" s="59" t="s">
        <v>313</v>
      </c>
      <c r="P11" s="62">
        <v>581.11</v>
      </c>
      <c r="Q11" s="63">
        <v>20</v>
      </c>
      <c r="R11" s="62">
        <v>116.22</v>
      </c>
      <c r="S11" s="61">
        <v>0</v>
      </c>
      <c r="T11" s="62">
        <v>40.68</v>
      </c>
    </row>
    <row r="12" spans="1:20" ht="11.1" customHeight="1" x14ac:dyDescent="0.25">
      <c r="O12" s="59" t="s">
        <v>436</v>
      </c>
      <c r="P12" s="62">
        <v>784.51</v>
      </c>
      <c r="Q12" s="63">
        <v>20</v>
      </c>
      <c r="R12" s="62">
        <v>40.68</v>
      </c>
      <c r="S12" s="61">
        <v>0</v>
      </c>
      <c r="T12" s="62">
        <v>0</v>
      </c>
    </row>
    <row r="13" spans="1:20" ht="11.1" customHeight="1" x14ac:dyDescent="0.25">
      <c r="A13" s="56">
        <v>108963</v>
      </c>
      <c r="B13" s="72">
        <v>46037</v>
      </c>
      <c r="C13" s="68">
        <v>46037</v>
      </c>
      <c r="D13" s="58" t="s">
        <v>613</v>
      </c>
      <c r="E13" s="59" t="s">
        <v>352</v>
      </c>
      <c r="F13" s="56">
        <v>36</v>
      </c>
      <c r="G13" s="73">
        <v>823</v>
      </c>
      <c r="H13" s="74" t="s">
        <v>609</v>
      </c>
      <c r="I13" s="59" t="s">
        <v>610</v>
      </c>
      <c r="J13" s="59" t="s">
        <v>611</v>
      </c>
      <c r="K13" s="69">
        <v>5403</v>
      </c>
      <c r="L13" s="56">
        <v>207</v>
      </c>
      <c r="M13" s="59" t="s">
        <v>26</v>
      </c>
      <c r="N13" s="61">
        <v>109.16</v>
      </c>
      <c r="O13" s="59" t="s">
        <v>313</v>
      </c>
      <c r="P13" s="62">
        <v>103.27</v>
      </c>
      <c r="Q13" s="63">
        <v>20</v>
      </c>
      <c r="R13" s="62">
        <v>20.65</v>
      </c>
      <c r="S13" s="61">
        <v>0</v>
      </c>
      <c r="T13" s="62">
        <v>5.89</v>
      </c>
    </row>
    <row r="14" spans="1:20" ht="11.1" customHeight="1" x14ac:dyDescent="0.25">
      <c r="O14" s="59" t="s">
        <v>436</v>
      </c>
      <c r="P14" s="62">
        <v>132.69</v>
      </c>
      <c r="Q14" s="63">
        <v>20</v>
      </c>
      <c r="R14" s="62">
        <v>5.89</v>
      </c>
      <c r="S14" s="61">
        <v>0</v>
      </c>
      <c r="T14" s="62">
        <v>0</v>
      </c>
    </row>
    <row r="15" spans="1:20" ht="11.1" customHeight="1" x14ac:dyDescent="0.25">
      <c r="A15" s="56">
        <v>109023</v>
      </c>
      <c r="B15" s="72">
        <v>46038</v>
      </c>
      <c r="C15" s="68">
        <v>46038</v>
      </c>
      <c r="D15" s="58" t="s">
        <v>614</v>
      </c>
      <c r="E15" s="59" t="s">
        <v>352</v>
      </c>
      <c r="F15" s="56">
        <v>36</v>
      </c>
      <c r="G15" s="73">
        <v>823</v>
      </c>
      <c r="H15" s="74" t="s">
        <v>609</v>
      </c>
      <c r="I15" s="59" t="s">
        <v>610</v>
      </c>
      <c r="J15" s="59" t="s">
        <v>611</v>
      </c>
      <c r="K15" s="69">
        <v>5102</v>
      </c>
      <c r="L15" s="56">
        <v>205</v>
      </c>
      <c r="M15" s="59" t="s">
        <v>26</v>
      </c>
      <c r="N15" s="61">
        <v>25.99</v>
      </c>
      <c r="O15" s="59" t="s">
        <v>313</v>
      </c>
      <c r="P15" s="62">
        <v>25.99</v>
      </c>
      <c r="Q15" s="63">
        <v>20</v>
      </c>
      <c r="R15" s="62">
        <v>5.2</v>
      </c>
      <c r="S15" s="61">
        <v>0</v>
      </c>
      <c r="T15" s="62">
        <v>0</v>
      </c>
    </row>
    <row r="16" spans="1:20" ht="11.1" customHeight="1" x14ac:dyDescent="0.25">
      <c r="A16" s="56">
        <v>109024</v>
      </c>
      <c r="B16" s="72">
        <v>46038</v>
      </c>
      <c r="C16" s="68">
        <v>46038</v>
      </c>
      <c r="D16" s="58" t="s">
        <v>615</v>
      </c>
      <c r="E16" s="59" t="s">
        <v>352</v>
      </c>
      <c r="F16" s="56">
        <v>36</v>
      </c>
      <c r="G16" s="73">
        <v>823</v>
      </c>
      <c r="H16" s="74" t="s">
        <v>609</v>
      </c>
      <c r="I16" s="59" t="s">
        <v>610</v>
      </c>
      <c r="J16" s="59" t="s">
        <v>611</v>
      </c>
      <c r="K16" s="69">
        <v>5102</v>
      </c>
      <c r="L16" s="56">
        <v>205</v>
      </c>
      <c r="M16" s="59" t="s">
        <v>26</v>
      </c>
      <c r="N16" s="61">
        <v>79.41</v>
      </c>
      <c r="O16" s="59" t="s">
        <v>313</v>
      </c>
      <c r="P16" s="62">
        <v>79.41</v>
      </c>
      <c r="Q16" s="63">
        <v>20</v>
      </c>
      <c r="R16" s="62">
        <v>15.88</v>
      </c>
      <c r="S16" s="61">
        <v>0</v>
      </c>
      <c r="T16" s="62">
        <v>0</v>
      </c>
    </row>
    <row r="17" spans="1:20" ht="11.1" customHeight="1" x14ac:dyDescent="0.25">
      <c r="A17" s="56">
        <v>109235</v>
      </c>
      <c r="B17" s="72">
        <v>46043</v>
      </c>
      <c r="C17" s="68">
        <v>46043</v>
      </c>
      <c r="D17" s="58" t="s">
        <v>616</v>
      </c>
      <c r="E17" s="59" t="s">
        <v>352</v>
      </c>
      <c r="F17" s="56">
        <v>36</v>
      </c>
      <c r="G17" s="73">
        <v>823</v>
      </c>
      <c r="H17" s="74" t="s">
        <v>609</v>
      </c>
      <c r="I17" s="59" t="s">
        <v>610</v>
      </c>
      <c r="J17" s="59" t="s">
        <v>611</v>
      </c>
      <c r="K17" s="69">
        <v>5102</v>
      </c>
      <c r="L17" s="56">
        <v>205</v>
      </c>
      <c r="M17" s="59" t="s">
        <v>26</v>
      </c>
      <c r="N17" s="61">
        <v>24.76</v>
      </c>
      <c r="O17" s="59" t="s">
        <v>313</v>
      </c>
      <c r="P17" s="62">
        <v>24.76</v>
      </c>
      <c r="Q17" s="63">
        <v>20</v>
      </c>
      <c r="R17" s="62">
        <v>4.95</v>
      </c>
      <c r="S17" s="61">
        <v>0</v>
      </c>
      <c r="T17" s="62">
        <v>0</v>
      </c>
    </row>
    <row r="18" spans="1:20" ht="11.1" customHeight="1" x14ac:dyDescent="0.25">
      <c r="A18" s="56">
        <v>109236</v>
      </c>
      <c r="B18" s="72">
        <v>46043</v>
      </c>
      <c r="C18" s="68">
        <v>46043</v>
      </c>
      <c r="D18" s="58" t="s">
        <v>616</v>
      </c>
      <c r="E18" s="59" t="s">
        <v>352</v>
      </c>
      <c r="F18" s="56">
        <v>36</v>
      </c>
      <c r="G18" s="73">
        <v>823</v>
      </c>
      <c r="H18" s="74" t="s">
        <v>609</v>
      </c>
      <c r="I18" s="59" t="s">
        <v>610</v>
      </c>
      <c r="J18" s="59" t="s">
        <v>611</v>
      </c>
      <c r="K18" s="69">
        <v>5403</v>
      </c>
      <c r="L18" s="56">
        <v>207</v>
      </c>
      <c r="M18" s="59" t="s">
        <v>26</v>
      </c>
      <c r="N18" s="61">
        <v>308.06</v>
      </c>
      <c r="O18" s="59" t="s">
        <v>313</v>
      </c>
      <c r="P18" s="62">
        <v>287.91000000000003</v>
      </c>
      <c r="Q18" s="63">
        <v>20</v>
      </c>
      <c r="R18" s="62">
        <v>57.58</v>
      </c>
      <c r="S18" s="61">
        <v>0</v>
      </c>
      <c r="T18" s="62">
        <v>20.149999999999999</v>
      </c>
    </row>
    <row r="19" spans="1:20" ht="11.1" customHeight="1" x14ac:dyDescent="0.25">
      <c r="O19" s="59" t="s">
        <v>436</v>
      </c>
      <c r="P19" s="62">
        <v>388.68</v>
      </c>
      <c r="Q19" s="63">
        <v>20</v>
      </c>
      <c r="R19" s="62">
        <v>20.149999999999999</v>
      </c>
      <c r="S19" s="61">
        <v>0</v>
      </c>
      <c r="T19" s="62">
        <v>0</v>
      </c>
    </row>
    <row r="20" spans="1:20" ht="11.1" customHeight="1" x14ac:dyDescent="0.25">
      <c r="A20" s="56">
        <v>109535</v>
      </c>
      <c r="B20" s="72">
        <v>46050</v>
      </c>
      <c r="C20" s="68">
        <v>46050</v>
      </c>
      <c r="D20" s="58" t="s">
        <v>617</v>
      </c>
      <c r="E20" s="59" t="s">
        <v>352</v>
      </c>
      <c r="F20" s="56">
        <v>36</v>
      </c>
      <c r="G20" s="73">
        <v>823</v>
      </c>
      <c r="H20" s="74" t="s">
        <v>609</v>
      </c>
      <c r="I20" s="59" t="s">
        <v>610</v>
      </c>
      <c r="J20" s="59" t="s">
        <v>611</v>
      </c>
      <c r="K20" s="69">
        <v>5102</v>
      </c>
      <c r="L20" s="56">
        <v>205</v>
      </c>
      <c r="M20" s="59" t="s">
        <v>26</v>
      </c>
      <c r="N20" s="61">
        <v>60</v>
      </c>
      <c r="O20" s="59" t="s">
        <v>313</v>
      </c>
      <c r="P20" s="62">
        <v>60</v>
      </c>
      <c r="Q20" s="63">
        <v>20</v>
      </c>
      <c r="R20" s="62">
        <v>12</v>
      </c>
      <c r="S20" s="61">
        <v>0</v>
      </c>
      <c r="T20" s="62">
        <v>0</v>
      </c>
    </row>
    <row r="21" spans="1:20" ht="11.1" customHeight="1" x14ac:dyDescent="0.25">
      <c r="A21" s="56">
        <v>109536</v>
      </c>
      <c r="B21" s="72">
        <v>46050</v>
      </c>
      <c r="C21" s="68">
        <v>46050</v>
      </c>
      <c r="D21" s="58" t="s">
        <v>617</v>
      </c>
      <c r="E21" s="59" t="s">
        <v>352</v>
      </c>
      <c r="F21" s="56">
        <v>36</v>
      </c>
      <c r="G21" s="73">
        <v>823</v>
      </c>
      <c r="H21" s="74" t="s">
        <v>609</v>
      </c>
      <c r="I21" s="59" t="s">
        <v>610</v>
      </c>
      <c r="J21" s="59" t="s">
        <v>611</v>
      </c>
      <c r="K21" s="69">
        <v>5403</v>
      </c>
      <c r="L21" s="56">
        <v>207</v>
      </c>
      <c r="M21" s="59" t="s">
        <v>26</v>
      </c>
      <c r="N21" s="61">
        <v>109.16</v>
      </c>
      <c r="O21" s="59" t="s">
        <v>313</v>
      </c>
      <c r="P21" s="62">
        <v>103.27</v>
      </c>
      <c r="Q21" s="63">
        <v>20</v>
      </c>
      <c r="R21" s="62">
        <v>20.65</v>
      </c>
      <c r="S21" s="61">
        <v>0</v>
      </c>
      <c r="T21" s="62">
        <v>5.89</v>
      </c>
    </row>
    <row r="22" spans="1:20" ht="11.1" customHeight="1" x14ac:dyDescent="0.25">
      <c r="O22" s="59" t="s">
        <v>436</v>
      </c>
      <c r="P22" s="62">
        <v>132.69</v>
      </c>
      <c r="Q22" s="63">
        <v>20</v>
      </c>
      <c r="R22" s="62">
        <v>5.89</v>
      </c>
      <c r="S22" s="61">
        <v>0</v>
      </c>
      <c r="T22" s="62">
        <v>0</v>
      </c>
    </row>
    <row r="23" spans="1:20" ht="11.1" customHeight="1" x14ac:dyDescent="0.25">
      <c r="A23" s="56">
        <v>109609</v>
      </c>
      <c r="B23" s="72">
        <v>46051</v>
      </c>
      <c r="C23" s="68">
        <v>46051</v>
      </c>
      <c r="D23" s="58" t="s">
        <v>618</v>
      </c>
      <c r="E23" s="59" t="s">
        <v>352</v>
      </c>
      <c r="F23" s="56">
        <v>36</v>
      </c>
      <c r="G23" s="73">
        <v>823</v>
      </c>
      <c r="H23" s="74" t="s">
        <v>609</v>
      </c>
      <c r="I23" s="59" t="s">
        <v>610</v>
      </c>
      <c r="J23" s="59" t="s">
        <v>611</v>
      </c>
      <c r="K23" s="69">
        <v>5403</v>
      </c>
      <c r="L23" s="56">
        <v>207</v>
      </c>
      <c r="M23" s="59" t="s">
        <v>26</v>
      </c>
      <c r="N23" s="61">
        <v>49.55</v>
      </c>
      <c r="O23" s="59" t="s">
        <v>313</v>
      </c>
      <c r="P23" s="62">
        <v>46.31</v>
      </c>
      <c r="Q23" s="63">
        <v>20</v>
      </c>
      <c r="R23" s="62">
        <v>9.26</v>
      </c>
      <c r="S23" s="61">
        <v>0</v>
      </c>
      <c r="T23" s="62">
        <v>3.24</v>
      </c>
    </row>
    <row r="24" spans="1:20" ht="11.1" customHeight="1" x14ac:dyDescent="0.25">
      <c r="O24" s="59" t="s">
        <v>436</v>
      </c>
      <c r="P24" s="62">
        <v>62.52</v>
      </c>
      <c r="Q24" s="63">
        <v>20</v>
      </c>
      <c r="R24" s="62">
        <v>3.24</v>
      </c>
      <c r="S24" s="61">
        <v>0</v>
      </c>
      <c r="T24" s="62">
        <v>0</v>
      </c>
    </row>
    <row r="25" spans="1:20" ht="11.1" customHeight="1" x14ac:dyDescent="0.25">
      <c r="A25" s="56">
        <v>109655</v>
      </c>
      <c r="B25" s="72">
        <v>46052</v>
      </c>
      <c r="C25" s="68">
        <v>46052</v>
      </c>
      <c r="D25" s="58" t="s">
        <v>619</v>
      </c>
      <c r="E25" s="59" t="s">
        <v>352</v>
      </c>
      <c r="F25" s="56">
        <v>36</v>
      </c>
      <c r="G25" s="73">
        <v>823</v>
      </c>
      <c r="H25" s="74" t="s">
        <v>609</v>
      </c>
      <c r="I25" s="59" t="s">
        <v>610</v>
      </c>
      <c r="J25" s="59" t="s">
        <v>611</v>
      </c>
      <c r="K25" s="69">
        <v>5403</v>
      </c>
      <c r="L25" s="56">
        <v>207</v>
      </c>
      <c r="M25" s="59" t="s">
        <v>26</v>
      </c>
      <c r="N25" s="61">
        <v>143.66</v>
      </c>
      <c r="O25" s="59" t="s">
        <v>313</v>
      </c>
      <c r="P25" s="62">
        <v>134.26</v>
      </c>
      <c r="Q25" s="63">
        <v>20</v>
      </c>
      <c r="R25" s="62">
        <v>26.85</v>
      </c>
      <c r="S25" s="61">
        <v>0</v>
      </c>
      <c r="T25" s="62">
        <v>9.4</v>
      </c>
    </row>
    <row r="26" spans="1:20" ht="11.1" customHeight="1" x14ac:dyDescent="0.25">
      <c r="A26" s="56">
        <v>108433</v>
      </c>
      <c r="B26" s="72">
        <v>46027</v>
      </c>
      <c r="C26" s="68">
        <v>46027</v>
      </c>
      <c r="D26" s="58" t="s">
        <v>621</v>
      </c>
      <c r="E26" s="59" t="s">
        <v>352</v>
      </c>
      <c r="F26" s="56">
        <v>36</v>
      </c>
      <c r="G26" s="73">
        <v>618</v>
      </c>
      <c r="H26" s="74" t="s">
        <v>622</v>
      </c>
      <c r="I26" s="59" t="s">
        <v>623</v>
      </c>
      <c r="J26" s="59" t="s">
        <v>624</v>
      </c>
      <c r="K26" s="69">
        <v>5102</v>
      </c>
      <c r="L26" s="56">
        <v>205</v>
      </c>
      <c r="M26" s="59" t="s">
        <v>26</v>
      </c>
      <c r="N26" s="61">
        <v>171.9</v>
      </c>
      <c r="O26" s="59" t="s">
        <v>313</v>
      </c>
      <c r="P26" s="62">
        <v>171.9</v>
      </c>
      <c r="Q26" s="63">
        <v>20</v>
      </c>
      <c r="R26" s="62">
        <v>34.380000000000003</v>
      </c>
      <c r="S26" s="61">
        <v>0</v>
      </c>
      <c r="T26" s="62">
        <v>0</v>
      </c>
    </row>
    <row r="27" spans="1:20" ht="11.1" customHeight="1" x14ac:dyDescent="0.25">
      <c r="A27" s="56">
        <v>108856</v>
      </c>
      <c r="B27" s="72">
        <v>46035</v>
      </c>
      <c r="C27" s="68">
        <v>46035</v>
      </c>
      <c r="D27" s="58" t="s">
        <v>625</v>
      </c>
      <c r="E27" s="59" t="s">
        <v>352</v>
      </c>
      <c r="F27" s="56">
        <v>36</v>
      </c>
      <c r="G27" s="73">
        <v>618</v>
      </c>
      <c r="H27" s="74" t="s">
        <v>622</v>
      </c>
      <c r="I27" s="59" t="s">
        <v>623</v>
      </c>
      <c r="J27" s="59" t="s">
        <v>624</v>
      </c>
      <c r="K27" s="69">
        <v>5102</v>
      </c>
      <c r="L27" s="56">
        <v>205</v>
      </c>
      <c r="M27" s="59" t="s">
        <v>26</v>
      </c>
      <c r="N27" s="61">
        <v>208.4</v>
      </c>
      <c r="O27" s="59" t="s">
        <v>313</v>
      </c>
      <c r="P27" s="62">
        <v>208.4</v>
      </c>
      <c r="Q27" s="63">
        <v>20</v>
      </c>
      <c r="R27" s="62">
        <v>41.68</v>
      </c>
      <c r="S27" s="61">
        <v>0</v>
      </c>
      <c r="T27" s="62">
        <v>0</v>
      </c>
    </row>
    <row r="28" spans="1:20" ht="11.1" customHeight="1" x14ac:dyDescent="0.25">
      <c r="A28" s="56">
        <v>108857</v>
      </c>
      <c r="B28" s="72">
        <v>46035</v>
      </c>
      <c r="C28" s="68">
        <v>46035</v>
      </c>
      <c r="D28" s="58" t="s">
        <v>625</v>
      </c>
      <c r="E28" s="59" t="s">
        <v>352</v>
      </c>
      <c r="F28" s="56">
        <v>36</v>
      </c>
      <c r="G28" s="73">
        <v>618</v>
      </c>
      <c r="H28" s="74" t="s">
        <v>622</v>
      </c>
      <c r="I28" s="59" t="s">
        <v>623</v>
      </c>
      <c r="J28" s="59" t="s">
        <v>624</v>
      </c>
      <c r="K28" s="69">
        <v>5403</v>
      </c>
      <c r="L28" s="56">
        <v>207</v>
      </c>
      <c r="M28" s="59" t="s">
        <v>26</v>
      </c>
      <c r="N28" s="61">
        <v>252.45</v>
      </c>
      <c r="O28" s="59" t="s">
        <v>313</v>
      </c>
      <c r="P28" s="62">
        <v>235.94</v>
      </c>
      <c r="Q28" s="63">
        <v>20</v>
      </c>
      <c r="R28" s="62">
        <v>47.19</v>
      </c>
      <c r="S28" s="61">
        <v>0</v>
      </c>
      <c r="T28" s="62">
        <v>16.510000000000002</v>
      </c>
    </row>
    <row r="29" spans="1:20" ht="11.1" customHeight="1" x14ac:dyDescent="0.25">
      <c r="O29" s="59" t="s">
        <v>436</v>
      </c>
      <c r="P29" s="62">
        <v>318.52</v>
      </c>
      <c r="Q29" s="63">
        <v>20</v>
      </c>
      <c r="R29" s="62">
        <v>16.510000000000002</v>
      </c>
      <c r="S29" s="61">
        <v>0</v>
      </c>
      <c r="T29" s="62">
        <v>0</v>
      </c>
    </row>
    <row r="30" spans="1:20" ht="11.1" customHeight="1" x14ac:dyDescent="0.25">
      <c r="A30" s="56">
        <v>109221</v>
      </c>
      <c r="B30" s="72">
        <v>46043</v>
      </c>
      <c r="C30" s="68">
        <v>46043</v>
      </c>
      <c r="D30" s="58" t="s">
        <v>626</v>
      </c>
      <c r="E30" s="59" t="s">
        <v>352</v>
      </c>
      <c r="F30" s="56">
        <v>36</v>
      </c>
      <c r="G30" s="73">
        <v>618</v>
      </c>
      <c r="H30" s="74" t="s">
        <v>622</v>
      </c>
      <c r="I30" s="59" t="s">
        <v>623</v>
      </c>
      <c r="J30" s="59" t="s">
        <v>624</v>
      </c>
      <c r="K30" s="69">
        <v>5102</v>
      </c>
      <c r="L30" s="56">
        <v>205</v>
      </c>
      <c r="M30" s="59" t="s">
        <v>26</v>
      </c>
      <c r="N30" s="61">
        <v>200.38</v>
      </c>
      <c r="O30" s="59" t="s">
        <v>313</v>
      </c>
      <c r="P30" s="62">
        <v>200.38</v>
      </c>
      <c r="Q30" s="63">
        <v>20</v>
      </c>
      <c r="R30" s="62">
        <v>40.090000000000003</v>
      </c>
      <c r="S30" s="61">
        <v>0</v>
      </c>
      <c r="T30" s="62">
        <v>0</v>
      </c>
    </row>
    <row r="31" spans="1:20" ht="11.1" customHeight="1" x14ac:dyDescent="0.25">
      <c r="A31" s="56">
        <v>109222</v>
      </c>
      <c r="B31" s="72">
        <v>46043</v>
      </c>
      <c r="C31" s="68">
        <v>46043</v>
      </c>
      <c r="D31" s="58" t="s">
        <v>626</v>
      </c>
      <c r="E31" s="59" t="s">
        <v>352</v>
      </c>
      <c r="F31" s="56">
        <v>36</v>
      </c>
      <c r="G31" s="73">
        <v>618</v>
      </c>
      <c r="H31" s="74" t="s">
        <v>622</v>
      </c>
      <c r="I31" s="59" t="s">
        <v>623</v>
      </c>
      <c r="J31" s="59" t="s">
        <v>624</v>
      </c>
      <c r="K31" s="69">
        <v>5403</v>
      </c>
      <c r="L31" s="56">
        <v>207</v>
      </c>
      <c r="M31" s="59" t="s">
        <v>26</v>
      </c>
      <c r="N31" s="61">
        <v>40.79</v>
      </c>
      <c r="O31" s="59" t="s">
        <v>313</v>
      </c>
      <c r="P31" s="62">
        <v>38.119999999999997</v>
      </c>
      <c r="Q31" s="63">
        <v>20</v>
      </c>
      <c r="R31" s="62">
        <v>7.62</v>
      </c>
      <c r="S31" s="61">
        <v>0</v>
      </c>
      <c r="T31" s="62">
        <v>2.67</v>
      </c>
    </row>
    <row r="32" spans="1:20" ht="11.1" customHeight="1" x14ac:dyDescent="0.25">
      <c r="A32" s="56">
        <v>109026</v>
      </c>
      <c r="B32" s="72">
        <v>46038</v>
      </c>
      <c r="C32" s="68">
        <v>46038</v>
      </c>
      <c r="D32" s="58" t="s">
        <v>627</v>
      </c>
      <c r="E32" s="59" t="s">
        <v>352</v>
      </c>
      <c r="F32" s="56">
        <v>36</v>
      </c>
      <c r="G32" s="73">
        <v>536</v>
      </c>
      <c r="H32" s="74" t="s">
        <v>628</v>
      </c>
      <c r="I32" s="59" t="s">
        <v>629</v>
      </c>
      <c r="J32" s="59" t="s">
        <v>630</v>
      </c>
      <c r="K32" s="69">
        <v>5403</v>
      </c>
      <c r="L32" s="56">
        <v>207</v>
      </c>
      <c r="M32" s="59" t="s">
        <v>26</v>
      </c>
      <c r="N32" s="61">
        <v>171.09</v>
      </c>
      <c r="O32" s="59" t="s">
        <v>313</v>
      </c>
      <c r="P32" s="62">
        <v>159.9</v>
      </c>
      <c r="Q32" s="63">
        <v>20</v>
      </c>
      <c r="R32" s="62">
        <v>31.98</v>
      </c>
      <c r="S32" s="61">
        <v>0</v>
      </c>
      <c r="T32" s="62">
        <v>11.19</v>
      </c>
    </row>
    <row r="33" spans="1:20" ht="11.1" customHeight="1" x14ac:dyDescent="0.25">
      <c r="O33" s="59" t="s">
        <v>436</v>
      </c>
      <c r="P33" s="62">
        <v>215.87</v>
      </c>
      <c r="Q33" s="63">
        <v>20</v>
      </c>
      <c r="R33" s="62">
        <v>11.19</v>
      </c>
      <c r="S33" s="61">
        <v>0</v>
      </c>
      <c r="T33" s="62">
        <v>0</v>
      </c>
    </row>
    <row r="34" spans="1:20" ht="11.85" customHeight="1" x14ac:dyDescent="0.25">
      <c r="A34" s="71" t="s">
        <v>620</v>
      </c>
      <c r="B34" s="71"/>
      <c r="C34" s="71"/>
      <c r="D34" s="71"/>
      <c r="E34" s="71"/>
      <c r="F34" s="71"/>
      <c r="G34" s="71"/>
      <c r="H34" s="71"/>
    </row>
    <row r="35" spans="1:20" ht="11.1" customHeight="1" x14ac:dyDescent="0.25">
      <c r="O35" s="59" t="s">
        <v>313</v>
      </c>
      <c r="P35" s="62">
        <v>159.9</v>
      </c>
      <c r="R35" s="62">
        <v>31.98</v>
      </c>
      <c r="S35" s="61">
        <v>0</v>
      </c>
      <c r="T35" s="62">
        <v>11.19</v>
      </c>
    </row>
    <row r="36" spans="1:20" ht="11.1" customHeight="1" x14ac:dyDescent="0.25">
      <c r="O36" s="59" t="s">
        <v>436</v>
      </c>
      <c r="P36" s="62">
        <v>215.87</v>
      </c>
      <c r="R36" s="62">
        <v>11.19</v>
      </c>
      <c r="S36" s="61">
        <v>0</v>
      </c>
      <c r="T36" s="62">
        <v>0</v>
      </c>
    </row>
    <row r="37" spans="1:20" ht="11.1" customHeight="1" x14ac:dyDescent="0.25">
      <c r="A37" s="56">
        <v>109219</v>
      </c>
      <c r="B37" s="72">
        <v>46043</v>
      </c>
      <c r="C37" s="68">
        <v>46043</v>
      </c>
      <c r="D37" s="58" t="s">
        <v>631</v>
      </c>
      <c r="E37" s="59" t="s">
        <v>352</v>
      </c>
      <c r="F37" s="56">
        <v>36</v>
      </c>
      <c r="G37" s="73">
        <v>370</v>
      </c>
      <c r="H37" s="74" t="s">
        <v>632</v>
      </c>
      <c r="I37" s="59" t="s">
        <v>633</v>
      </c>
      <c r="J37" s="59" t="s">
        <v>634</v>
      </c>
      <c r="K37" s="69">
        <v>5102</v>
      </c>
      <c r="L37" s="56">
        <v>205</v>
      </c>
      <c r="M37" s="59" t="s">
        <v>26</v>
      </c>
      <c r="N37" s="61">
        <v>362.54</v>
      </c>
      <c r="O37" s="59" t="s">
        <v>313</v>
      </c>
      <c r="P37" s="62">
        <v>362.54</v>
      </c>
      <c r="Q37" s="63">
        <v>20</v>
      </c>
      <c r="R37" s="62">
        <v>72.510000000000005</v>
      </c>
      <c r="S37" s="61">
        <v>0</v>
      </c>
      <c r="T37" s="62">
        <v>0</v>
      </c>
    </row>
    <row r="38" spans="1:20" ht="11.1" customHeight="1" x14ac:dyDescent="0.25">
      <c r="A38" s="56">
        <v>109220</v>
      </c>
      <c r="B38" s="72">
        <v>46043</v>
      </c>
      <c r="C38" s="68">
        <v>46043</v>
      </c>
      <c r="D38" s="58" t="s">
        <v>631</v>
      </c>
      <c r="E38" s="59" t="s">
        <v>352</v>
      </c>
      <c r="F38" s="56">
        <v>36</v>
      </c>
      <c r="G38" s="73">
        <v>370</v>
      </c>
      <c r="H38" s="74" t="s">
        <v>632</v>
      </c>
      <c r="I38" s="59" t="s">
        <v>633</v>
      </c>
      <c r="J38" s="59" t="s">
        <v>634</v>
      </c>
      <c r="K38" s="69">
        <v>5403</v>
      </c>
      <c r="L38" s="56">
        <v>207</v>
      </c>
      <c r="M38" s="59" t="s">
        <v>26</v>
      </c>
      <c r="N38" s="61">
        <v>960.16</v>
      </c>
      <c r="O38" s="59" t="s">
        <v>313</v>
      </c>
      <c r="P38" s="62">
        <v>897.36</v>
      </c>
      <c r="Q38" s="63">
        <v>20</v>
      </c>
      <c r="R38" s="62">
        <v>179.48</v>
      </c>
      <c r="S38" s="61">
        <v>0</v>
      </c>
      <c r="T38" s="62">
        <v>62.8</v>
      </c>
    </row>
    <row r="39" spans="1:20" ht="11.1" customHeight="1" x14ac:dyDescent="0.25">
      <c r="O39" s="59" t="s">
        <v>436</v>
      </c>
      <c r="P39" s="62">
        <v>1211.44</v>
      </c>
      <c r="Q39" s="63">
        <v>20</v>
      </c>
      <c r="R39" s="62">
        <v>62.8</v>
      </c>
      <c r="S39" s="61">
        <v>0</v>
      </c>
      <c r="T39" s="62">
        <v>0</v>
      </c>
    </row>
    <row r="40" spans="1:20" ht="11.85" customHeight="1" x14ac:dyDescent="0.25">
      <c r="A40" s="71" t="s">
        <v>620</v>
      </c>
      <c r="B40" s="71"/>
      <c r="C40" s="71"/>
      <c r="D40" s="71"/>
      <c r="E40" s="71"/>
      <c r="F40" s="71"/>
      <c r="G40" s="71"/>
      <c r="H40" s="71"/>
    </row>
    <row r="41" spans="1:20" ht="11.1" customHeight="1" x14ac:dyDescent="0.25">
      <c r="O41" s="59" t="s">
        <v>313</v>
      </c>
      <c r="P41" s="62">
        <v>1259.9000000000001</v>
      </c>
      <c r="R41" s="62">
        <v>251.99</v>
      </c>
      <c r="S41" s="61">
        <v>0</v>
      </c>
      <c r="T41" s="62">
        <v>62.8</v>
      </c>
    </row>
    <row r="42" spans="1:20" ht="11.1" customHeight="1" x14ac:dyDescent="0.25">
      <c r="O42" s="59" t="s">
        <v>436</v>
      </c>
      <c r="P42" s="62">
        <v>1211.44</v>
      </c>
      <c r="R42" s="62">
        <v>62.8</v>
      </c>
      <c r="S42" s="61">
        <v>0</v>
      </c>
      <c r="T42" s="62">
        <v>0</v>
      </c>
    </row>
    <row r="43" spans="1:20" ht="11.1" customHeight="1" x14ac:dyDescent="0.25">
      <c r="A43" s="56">
        <v>108998</v>
      </c>
      <c r="B43" s="72">
        <v>46037</v>
      </c>
      <c r="C43" s="68">
        <v>46037</v>
      </c>
      <c r="D43" s="58" t="s">
        <v>635</v>
      </c>
      <c r="E43" s="59" t="s">
        <v>352</v>
      </c>
      <c r="F43" s="56">
        <v>36</v>
      </c>
      <c r="G43" s="73">
        <v>920</v>
      </c>
      <c r="H43" s="74" t="s">
        <v>636</v>
      </c>
      <c r="I43" s="59" t="s">
        <v>637</v>
      </c>
      <c r="J43" s="59" t="s">
        <v>638</v>
      </c>
      <c r="K43" s="69">
        <v>5102</v>
      </c>
      <c r="L43" s="56">
        <v>205</v>
      </c>
      <c r="M43" s="59" t="s">
        <v>26</v>
      </c>
      <c r="N43" s="61">
        <v>301.87</v>
      </c>
      <c r="O43" s="59" t="s">
        <v>313</v>
      </c>
      <c r="P43" s="62">
        <v>301.87</v>
      </c>
      <c r="Q43" s="63">
        <v>20</v>
      </c>
      <c r="R43" s="62">
        <v>60.38</v>
      </c>
      <c r="S43" s="61">
        <v>0</v>
      </c>
      <c r="T43" s="62">
        <v>0</v>
      </c>
    </row>
    <row r="44" spans="1:20" ht="11.1" customHeight="1" x14ac:dyDescent="0.25">
      <c r="A44" s="56">
        <v>108999</v>
      </c>
      <c r="B44" s="72">
        <v>46037</v>
      </c>
      <c r="C44" s="68">
        <v>46037</v>
      </c>
      <c r="D44" s="58" t="s">
        <v>635</v>
      </c>
      <c r="E44" s="59" t="s">
        <v>352</v>
      </c>
      <c r="F44" s="56">
        <v>36</v>
      </c>
      <c r="G44" s="73">
        <v>920</v>
      </c>
      <c r="H44" s="74" t="s">
        <v>636</v>
      </c>
      <c r="I44" s="59" t="s">
        <v>637</v>
      </c>
      <c r="J44" s="59" t="s">
        <v>638</v>
      </c>
      <c r="K44" s="69">
        <v>5403</v>
      </c>
      <c r="L44" s="56">
        <v>207</v>
      </c>
      <c r="M44" s="59" t="s">
        <v>26</v>
      </c>
      <c r="N44" s="61">
        <v>89.88</v>
      </c>
      <c r="O44" s="59" t="s">
        <v>313</v>
      </c>
      <c r="P44" s="62">
        <v>84</v>
      </c>
      <c r="Q44" s="63">
        <v>20</v>
      </c>
      <c r="R44" s="62">
        <v>16.8</v>
      </c>
      <c r="S44" s="61">
        <v>0</v>
      </c>
      <c r="T44" s="62">
        <v>5.88</v>
      </c>
    </row>
    <row r="45" spans="1:20" ht="11.1" customHeight="1" x14ac:dyDescent="0.25">
      <c r="O45" s="59" t="s">
        <v>436</v>
      </c>
      <c r="P45" s="62">
        <v>113.4</v>
      </c>
      <c r="Q45" s="63">
        <v>20</v>
      </c>
      <c r="R45" s="62">
        <v>5.88</v>
      </c>
      <c r="S45" s="61">
        <v>0</v>
      </c>
      <c r="T45" s="62">
        <v>0</v>
      </c>
    </row>
    <row r="46" spans="1:20" ht="11.1" customHeight="1" x14ac:dyDescent="0.25">
      <c r="A46" s="56">
        <v>109262</v>
      </c>
      <c r="B46" s="72">
        <v>46044</v>
      </c>
      <c r="C46" s="68">
        <v>46044</v>
      </c>
      <c r="D46" s="58" t="s">
        <v>639</v>
      </c>
      <c r="E46" s="59" t="s">
        <v>352</v>
      </c>
      <c r="F46" s="56">
        <v>36</v>
      </c>
      <c r="G46" s="73">
        <v>920</v>
      </c>
      <c r="H46" s="74" t="s">
        <v>636</v>
      </c>
      <c r="I46" s="59" t="s">
        <v>637</v>
      </c>
      <c r="J46" s="59" t="s">
        <v>638</v>
      </c>
      <c r="K46" s="69">
        <v>5102</v>
      </c>
      <c r="L46" s="56">
        <v>205</v>
      </c>
      <c r="M46" s="59" t="s">
        <v>26</v>
      </c>
      <c r="N46" s="61">
        <v>126.39</v>
      </c>
      <c r="O46" s="59" t="s">
        <v>313</v>
      </c>
      <c r="P46" s="62">
        <v>126.39</v>
      </c>
      <c r="Q46" s="63">
        <v>20</v>
      </c>
      <c r="R46" s="62">
        <v>25.29</v>
      </c>
      <c r="S46" s="61">
        <v>0</v>
      </c>
      <c r="T46" s="62">
        <v>0</v>
      </c>
    </row>
    <row r="47" spans="1:20" ht="11.1" customHeight="1" x14ac:dyDescent="0.25">
      <c r="A47" s="56">
        <v>109573</v>
      </c>
      <c r="B47" s="72">
        <v>46050</v>
      </c>
      <c r="C47" s="68">
        <v>46050</v>
      </c>
      <c r="D47" s="58" t="s">
        <v>640</v>
      </c>
      <c r="E47" s="59" t="s">
        <v>352</v>
      </c>
      <c r="F47" s="56">
        <v>36</v>
      </c>
      <c r="G47" s="73">
        <v>920</v>
      </c>
      <c r="H47" s="74" t="s">
        <v>636</v>
      </c>
      <c r="I47" s="59" t="s">
        <v>637</v>
      </c>
      <c r="J47" s="59" t="s">
        <v>638</v>
      </c>
      <c r="K47" s="69">
        <v>5102</v>
      </c>
      <c r="L47" s="56">
        <v>205</v>
      </c>
      <c r="M47" s="59" t="s">
        <v>26</v>
      </c>
      <c r="N47" s="61">
        <v>133.19999999999999</v>
      </c>
      <c r="O47" s="59" t="s">
        <v>313</v>
      </c>
      <c r="P47" s="62">
        <v>133.19999999999999</v>
      </c>
      <c r="Q47" s="63">
        <v>20</v>
      </c>
      <c r="R47" s="62">
        <v>26.64</v>
      </c>
      <c r="S47" s="61">
        <v>0</v>
      </c>
      <c r="T47" s="62">
        <v>0</v>
      </c>
    </row>
    <row r="48" spans="1:20" ht="11.1" customHeight="1" x14ac:dyDescent="0.25">
      <c r="A48" s="56">
        <v>109574</v>
      </c>
      <c r="B48" s="72">
        <v>46050</v>
      </c>
      <c r="C48" s="68">
        <v>46050</v>
      </c>
      <c r="D48" s="58" t="s">
        <v>640</v>
      </c>
      <c r="E48" s="59" t="s">
        <v>352</v>
      </c>
      <c r="F48" s="56">
        <v>36</v>
      </c>
      <c r="G48" s="73">
        <v>920</v>
      </c>
      <c r="H48" s="74" t="s">
        <v>636</v>
      </c>
      <c r="I48" s="59" t="s">
        <v>637</v>
      </c>
      <c r="J48" s="59" t="s">
        <v>638</v>
      </c>
      <c r="K48" s="69">
        <v>5403</v>
      </c>
      <c r="L48" s="56">
        <v>207</v>
      </c>
      <c r="M48" s="59" t="s">
        <v>26</v>
      </c>
      <c r="N48" s="61">
        <v>78.53</v>
      </c>
      <c r="O48" s="59" t="s">
        <v>313</v>
      </c>
      <c r="P48" s="62">
        <v>73.39</v>
      </c>
      <c r="Q48" s="63">
        <v>20</v>
      </c>
      <c r="R48" s="62">
        <v>14.68</v>
      </c>
      <c r="S48" s="61">
        <v>0</v>
      </c>
      <c r="T48" s="62">
        <v>5.14</v>
      </c>
    </row>
    <row r="49" spans="1:20" ht="11.1" customHeight="1" x14ac:dyDescent="0.25">
      <c r="O49" s="59" t="s">
        <v>436</v>
      </c>
      <c r="P49" s="62">
        <v>99.08</v>
      </c>
      <c r="Q49" s="63">
        <v>20</v>
      </c>
      <c r="R49" s="62">
        <v>5.14</v>
      </c>
      <c r="S49" s="61">
        <v>0</v>
      </c>
      <c r="T49" s="62">
        <v>0</v>
      </c>
    </row>
    <row r="50" spans="1:20" ht="11.85" customHeight="1" x14ac:dyDescent="0.25">
      <c r="A50" s="71" t="s">
        <v>620</v>
      </c>
      <c r="B50" s="71"/>
      <c r="C50" s="71"/>
      <c r="D50" s="71"/>
      <c r="E50" s="71"/>
      <c r="F50" s="71"/>
      <c r="G50" s="71"/>
      <c r="H50" s="71"/>
    </row>
    <row r="51" spans="1:20" ht="11.1" customHeight="1" x14ac:dyDescent="0.25">
      <c r="O51" s="59" t="s">
        <v>313</v>
      </c>
      <c r="P51" s="62">
        <v>718.85</v>
      </c>
      <c r="R51" s="62">
        <v>143.79</v>
      </c>
      <c r="S51" s="61">
        <v>0</v>
      </c>
      <c r="T51" s="62">
        <v>11.02</v>
      </c>
    </row>
    <row r="52" spans="1:20" ht="11.1" customHeight="1" x14ac:dyDescent="0.25">
      <c r="O52" s="59" t="s">
        <v>436</v>
      </c>
      <c r="P52" s="62">
        <v>212.48</v>
      </c>
      <c r="R52" s="62">
        <v>11.02</v>
      </c>
      <c r="S52" s="61">
        <v>0</v>
      </c>
      <c r="T52" s="62">
        <v>0</v>
      </c>
    </row>
    <row r="53" spans="1:20" ht="11.1" customHeight="1" x14ac:dyDescent="0.25">
      <c r="A53" s="56">
        <v>108421</v>
      </c>
      <c r="B53" s="72">
        <v>46024</v>
      </c>
      <c r="C53" s="68">
        <v>46024</v>
      </c>
      <c r="D53" s="58" t="s">
        <v>641</v>
      </c>
      <c r="E53" s="59" t="s">
        <v>352</v>
      </c>
      <c r="F53" s="56">
        <v>36</v>
      </c>
      <c r="G53" s="73">
        <v>231</v>
      </c>
      <c r="H53" s="74" t="s">
        <v>642</v>
      </c>
      <c r="I53" s="59" t="s">
        <v>643</v>
      </c>
      <c r="J53" s="59" t="s">
        <v>644</v>
      </c>
      <c r="K53" s="69">
        <v>6403</v>
      </c>
      <c r="L53" s="56">
        <v>207</v>
      </c>
      <c r="M53" s="59" t="s">
        <v>34</v>
      </c>
      <c r="N53" s="61">
        <v>352.48</v>
      </c>
      <c r="O53" s="59" t="s">
        <v>313</v>
      </c>
      <c r="P53" s="62">
        <v>305.98</v>
      </c>
      <c r="Q53" s="63">
        <v>12</v>
      </c>
      <c r="R53" s="62">
        <v>36.72</v>
      </c>
      <c r="S53" s="61">
        <v>0</v>
      </c>
      <c r="T53" s="62">
        <v>46.5</v>
      </c>
    </row>
    <row r="54" spans="1:20" ht="11.1" customHeight="1" x14ac:dyDescent="0.25">
      <c r="O54" s="59" t="s">
        <v>436</v>
      </c>
      <c r="P54" s="62">
        <v>437.98</v>
      </c>
      <c r="Q54" s="63">
        <v>19</v>
      </c>
      <c r="R54" s="62">
        <v>46.5</v>
      </c>
      <c r="S54" s="61">
        <v>0</v>
      </c>
      <c r="T54" s="62">
        <v>0</v>
      </c>
    </row>
    <row r="55" spans="1:20" ht="11.1" customHeight="1" x14ac:dyDescent="0.25">
      <c r="A55" s="56">
        <v>108422</v>
      </c>
      <c r="B55" s="72">
        <v>46024</v>
      </c>
      <c r="C55" s="68">
        <v>46024</v>
      </c>
      <c r="D55" s="58" t="s">
        <v>641</v>
      </c>
      <c r="E55" s="59" t="s">
        <v>352</v>
      </c>
      <c r="F55" s="56">
        <v>36</v>
      </c>
      <c r="G55" s="73">
        <v>231</v>
      </c>
      <c r="H55" s="74" t="s">
        <v>642</v>
      </c>
      <c r="I55" s="59" t="s">
        <v>643</v>
      </c>
      <c r="J55" s="59" t="s">
        <v>644</v>
      </c>
      <c r="K55" s="69">
        <v>6102</v>
      </c>
      <c r="L55" s="56">
        <v>238</v>
      </c>
      <c r="M55" s="59" t="s">
        <v>34</v>
      </c>
      <c r="N55" s="61">
        <v>321.08</v>
      </c>
      <c r="O55" s="59" t="s">
        <v>313</v>
      </c>
      <c r="P55" s="62">
        <v>321.08</v>
      </c>
      <c r="Q55" s="63">
        <v>12</v>
      </c>
      <c r="R55" s="62">
        <v>38.54</v>
      </c>
      <c r="S55" s="61">
        <v>0</v>
      </c>
      <c r="T55" s="62">
        <v>0</v>
      </c>
    </row>
    <row r="56" spans="1:20" ht="11.1" customHeight="1" x14ac:dyDescent="0.25">
      <c r="A56" s="56">
        <v>108543</v>
      </c>
      <c r="B56" s="72">
        <v>46028</v>
      </c>
      <c r="C56" s="68">
        <v>46028</v>
      </c>
      <c r="D56" s="58" t="s">
        <v>645</v>
      </c>
      <c r="E56" s="59" t="s">
        <v>352</v>
      </c>
      <c r="F56" s="56">
        <v>36</v>
      </c>
      <c r="G56" s="73">
        <v>231</v>
      </c>
      <c r="H56" s="74" t="s">
        <v>642</v>
      </c>
      <c r="I56" s="59" t="s">
        <v>643</v>
      </c>
      <c r="J56" s="59" t="s">
        <v>644</v>
      </c>
      <c r="K56" s="69">
        <v>6403</v>
      </c>
      <c r="L56" s="56">
        <v>207</v>
      </c>
      <c r="M56" s="59" t="s">
        <v>34</v>
      </c>
      <c r="N56" s="61">
        <v>38.47</v>
      </c>
      <c r="O56" s="59" t="s">
        <v>313</v>
      </c>
      <c r="P56" s="62">
        <v>33.4</v>
      </c>
      <c r="Q56" s="63">
        <v>12</v>
      </c>
      <c r="R56" s="62">
        <v>4.01</v>
      </c>
      <c r="S56" s="61">
        <v>0</v>
      </c>
      <c r="T56" s="62">
        <v>5.07</v>
      </c>
    </row>
    <row r="57" spans="1:20" ht="11.1" customHeight="1" x14ac:dyDescent="0.25">
      <c r="O57" s="59" t="s">
        <v>436</v>
      </c>
      <c r="P57" s="62">
        <v>47.81</v>
      </c>
      <c r="Q57" s="63">
        <v>19</v>
      </c>
      <c r="R57" s="62">
        <v>5.07</v>
      </c>
      <c r="S57" s="61">
        <v>0</v>
      </c>
      <c r="T57" s="62">
        <v>0</v>
      </c>
    </row>
    <row r="58" spans="1:20" ht="11.1" customHeight="1" x14ac:dyDescent="0.25">
      <c r="A58" s="56">
        <v>108544</v>
      </c>
      <c r="B58" s="72">
        <v>46028</v>
      </c>
      <c r="C58" s="68">
        <v>46028</v>
      </c>
      <c r="D58" s="58" t="s">
        <v>645</v>
      </c>
      <c r="E58" s="59" t="s">
        <v>352</v>
      </c>
      <c r="F58" s="56">
        <v>36</v>
      </c>
      <c r="G58" s="73">
        <v>231</v>
      </c>
      <c r="H58" s="74" t="s">
        <v>642</v>
      </c>
      <c r="I58" s="59" t="s">
        <v>643</v>
      </c>
      <c r="J58" s="59" t="s">
        <v>644</v>
      </c>
      <c r="K58" s="69">
        <v>6102</v>
      </c>
      <c r="L58" s="56">
        <v>238</v>
      </c>
      <c r="M58" s="59" t="s">
        <v>34</v>
      </c>
      <c r="N58" s="61">
        <v>509.51</v>
      </c>
      <c r="O58" s="59" t="s">
        <v>313</v>
      </c>
      <c r="P58" s="62">
        <v>509.51</v>
      </c>
      <c r="Q58" s="63">
        <v>12</v>
      </c>
      <c r="R58" s="62">
        <v>61.13</v>
      </c>
      <c r="S58" s="61">
        <v>0</v>
      </c>
      <c r="T58" s="62">
        <v>0</v>
      </c>
    </row>
    <row r="59" spans="1:20" ht="11.1" customHeight="1" x14ac:dyDescent="0.25">
      <c r="A59" s="56">
        <v>108556</v>
      </c>
      <c r="B59" s="72">
        <v>46028</v>
      </c>
      <c r="C59" s="68">
        <v>46028</v>
      </c>
      <c r="D59" s="58" t="s">
        <v>646</v>
      </c>
      <c r="E59" s="59" t="s">
        <v>352</v>
      </c>
      <c r="F59" s="56">
        <v>36</v>
      </c>
      <c r="G59" s="73">
        <v>231</v>
      </c>
      <c r="H59" s="74" t="s">
        <v>642</v>
      </c>
      <c r="I59" s="59" t="s">
        <v>643</v>
      </c>
      <c r="J59" s="59" t="s">
        <v>644</v>
      </c>
      <c r="K59" s="69">
        <v>6102</v>
      </c>
      <c r="L59" s="56">
        <v>238</v>
      </c>
      <c r="M59" s="59" t="s">
        <v>34</v>
      </c>
      <c r="N59" s="61">
        <v>98.32</v>
      </c>
      <c r="O59" s="59" t="s">
        <v>313</v>
      </c>
      <c r="P59" s="62">
        <v>98.32</v>
      </c>
      <c r="Q59" s="63">
        <v>12</v>
      </c>
      <c r="R59" s="62">
        <v>11.8</v>
      </c>
      <c r="S59" s="61">
        <v>0</v>
      </c>
      <c r="T59" s="62">
        <v>0</v>
      </c>
    </row>
    <row r="60" spans="1:20" ht="11.1" customHeight="1" x14ac:dyDescent="0.25">
      <c r="A60" s="56">
        <v>109071</v>
      </c>
      <c r="B60" s="72">
        <v>46041</v>
      </c>
      <c r="C60" s="68">
        <v>46041</v>
      </c>
      <c r="D60" s="58" t="s">
        <v>647</v>
      </c>
      <c r="E60" s="59" t="s">
        <v>352</v>
      </c>
      <c r="F60" s="56">
        <v>36</v>
      </c>
      <c r="G60" s="73">
        <v>231</v>
      </c>
      <c r="H60" s="74" t="s">
        <v>642</v>
      </c>
      <c r="I60" s="59" t="s">
        <v>643</v>
      </c>
      <c r="J60" s="59" t="s">
        <v>644</v>
      </c>
      <c r="K60" s="69">
        <v>6403</v>
      </c>
      <c r="L60" s="56">
        <v>207</v>
      </c>
      <c r="M60" s="59" t="s">
        <v>34</v>
      </c>
      <c r="N60" s="61">
        <v>760.67</v>
      </c>
      <c r="O60" s="59" t="s">
        <v>313</v>
      </c>
      <c r="P60" s="62">
        <v>660.33</v>
      </c>
      <c r="Q60" s="63">
        <v>12</v>
      </c>
      <c r="R60" s="62">
        <v>79.239999999999995</v>
      </c>
      <c r="S60" s="61">
        <v>0</v>
      </c>
      <c r="T60" s="62">
        <v>100.34</v>
      </c>
    </row>
    <row r="61" spans="1:20" ht="11.1" customHeight="1" x14ac:dyDescent="0.25">
      <c r="O61" s="59" t="s">
        <v>436</v>
      </c>
      <c r="P61" s="62">
        <v>945.18</v>
      </c>
      <c r="Q61" s="63">
        <v>19</v>
      </c>
      <c r="R61" s="62">
        <v>100.34</v>
      </c>
      <c r="S61" s="61">
        <v>0</v>
      </c>
      <c r="T61" s="62">
        <v>0</v>
      </c>
    </row>
    <row r="62" spans="1:20" ht="11.1" customHeight="1" x14ac:dyDescent="0.25">
      <c r="A62" s="56">
        <v>109072</v>
      </c>
      <c r="B62" s="72">
        <v>46041</v>
      </c>
      <c r="C62" s="68">
        <v>46041</v>
      </c>
      <c r="D62" s="58" t="s">
        <v>647</v>
      </c>
      <c r="E62" s="59" t="s">
        <v>352</v>
      </c>
      <c r="F62" s="56">
        <v>36</v>
      </c>
      <c r="G62" s="73">
        <v>231</v>
      </c>
      <c r="H62" s="74" t="s">
        <v>642</v>
      </c>
      <c r="I62" s="59" t="s">
        <v>643</v>
      </c>
      <c r="J62" s="59" t="s">
        <v>644</v>
      </c>
      <c r="K62" s="69">
        <v>6102</v>
      </c>
      <c r="L62" s="56">
        <v>238</v>
      </c>
      <c r="M62" s="59" t="s">
        <v>34</v>
      </c>
      <c r="N62" s="61">
        <v>657.11</v>
      </c>
      <c r="O62" s="59" t="s">
        <v>313</v>
      </c>
      <c r="P62" s="62">
        <v>657.11</v>
      </c>
      <c r="Q62" s="63">
        <v>12</v>
      </c>
      <c r="R62" s="62">
        <v>78.86</v>
      </c>
      <c r="S62" s="61">
        <v>0</v>
      </c>
      <c r="T62" s="62">
        <v>0</v>
      </c>
    </row>
    <row r="63" spans="1:20" ht="11.1" customHeight="1" x14ac:dyDescent="0.25">
      <c r="A63" s="56">
        <v>109080</v>
      </c>
      <c r="B63" s="72">
        <v>46041</v>
      </c>
      <c r="C63" s="68">
        <v>46041</v>
      </c>
      <c r="D63" s="58" t="s">
        <v>648</v>
      </c>
      <c r="E63" s="59" t="s">
        <v>352</v>
      </c>
      <c r="F63" s="56">
        <v>36</v>
      </c>
      <c r="G63" s="73">
        <v>231</v>
      </c>
      <c r="H63" s="74" t="s">
        <v>642</v>
      </c>
      <c r="I63" s="59" t="s">
        <v>643</v>
      </c>
      <c r="J63" s="59" t="s">
        <v>644</v>
      </c>
      <c r="K63" s="69">
        <v>6102</v>
      </c>
      <c r="L63" s="56">
        <v>238</v>
      </c>
      <c r="M63" s="59" t="s">
        <v>34</v>
      </c>
      <c r="N63" s="61">
        <v>27.9</v>
      </c>
      <c r="O63" s="59" t="s">
        <v>313</v>
      </c>
      <c r="P63" s="62">
        <v>27.9</v>
      </c>
      <c r="Q63" s="63">
        <v>12</v>
      </c>
      <c r="R63" s="62">
        <v>3.35</v>
      </c>
      <c r="S63" s="61">
        <v>0</v>
      </c>
      <c r="T63" s="62">
        <v>0</v>
      </c>
    </row>
    <row r="64" spans="1:20" ht="11.1" customHeight="1" x14ac:dyDescent="0.25">
      <c r="A64" s="56">
        <v>109401</v>
      </c>
      <c r="B64" s="72">
        <v>46045</v>
      </c>
      <c r="C64" s="68">
        <v>46045</v>
      </c>
      <c r="D64" s="58" t="s">
        <v>649</v>
      </c>
      <c r="E64" s="59" t="s">
        <v>352</v>
      </c>
      <c r="F64" s="56">
        <v>36</v>
      </c>
      <c r="G64" s="73">
        <v>231</v>
      </c>
      <c r="H64" s="74" t="s">
        <v>642</v>
      </c>
      <c r="I64" s="59" t="s">
        <v>643</v>
      </c>
      <c r="J64" s="59" t="s">
        <v>644</v>
      </c>
      <c r="K64" s="69">
        <v>6403</v>
      </c>
      <c r="L64" s="56">
        <v>207</v>
      </c>
      <c r="M64" s="59" t="s">
        <v>34</v>
      </c>
      <c r="N64" s="61">
        <v>145.15</v>
      </c>
      <c r="O64" s="59" t="s">
        <v>313</v>
      </c>
      <c r="P64" s="62">
        <v>126</v>
      </c>
      <c r="Q64" s="63">
        <v>12</v>
      </c>
      <c r="R64" s="62">
        <v>15.12</v>
      </c>
      <c r="S64" s="61">
        <v>0</v>
      </c>
      <c r="T64" s="62">
        <v>19.149999999999999</v>
      </c>
    </row>
    <row r="65" spans="1:20" ht="11.1" customHeight="1" x14ac:dyDescent="0.25">
      <c r="O65" s="59" t="s">
        <v>436</v>
      </c>
      <c r="P65" s="62">
        <v>180.36</v>
      </c>
      <c r="Q65" s="63">
        <v>19</v>
      </c>
      <c r="R65" s="62">
        <v>19.149999999999999</v>
      </c>
      <c r="S65" s="61">
        <v>0</v>
      </c>
      <c r="T65" s="62">
        <v>0</v>
      </c>
    </row>
    <row r="66" spans="1:20" ht="11.1" customHeight="1" x14ac:dyDescent="0.25">
      <c r="A66" s="56">
        <v>109402</v>
      </c>
      <c r="B66" s="72">
        <v>46045</v>
      </c>
      <c r="C66" s="68">
        <v>46045</v>
      </c>
      <c r="D66" s="58" t="s">
        <v>649</v>
      </c>
      <c r="E66" s="59" t="s">
        <v>352</v>
      </c>
      <c r="F66" s="56">
        <v>36</v>
      </c>
      <c r="G66" s="73">
        <v>231</v>
      </c>
      <c r="H66" s="74" t="s">
        <v>642</v>
      </c>
      <c r="I66" s="59" t="s">
        <v>643</v>
      </c>
      <c r="J66" s="59" t="s">
        <v>644</v>
      </c>
      <c r="K66" s="69">
        <v>6102</v>
      </c>
      <c r="L66" s="56">
        <v>238</v>
      </c>
      <c r="M66" s="59" t="s">
        <v>34</v>
      </c>
      <c r="N66" s="61">
        <v>386.85</v>
      </c>
      <c r="O66" s="59" t="s">
        <v>313</v>
      </c>
      <c r="P66" s="62">
        <v>386.85</v>
      </c>
      <c r="Q66" s="63">
        <v>12</v>
      </c>
      <c r="R66" s="62">
        <v>46.42</v>
      </c>
      <c r="S66" s="61">
        <v>0</v>
      </c>
      <c r="T66" s="62">
        <v>0</v>
      </c>
    </row>
    <row r="67" spans="1:20" ht="11.1" customHeight="1" x14ac:dyDescent="0.25">
      <c r="A67" s="56">
        <v>109581</v>
      </c>
      <c r="B67" s="72">
        <v>46050</v>
      </c>
      <c r="C67" s="68">
        <v>46050</v>
      </c>
      <c r="D67" s="58" t="s">
        <v>650</v>
      </c>
      <c r="E67" s="59" t="s">
        <v>352</v>
      </c>
      <c r="F67" s="56">
        <v>36</v>
      </c>
      <c r="G67" s="73">
        <v>231</v>
      </c>
      <c r="H67" s="74" t="s">
        <v>642</v>
      </c>
      <c r="I67" s="59" t="s">
        <v>643</v>
      </c>
      <c r="J67" s="59" t="s">
        <v>644</v>
      </c>
      <c r="K67" s="69">
        <v>6102</v>
      </c>
      <c r="L67" s="56">
        <v>238</v>
      </c>
      <c r="M67" s="59" t="s">
        <v>34</v>
      </c>
      <c r="N67" s="61">
        <v>516.57000000000005</v>
      </c>
      <c r="O67" s="59" t="s">
        <v>313</v>
      </c>
      <c r="P67" s="62">
        <v>516.57000000000005</v>
      </c>
      <c r="Q67" s="63">
        <v>12</v>
      </c>
      <c r="R67" s="62">
        <v>61.98</v>
      </c>
      <c r="S67" s="61">
        <v>0</v>
      </c>
      <c r="T67" s="62">
        <v>0</v>
      </c>
    </row>
    <row r="68" spans="1:20" ht="11.85" customHeight="1" x14ac:dyDescent="0.25">
      <c r="A68" s="71" t="s">
        <v>620</v>
      </c>
      <c r="B68" s="71"/>
      <c r="C68" s="71"/>
      <c r="D68" s="71"/>
      <c r="E68" s="71"/>
      <c r="F68" s="71"/>
      <c r="G68" s="71"/>
      <c r="H68" s="71"/>
    </row>
    <row r="69" spans="1:20" ht="11.1" customHeight="1" x14ac:dyDescent="0.25">
      <c r="O69" s="59" t="s">
        <v>313</v>
      </c>
      <c r="P69" s="62">
        <v>3643.05</v>
      </c>
      <c r="R69" s="62">
        <v>437.17</v>
      </c>
      <c r="S69" s="61">
        <v>0</v>
      </c>
      <c r="T69" s="62">
        <v>171.06</v>
      </c>
    </row>
    <row r="70" spans="1:20" ht="11.1" customHeight="1" x14ac:dyDescent="0.25">
      <c r="O70" s="59" t="s">
        <v>436</v>
      </c>
      <c r="P70" s="62">
        <v>1611.33</v>
      </c>
      <c r="R70" s="62">
        <v>171.06</v>
      </c>
      <c r="S70" s="61">
        <v>0</v>
      </c>
      <c r="T70" s="62">
        <v>0</v>
      </c>
    </row>
    <row r="71" spans="1:20" ht="11.1" customHeight="1" x14ac:dyDescent="0.25">
      <c r="A71" s="56">
        <v>108676</v>
      </c>
      <c r="B71" s="72">
        <v>46030</v>
      </c>
      <c r="C71" s="68">
        <v>46030</v>
      </c>
      <c r="D71" s="58" t="s">
        <v>651</v>
      </c>
      <c r="E71" s="59" t="s">
        <v>352</v>
      </c>
      <c r="F71" s="56">
        <v>36</v>
      </c>
      <c r="G71" s="73">
        <v>343</v>
      </c>
      <c r="H71" s="74" t="s">
        <v>652</v>
      </c>
      <c r="I71" s="59" t="s">
        <v>653</v>
      </c>
      <c r="J71" s="59" t="s">
        <v>654</v>
      </c>
      <c r="K71" s="69">
        <v>6403</v>
      </c>
      <c r="L71" s="56">
        <v>207</v>
      </c>
      <c r="M71" s="59" t="s">
        <v>34</v>
      </c>
      <c r="N71" s="61">
        <v>358.9</v>
      </c>
      <c r="O71" s="59" t="s">
        <v>313</v>
      </c>
      <c r="P71" s="62">
        <v>311.56</v>
      </c>
      <c r="Q71" s="63">
        <v>12</v>
      </c>
      <c r="R71" s="62">
        <v>37.39</v>
      </c>
      <c r="S71" s="61">
        <v>0</v>
      </c>
      <c r="T71" s="62">
        <v>47.34</v>
      </c>
    </row>
    <row r="72" spans="1:20" ht="11.1" customHeight="1" x14ac:dyDescent="0.25">
      <c r="O72" s="59" t="s">
        <v>436</v>
      </c>
      <c r="P72" s="62">
        <v>445.97</v>
      </c>
      <c r="Q72" s="63">
        <v>19</v>
      </c>
      <c r="R72" s="62">
        <v>47.34</v>
      </c>
      <c r="S72" s="61">
        <v>0</v>
      </c>
      <c r="T72" s="62">
        <v>0</v>
      </c>
    </row>
    <row r="73" spans="1:20" ht="11.1" customHeight="1" x14ac:dyDescent="0.25">
      <c r="A73" s="56">
        <v>108677</v>
      </c>
      <c r="B73" s="72">
        <v>46030</v>
      </c>
      <c r="C73" s="68">
        <v>46030</v>
      </c>
      <c r="D73" s="58" t="s">
        <v>651</v>
      </c>
      <c r="E73" s="59" t="s">
        <v>352</v>
      </c>
      <c r="F73" s="56">
        <v>36</v>
      </c>
      <c r="G73" s="73">
        <v>343</v>
      </c>
      <c r="H73" s="74" t="s">
        <v>652</v>
      </c>
      <c r="I73" s="59" t="s">
        <v>653</v>
      </c>
      <c r="J73" s="59" t="s">
        <v>654</v>
      </c>
      <c r="K73" s="69">
        <v>6102</v>
      </c>
      <c r="L73" s="56">
        <v>238</v>
      </c>
      <c r="M73" s="59" t="s">
        <v>34</v>
      </c>
      <c r="N73" s="61">
        <v>463.15</v>
      </c>
      <c r="O73" s="59" t="s">
        <v>313</v>
      </c>
      <c r="P73" s="62">
        <v>463.15</v>
      </c>
      <c r="Q73" s="63">
        <v>12</v>
      </c>
      <c r="R73" s="62">
        <v>55.58</v>
      </c>
      <c r="S73" s="61">
        <v>0</v>
      </c>
      <c r="T73" s="62">
        <v>0</v>
      </c>
    </row>
    <row r="74" spans="1:20" ht="11.1" customHeight="1" x14ac:dyDescent="0.25">
      <c r="A74" s="56">
        <v>108687</v>
      </c>
      <c r="B74" s="72">
        <v>46031</v>
      </c>
      <c r="C74" s="68">
        <v>46031</v>
      </c>
      <c r="D74" s="58" t="s">
        <v>655</v>
      </c>
      <c r="E74" s="59" t="s">
        <v>352</v>
      </c>
      <c r="F74" s="56">
        <v>36</v>
      </c>
      <c r="G74" s="73">
        <v>343</v>
      </c>
      <c r="H74" s="74" t="s">
        <v>652</v>
      </c>
      <c r="I74" s="59" t="s">
        <v>653</v>
      </c>
      <c r="J74" s="59" t="s">
        <v>654</v>
      </c>
      <c r="K74" s="69">
        <v>6102</v>
      </c>
      <c r="L74" s="56">
        <v>238</v>
      </c>
      <c r="M74" s="59" t="s">
        <v>34</v>
      </c>
      <c r="N74" s="61">
        <v>179.8</v>
      </c>
      <c r="O74" s="59" t="s">
        <v>313</v>
      </c>
      <c r="P74" s="62">
        <v>179.8</v>
      </c>
      <c r="Q74" s="63">
        <v>12</v>
      </c>
      <c r="R74" s="62">
        <v>21.58</v>
      </c>
      <c r="S74" s="61">
        <v>0</v>
      </c>
      <c r="T74" s="62">
        <v>0</v>
      </c>
    </row>
    <row r="75" spans="1:20" ht="11.85" customHeight="1" x14ac:dyDescent="0.25">
      <c r="A75" s="71" t="s">
        <v>620</v>
      </c>
      <c r="B75" s="71"/>
      <c r="C75" s="71"/>
      <c r="D75" s="71"/>
      <c r="E75" s="71"/>
      <c r="F75" s="71"/>
      <c r="G75" s="71"/>
      <c r="H75" s="71"/>
    </row>
    <row r="76" spans="1:20" ht="11.1" customHeight="1" x14ac:dyDescent="0.25">
      <c r="O76" s="59" t="s">
        <v>313</v>
      </c>
      <c r="P76" s="62">
        <v>954.51</v>
      </c>
      <c r="R76" s="62">
        <v>114.55</v>
      </c>
      <c r="S76" s="61">
        <v>0</v>
      </c>
      <c r="T76" s="62">
        <v>47.34</v>
      </c>
    </row>
    <row r="77" spans="1:20" ht="11.1" customHeight="1" x14ac:dyDescent="0.25">
      <c r="O77" s="59" t="s">
        <v>436</v>
      </c>
      <c r="P77" s="62">
        <v>445.97</v>
      </c>
      <c r="R77" s="62">
        <v>47.34</v>
      </c>
      <c r="S77" s="61">
        <v>0</v>
      </c>
      <c r="T77" s="62">
        <v>0</v>
      </c>
    </row>
    <row r="78" spans="1:20" ht="11.1" customHeight="1" x14ac:dyDescent="0.25">
      <c r="A78" s="56">
        <v>108649</v>
      </c>
      <c r="B78" s="72">
        <v>46030</v>
      </c>
      <c r="C78" s="68">
        <v>46030</v>
      </c>
      <c r="D78" s="58" t="s">
        <v>656</v>
      </c>
      <c r="E78" s="59" t="s">
        <v>352</v>
      </c>
      <c r="F78" s="56">
        <v>36</v>
      </c>
      <c r="G78" s="73">
        <v>378</v>
      </c>
      <c r="H78" s="74" t="s">
        <v>657</v>
      </c>
      <c r="I78" s="59" t="s">
        <v>658</v>
      </c>
      <c r="J78" s="59" t="s">
        <v>659</v>
      </c>
      <c r="K78" s="69">
        <v>6403</v>
      </c>
      <c r="L78" s="56">
        <v>207</v>
      </c>
      <c r="M78" s="59" t="s">
        <v>34</v>
      </c>
      <c r="N78" s="61">
        <v>277.05</v>
      </c>
      <c r="O78" s="59" t="s">
        <v>313</v>
      </c>
      <c r="P78" s="62">
        <v>240.5</v>
      </c>
      <c r="Q78" s="63">
        <v>12</v>
      </c>
      <c r="R78" s="62">
        <v>28.86</v>
      </c>
      <c r="S78" s="61">
        <v>0</v>
      </c>
      <c r="T78" s="62">
        <v>36.549999999999997</v>
      </c>
    </row>
    <row r="79" spans="1:20" ht="11.1" customHeight="1" x14ac:dyDescent="0.25">
      <c r="O79" s="59" t="s">
        <v>436</v>
      </c>
      <c r="P79" s="62">
        <v>344.25</v>
      </c>
      <c r="Q79" s="63">
        <v>19</v>
      </c>
      <c r="R79" s="62">
        <v>36.549999999999997</v>
      </c>
      <c r="S79" s="61">
        <v>0</v>
      </c>
      <c r="T79" s="62">
        <v>0</v>
      </c>
    </row>
    <row r="80" spans="1:20" ht="11.1" customHeight="1" x14ac:dyDescent="0.25">
      <c r="A80" s="56">
        <v>108650</v>
      </c>
      <c r="B80" s="72">
        <v>46030</v>
      </c>
      <c r="C80" s="68">
        <v>46030</v>
      </c>
      <c r="D80" s="58" t="s">
        <v>656</v>
      </c>
      <c r="E80" s="59" t="s">
        <v>352</v>
      </c>
      <c r="F80" s="56">
        <v>36</v>
      </c>
      <c r="G80" s="73">
        <v>378</v>
      </c>
      <c r="H80" s="74" t="s">
        <v>657</v>
      </c>
      <c r="I80" s="59" t="s">
        <v>658</v>
      </c>
      <c r="J80" s="59" t="s">
        <v>659</v>
      </c>
      <c r="K80" s="69">
        <v>6102</v>
      </c>
      <c r="L80" s="56">
        <v>238</v>
      </c>
      <c r="M80" s="59" t="s">
        <v>34</v>
      </c>
      <c r="N80" s="61">
        <v>60.34</v>
      </c>
      <c r="O80" s="59" t="s">
        <v>313</v>
      </c>
      <c r="P80" s="62">
        <v>60.34</v>
      </c>
      <c r="Q80" s="63">
        <v>12</v>
      </c>
      <c r="R80" s="62">
        <v>7.24</v>
      </c>
      <c r="S80" s="61">
        <v>0</v>
      </c>
      <c r="T80" s="62">
        <v>0</v>
      </c>
    </row>
    <row r="81" spans="1:20" ht="11.85" customHeight="1" x14ac:dyDescent="0.25">
      <c r="A81" s="71" t="s">
        <v>620</v>
      </c>
      <c r="B81" s="71"/>
      <c r="C81" s="71"/>
      <c r="D81" s="71"/>
      <c r="E81" s="71"/>
      <c r="F81" s="71"/>
      <c r="G81" s="71"/>
      <c r="H81" s="71"/>
    </row>
    <row r="82" spans="1:20" ht="11.1" customHeight="1" x14ac:dyDescent="0.25">
      <c r="O82" s="59" t="s">
        <v>313</v>
      </c>
      <c r="P82" s="62">
        <v>300.83999999999997</v>
      </c>
      <c r="R82" s="62">
        <v>36.1</v>
      </c>
      <c r="S82" s="61">
        <v>0</v>
      </c>
      <c r="T82" s="62">
        <v>36.549999999999997</v>
      </c>
    </row>
    <row r="83" spans="1:20" ht="11.1" customHeight="1" x14ac:dyDescent="0.25">
      <c r="O83" s="59" t="s">
        <v>436</v>
      </c>
      <c r="P83" s="62">
        <v>344.25</v>
      </c>
      <c r="R83" s="62">
        <v>36.549999999999997</v>
      </c>
      <c r="S83" s="61">
        <v>0</v>
      </c>
      <c r="T83" s="62">
        <v>0</v>
      </c>
    </row>
    <row r="84" spans="1:20" ht="11.1" customHeight="1" x14ac:dyDescent="0.25">
      <c r="A84" s="56">
        <v>108473</v>
      </c>
      <c r="B84" s="72">
        <v>46027</v>
      </c>
      <c r="C84" s="68">
        <v>46027</v>
      </c>
      <c r="D84" s="58" t="s">
        <v>660</v>
      </c>
      <c r="E84" s="59" t="s">
        <v>352</v>
      </c>
      <c r="F84" s="56">
        <v>36</v>
      </c>
      <c r="G84" s="73">
        <v>712</v>
      </c>
      <c r="H84" s="74" t="s">
        <v>661</v>
      </c>
      <c r="I84" s="59" t="s">
        <v>662</v>
      </c>
      <c r="J84" s="59" t="s">
        <v>663</v>
      </c>
      <c r="K84" s="69">
        <v>5102</v>
      </c>
      <c r="L84" s="56">
        <v>205</v>
      </c>
      <c r="M84" s="59" t="s">
        <v>26</v>
      </c>
      <c r="N84" s="61">
        <v>528.97</v>
      </c>
      <c r="O84" s="59" t="s">
        <v>313</v>
      </c>
      <c r="P84" s="62">
        <v>528.97</v>
      </c>
      <c r="Q84" s="63">
        <v>20</v>
      </c>
      <c r="R84" s="62">
        <v>105.8</v>
      </c>
      <c r="S84" s="61">
        <v>0</v>
      </c>
      <c r="T84" s="62">
        <v>0</v>
      </c>
    </row>
    <row r="85" spans="1:20" ht="11.1" customHeight="1" x14ac:dyDescent="0.25">
      <c r="A85" s="56">
        <v>108474</v>
      </c>
      <c r="B85" s="72">
        <v>46027</v>
      </c>
      <c r="C85" s="68">
        <v>46027</v>
      </c>
      <c r="D85" s="58" t="s">
        <v>660</v>
      </c>
      <c r="E85" s="59" t="s">
        <v>352</v>
      </c>
      <c r="F85" s="56">
        <v>36</v>
      </c>
      <c r="G85" s="73">
        <v>712</v>
      </c>
      <c r="H85" s="74" t="s">
        <v>661</v>
      </c>
      <c r="I85" s="59" t="s">
        <v>662</v>
      </c>
      <c r="J85" s="59" t="s">
        <v>663</v>
      </c>
      <c r="K85" s="69">
        <v>5403</v>
      </c>
      <c r="L85" s="56">
        <v>207</v>
      </c>
      <c r="M85" s="59" t="s">
        <v>26</v>
      </c>
      <c r="N85" s="61">
        <v>28.84</v>
      </c>
      <c r="O85" s="59" t="s">
        <v>313</v>
      </c>
      <c r="P85" s="62">
        <v>26.95</v>
      </c>
      <c r="Q85" s="63">
        <v>20</v>
      </c>
      <c r="R85" s="62">
        <v>5.39</v>
      </c>
      <c r="S85" s="61">
        <v>0</v>
      </c>
      <c r="T85" s="62">
        <v>1.89</v>
      </c>
    </row>
    <row r="86" spans="1:20" ht="11.1" customHeight="1" x14ac:dyDescent="0.25">
      <c r="O86" s="59" t="s">
        <v>436</v>
      </c>
      <c r="P86" s="62">
        <v>36.380000000000003</v>
      </c>
      <c r="Q86" s="63">
        <v>20</v>
      </c>
      <c r="R86" s="62">
        <v>1.89</v>
      </c>
      <c r="S86" s="61">
        <v>0</v>
      </c>
      <c r="T86" s="62">
        <v>0</v>
      </c>
    </row>
    <row r="87" spans="1:20" ht="11.1" customHeight="1" x14ac:dyDescent="0.25">
      <c r="A87" s="56">
        <v>108798</v>
      </c>
      <c r="B87" s="72">
        <v>46034</v>
      </c>
      <c r="C87" s="68">
        <v>46034</v>
      </c>
      <c r="D87" s="58" t="s">
        <v>664</v>
      </c>
      <c r="E87" s="59" t="s">
        <v>352</v>
      </c>
      <c r="F87" s="56">
        <v>36</v>
      </c>
      <c r="G87" s="73">
        <v>712</v>
      </c>
      <c r="H87" s="74" t="s">
        <v>661</v>
      </c>
      <c r="I87" s="59" t="s">
        <v>662</v>
      </c>
      <c r="J87" s="59" t="s">
        <v>663</v>
      </c>
      <c r="K87" s="69">
        <v>5102</v>
      </c>
      <c r="L87" s="56">
        <v>205</v>
      </c>
      <c r="M87" s="59" t="s">
        <v>26</v>
      </c>
      <c r="N87" s="61">
        <v>189.38</v>
      </c>
      <c r="O87" s="59" t="s">
        <v>313</v>
      </c>
      <c r="P87" s="62">
        <v>189.38</v>
      </c>
      <c r="Q87" s="63">
        <v>20</v>
      </c>
      <c r="R87" s="62">
        <v>37.880000000000003</v>
      </c>
      <c r="S87" s="61">
        <v>0</v>
      </c>
      <c r="T87" s="62">
        <v>0</v>
      </c>
    </row>
    <row r="88" spans="1:20" ht="11.1" customHeight="1" x14ac:dyDescent="0.25">
      <c r="A88" s="56">
        <v>108799</v>
      </c>
      <c r="B88" s="72">
        <v>46034</v>
      </c>
      <c r="C88" s="68">
        <v>46034</v>
      </c>
      <c r="D88" s="58" t="s">
        <v>664</v>
      </c>
      <c r="E88" s="59" t="s">
        <v>352</v>
      </c>
      <c r="F88" s="56">
        <v>36</v>
      </c>
      <c r="G88" s="73">
        <v>712</v>
      </c>
      <c r="H88" s="74" t="s">
        <v>661</v>
      </c>
      <c r="I88" s="59" t="s">
        <v>662</v>
      </c>
      <c r="J88" s="59" t="s">
        <v>663</v>
      </c>
      <c r="K88" s="69">
        <v>5403</v>
      </c>
      <c r="L88" s="56">
        <v>207</v>
      </c>
      <c r="M88" s="59" t="s">
        <v>26</v>
      </c>
      <c r="N88" s="61">
        <v>567.78</v>
      </c>
      <c r="O88" s="59" t="s">
        <v>313</v>
      </c>
      <c r="P88" s="62">
        <v>530.64</v>
      </c>
      <c r="Q88" s="63">
        <v>20</v>
      </c>
      <c r="R88" s="62">
        <v>106.13</v>
      </c>
      <c r="S88" s="61">
        <v>0</v>
      </c>
      <c r="T88" s="62">
        <v>37.14</v>
      </c>
    </row>
    <row r="89" spans="1:20" ht="11.1" customHeight="1" x14ac:dyDescent="0.25">
      <c r="O89" s="59" t="s">
        <v>436</v>
      </c>
      <c r="P89" s="62">
        <v>716.36</v>
      </c>
      <c r="Q89" s="63">
        <v>20</v>
      </c>
      <c r="R89" s="62">
        <v>37.14</v>
      </c>
      <c r="S89" s="61">
        <v>0</v>
      </c>
      <c r="T89" s="62">
        <v>0</v>
      </c>
    </row>
    <row r="90" spans="1:20" ht="11.1" customHeight="1" x14ac:dyDescent="0.25">
      <c r="A90" s="56">
        <v>109439</v>
      </c>
      <c r="B90" s="72">
        <v>46048</v>
      </c>
      <c r="C90" s="68">
        <v>46048</v>
      </c>
      <c r="D90" s="58" t="s">
        <v>665</v>
      </c>
      <c r="E90" s="59" t="s">
        <v>352</v>
      </c>
      <c r="F90" s="56">
        <v>36</v>
      </c>
      <c r="G90" s="73">
        <v>712</v>
      </c>
      <c r="H90" s="74" t="s">
        <v>661</v>
      </c>
      <c r="I90" s="59" t="s">
        <v>662</v>
      </c>
      <c r="J90" s="59" t="s">
        <v>663</v>
      </c>
      <c r="K90" s="69">
        <v>5102</v>
      </c>
      <c r="L90" s="56">
        <v>205</v>
      </c>
      <c r="M90" s="59" t="s">
        <v>26</v>
      </c>
      <c r="N90" s="61">
        <v>424.09</v>
      </c>
      <c r="O90" s="59" t="s">
        <v>313</v>
      </c>
      <c r="P90" s="62">
        <v>424.09</v>
      </c>
      <c r="Q90" s="63">
        <v>20</v>
      </c>
      <c r="R90" s="62">
        <v>84.83</v>
      </c>
      <c r="S90" s="61">
        <v>0</v>
      </c>
      <c r="T90" s="62">
        <v>0</v>
      </c>
    </row>
    <row r="91" spans="1:20" ht="11.1" customHeight="1" x14ac:dyDescent="0.25">
      <c r="A91" s="56">
        <v>109440</v>
      </c>
      <c r="B91" s="72">
        <v>46048</v>
      </c>
      <c r="C91" s="68">
        <v>46048</v>
      </c>
      <c r="D91" s="58" t="s">
        <v>665</v>
      </c>
      <c r="E91" s="59" t="s">
        <v>352</v>
      </c>
      <c r="F91" s="56">
        <v>36</v>
      </c>
      <c r="G91" s="73">
        <v>712</v>
      </c>
      <c r="H91" s="74" t="s">
        <v>661</v>
      </c>
      <c r="I91" s="59" t="s">
        <v>662</v>
      </c>
      <c r="J91" s="59" t="s">
        <v>663</v>
      </c>
      <c r="K91" s="69">
        <v>5403</v>
      </c>
      <c r="L91" s="56">
        <v>207</v>
      </c>
      <c r="M91" s="59" t="s">
        <v>26</v>
      </c>
      <c r="N91" s="61">
        <v>515.42999999999995</v>
      </c>
      <c r="O91" s="59" t="s">
        <v>313</v>
      </c>
      <c r="P91" s="62">
        <v>481.71</v>
      </c>
      <c r="Q91" s="63">
        <v>20</v>
      </c>
      <c r="R91" s="62">
        <v>96.34</v>
      </c>
      <c r="S91" s="61">
        <v>0</v>
      </c>
      <c r="T91" s="62">
        <v>33.72</v>
      </c>
    </row>
    <row r="92" spans="1:20" ht="11.1" customHeight="1" x14ac:dyDescent="0.25">
      <c r="O92" s="59" t="s">
        <v>436</v>
      </c>
      <c r="P92" s="62">
        <v>650.30999999999995</v>
      </c>
      <c r="Q92" s="63">
        <v>20</v>
      </c>
      <c r="R92" s="62">
        <v>33.72</v>
      </c>
      <c r="S92" s="61">
        <v>0</v>
      </c>
      <c r="T92" s="62">
        <v>0</v>
      </c>
    </row>
    <row r="93" spans="1:20" ht="11.85" customHeight="1" x14ac:dyDescent="0.25">
      <c r="A93" s="71" t="s">
        <v>620</v>
      </c>
      <c r="B93" s="71"/>
      <c r="C93" s="71"/>
      <c r="D93" s="71"/>
      <c r="E93" s="71"/>
      <c r="F93" s="71"/>
      <c r="G93" s="71"/>
      <c r="H93" s="71"/>
    </row>
    <row r="94" spans="1:20" ht="11.1" customHeight="1" x14ac:dyDescent="0.25">
      <c r="O94" s="59" t="s">
        <v>313</v>
      </c>
      <c r="P94" s="62">
        <v>2181.7399999999998</v>
      </c>
      <c r="R94" s="62">
        <v>436.37</v>
      </c>
      <c r="S94" s="61">
        <v>0</v>
      </c>
      <c r="T94" s="62">
        <v>72.75</v>
      </c>
    </row>
    <row r="95" spans="1:20" ht="11.1" customHeight="1" x14ac:dyDescent="0.25">
      <c r="O95" s="59" t="s">
        <v>436</v>
      </c>
      <c r="P95" s="62">
        <v>1403.05</v>
      </c>
      <c r="R95" s="62">
        <v>72.75</v>
      </c>
      <c r="S95" s="61">
        <v>0</v>
      </c>
      <c r="T95" s="62">
        <v>0</v>
      </c>
    </row>
    <row r="96" spans="1:20" ht="11.1" customHeight="1" x14ac:dyDescent="0.25">
      <c r="A96" s="56">
        <v>108940</v>
      </c>
      <c r="B96" s="72">
        <v>46037</v>
      </c>
      <c r="C96" s="68">
        <v>46037</v>
      </c>
      <c r="D96" s="58" t="s">
        <v>666</v>
      </c>
      <c r="E96" s="59" t="s">
        <v>352</v>
      </c>
      <c r="F96" s="56">
        <v>36</v>
      </c>
      <c r="G96" s="73">
        <v>830</v>
      </c>
      <c r="H96" s="74" t="s">
        <v>667</v>
      </c>
      <c r="I96" s="59" t="s">
        <v>668</v>
      </c>
      <c r="J96" s="59" t="s">
        <v>669</v>
      </c>
      <c r="K96" s="69">
        <v>5102</v>
      </c>
      <c r="L96" s="56">
        <v>205</v>
      </c>
      <c r="M96" s="59" t="s">
        <v>26</v>
      </c>
      <c r="N96" s="61">
        <v>794.64</v>
      </c>
      <c r="O96" s="59" t="s">
        <v>313</v>
      </c>
      <c r="P96" s="62">
        <v>794.64</v>
      </c>
      <c r="Q96" s="63">
        <v>20</v>
      </c>
      <c r="R96" s="62">
        <v>158.93</v>
      </c>
      <c r="S96" s="61">
        <v>0</v>
      </c>
      <c r="T96" s="62">
        <v>0</v>
      </c>
    </row>
    <row r="97" spans="1:20" ht="11.1" customHeight="1" x14ac:dyDescent="0.25">
      <c r="A97" s="56">
        <v>108941</v>
      </c>
      <c r="B97" s="72">
        <v>46037</v>
      </c>
      <c r="C97" s="68">
        <v>46037</v>
      </c>
      <c r="D97" s="58" t="s">
        <v>666</v>
      </c>
      <c r="E97" s="59" t="s">
        <v>352</v>
      </c>
      <c r="F97" s="56">
        <v>36</v>
      </c>
      <c r="G97" s="73">
        <v>830</v>
      </c>
      <c r="H97" s="74" t="s">
        <v>667</v>
      </c>
      <c r="I97" s="59" t="s">
        <v>668</v>
      </c>
      <c r="J97" s="59" t="s">
        <v>669</v>
      </c>
      <c r="K97" s="69">
        <v>5403</v>
      </c>
      <c r="L97" s="56">
        <v>207</v>
      </c>
      <c r="M97" s="59" t="s">
        <v>26</v>
      </c>
      <c r="N97" s="61">
        <v>508.8</v>
      </c>
      <c r="O97" s="59" t="s">
        <v>313</v>
      </c>
      <c r="P97" s="62">
        <v>475.51</v>
      </c>
      <c r="Q97" s="63">
        <v>20</v>
      </c>
      <c r="R97" s="62">
        <v>95.1</v>
      </c>
      <c r="S97" s="61">
        <v>0</v>
      </c>
      <c r="T97" s="62">
        <v>33.29</v>
      </c>
    </row>
    <row r="98" spans="1:20" ht="11.1" customHeight="1" x14ac:dyDescent="0.25">
      <c r="O98" s="59" t="s">
        <v>436</v>
      </c>
      <c r="P98" s="62">
        <v>641.94000000000005</v>
      </c>
      <c r="Q98" s="63">
        <v>20</v>
      </c>
      <c r="R98" s="62">
        <v>33.29</v>
      </c>
      <c r="S98" s="61">
        <v>0</v>
      </c>
      <c r="T98" s="62">
        <v>0</v>
      </c>
    </row>
    <row r="99" spans="1:20" ht="11.1" customHeight="1" x14ac:dyDescent="0.25">
      <c r="A99" s="56">
        <v>109041</v>
      </c>
      <c r="B99" s="72">
        <v>46038</v>
      </c>
      <c r="C99" s="68">
        <v>46038</v>
      </c>
      <c r="D99" s="58" t="s">
        <v>670</v>
      </c>
      <c r="E99" s="59" t="s">
        <v>352</v>
      </c>
      <c r="F99" s="56">
        <v>36</v>
      </c>
      <c r="G99" s="73">
        <v>830</v>
      </c>
      <c r="H99" s="74" t="s">
        <v>667</v>
      </c>
      <c r="I99" s="59" t="s">
        <v>668</v>
      </c>
      <c r="J99" s="59" t="s">
        <v>669</v>
      </c>
      <c r="K99" s="69">
        <v>5102</v>
      </c>
      <c r="L99" s="56">
        <v>205</v>
      </c>
      <c r="M99" s="59" t="s">
        <v>26</v>
      </c>
      <c r="N99" s="61">
        <v>71.959999999999994</v>
      </c>
      <c r="O99" s="59" t="s">
        <v>313</v>
      </c>
      <c r="P99" s="62">
        <v>71.959999999999994</v>
      </c>
      <c r="Q99" s="63">
        <v>20</v>
      </c>
      <c r="R99" s="62">
        <v>14.39</v>
      </c>
      <c r="S99" s="61">
        <v>0</v>
      </c>
      <c r="T99" s="62">
        <v>0</v>
      </c>
    </row>
    <row r="100" spans="1:20" ht="11.1" customHeight="1" x14ac:dyDescent="0.25">
      <c r="A100" s="56">
        <v>109042</v>
      </c>
      <c r="B100" s="72">
        <v>46038</v>
      </c>
      <c r="C100" s="68">
        <v>46038</v>
      </c>
      <c r="D100" s="58" t="s">
        <v>670</v>
      </c>
      <c r="E100" s="59" t="s">
        <v>352</v>
      </c>
      <c r="F100" s="56">
        <v>36</v>
      </c>
      <c r="G100" s="73">
        <v>830</v>
      </c>
      <c r="H100" s="74" t="s">
        <v>667</v>
      </c>
      <c r="I100" s="59" t="s">
        <v>668</v>
      </c>
      <c r="J100" s="59" t="s">
        <v>669</v>
      </c>
      <c r="K100" s="69">
        <v>5403</v>
      </c>
      <c r="L100" s="56">
        <v>207</v>
      </c>
      <c r="M100" s="59" t="s">
        <v>26</v>
      </c>
      <c r="N100" s="61">
        <v>60.87</v>
      </c>
      <c r="O100" s="59" t="s">
        <v>313</v>
      </c>
      <c r="P100" s="62">
        <v>56.89</v>
      </c>
      <c r="Q100" s="63">
        <v>20</v>
      </c>
      <c r="R100" s="62">
        <v>11.38</v>
      </c>
      <c r="S100" s="61">
        <v>0</v>
      </c>
      <c r="T100" s="62">
        <v>3.98</v>
      </c>
    </row>
    <row r="101" spans="1:20" ht="11.1" customHeight="1" x14ac:dyDescent="0.25">
      <c r="O101" s="59" t="s">
        <v>436</v>
      </c>
      <c r="P101" s="62">
        <v>76.8</v>
      </c>
      <c r="Q101" s="63">
        <v>20</v>
      </c>
      <c r="R101" s="62">
        <v>3.98</v>
      </c>
      <c r="S101" s="61">
        <v>0</v>
      </c>
      <c r="T101" s="62">
        <v>0</v>
      </c>
    </row>
    <row r="102" spans="1:20" ht="11.1" customHeight="1" x14ac:dyDescent="0.25">
      <c r="A102" s="56">
        <v>109142</v>
      </c>
      <c r="B102" s="72">
        <v>46042</v>
      </c>
      <c r="C102" s="68">
        <v>46042</v>
      </c>
      <c r="D102" s="58" t="s">
        <v>671</v>
      </c>
      <c r="E102" s="59" t="s">
        <v>352</v>
      </c>
      <c r="F102" s="56">
        <v>36</v>
      </c>
      <c r="G102" s="73">
        <v>830</v>
      </c>
      <c r="H102" s="74" t="s">
        <v>667</v>
      </c>
      <c r="I102" s="59" t="s">
        <v>668</v>
      </c>
      <c r="J102" s="59" t="s">
        <v>669</v>
      </c>
      <c r="K102" s="69">
        <v>5102</v>
      </c>
      <c r="L102" s="56">
        <v>205</v>
      </c>
      <c r="M102" s="59" t="s">
        <v>26</v>
      </c>
      <c r="N102" s="61">
        <v>212.39</v>
      </c>
      <c r="O102" s="59" t="s">
        <v>313</v>
      </c>
      <c r="P102" s="62">
        <v>212.39</v>
      </c>
      <c r="Q102" s="63">
        <v>20</v>
      </c>
      <c r="R102" s="62">
        <v>42.47</v>
      </c>
      <c r="S102" s="61">
        <v>0</v>
      </c>
      <c r="T102" s="62">
        <v>0</v>
      </c>
    </row>
    <row r="103" spans="1:20" ht="11.1" customHeight="1" x14ac:dyDescent="0.25">
      <c r="A103" s="56">
        <v>109143</v>
      </c>
      <c r="B103" s="72">
        <v>46042</v>
      </c>
      <c r="C103" s="68">
        <v>46042</v>
      </c>
      <c r="D103" s="58" t="s">
        <v>671</v>
      </c>
      <c r="E103" s="59" t="s">
        <v>352</v>
      </c>
      <c r="F103" s="56">
        <v>36</v>
      </c>
      <c r="G103" s="73">
        <v>830</v>
      </c>
      <c r="H103" s="74" t="s">
        <v>667</v>
      </c>
      <c r="I103" s="59" t="s">
        <v>668</v>
      </c>
      <c r="J103" s="59" t="s">
        <v>669</v>
      </c>
      <c r="K103" s="69">
        <v>5403</v>
      </c>
      <c r="L103" s="56">
        <v>207</v>
      </c>
      <c r="M103" s="59" t="s">
        <v>26</v>
      </c>
      <c r="N103" s="61">
        <v>160.15</v>
      </c>
      <c r="O103" s="59" t="s">
        <v>313</v>
      </c>
      <c r="P103" s="62">
        <v>149.66999999999999</v>
      </c>
      <c r="Q103" s="63">
        <v>20</v>
      </c>
      <c r="R103" s="62">
        <v>29.93</v>
      </c>
      <c r="S103" s="61">
        <v>0</v>
      </c>
      <c r="T103" s="62">
        <v>10.48</v>
      </c>
    </row>
    <row r="104" spans="1:20" ht="11.1" customHeight="1" x14ac:dyDescent="0.25">
      <c r="O104" s="59" t="s">
        <v>436</v>
      </c>
      <c r="P104" s="62">
        <v>202.05</v>
      </c>
      <c r="Q104" s="63">
        <v>20</v>
      </c>
      <c r="R104" s="62">
        <v>10.48</v>
      </c>
      <c r="S104" s="61">
        <v>0</v>
      </c>
      <c r="T104" s="62">
        <v>0</v>
      </c>
    </row>
    <row r="105" spans="1:20" ht="11.1" customHeight="1" x14ac:dyDescent="0.25">
      <c r="A105" s="56">
        <v>109277</v>
      </c>
      <c r="B105" s="72">
        <v>46044</v>
      </c>
      <c r="C105" s="68">
        <v>46044</v>
      </c>
      <c r="D105" s="58" t="s">
        <v>672</v>
      </c>
      <c r="E105" s="59" t="s">
        <v>352</v>
      </c>
      <c r="F105" s="56">
        <v>36</v>
      </c>
      <c r="G105" s="73">
        <v>830</v>
      </c>
      <c r="H105" s="74" t="s">
        <v>667</v>
      </c>
      <c r="I105" s="59" t="s">
        <v>668</v>
      </c>
      <c r="J105" s="59" t="s">
        <v>669</v>
      </c>
      <c r="K105" s="69">
        <v>5102</v>
      </c>
      <c r="L105" s="56">
        <v>205</v>
      </c>
      <c r="M105" s="59" t="s">
        <v>26</v>
      </c>
      <c r="N105" s="61">
        <v>460.89</v>
      </c>
      <c r="O105" s="59" t="s">
        <v>313</v>
      </c>
      <c r="P105" s="62">
        <v>460.89</v>
      </c>
      <c r="Q105" s="63">
        <v>20</v>
      </c>
      <c r="R105" s="62">
        <v>92.18</v>
      </c>
      <c r="S105" s="61">
        <v>0</v>
      </c>
      <c r="T105" s="62">
        <v>0</v>
      </c>
    </row>
    <row r="106" spans="1:20" ht="11.1" customHeight="1" x14ac:dyDescent="0.25">
      <c r="A106" s="56">
        <v>109278</v>
      </c>
      <c r="B106" s="72">
        <v>46044</v>
      </c>
      <c r="C106" s="68">
        <v>46044</v>
      </c>
      <c r="D106" s="58" t="s">
        <v>672</v>
      </c>
      <c r="E106" s="59" t="s">
        <v>352</v>
      </c>
      <c r="F106" s="56">
        <v>36</v>
      </c>
      <c r="G106" s="73">
        <v>830</v>
      </c>
      <c r="H106" s="74" t="s">
        <v>667</v>
      </c>
      <c r="I106" s="59" t="s">
        <v>668</v>
      </c>
      <c r="J106" s="59" t="s">
        <v>669</v>
      </c>
      <c r="K106" s="69">
        <v>5403</v>
      </c>
      <c r="L106" s="56">
        <v>207</v>
      </c>
      <c r="M106" s="59" t="s">
        <v>26</v>
      </c>
      <c r="N106" s="61">
        <v>25.51</v>
      </c>
      <c r="O106" s="59" t="s">
        <v>313</v>
      </c>
      <c r="P106" s="62">
        <v>23.84</v>
      </c>
      <c r="Q106" s="63">
        <v>20</v>
      </c>
      <c r="R106" s="62">
        <v>4.7699999999999996</v>
      </c>
      <c r="S106" s="61">
        <v>0</v>
      </c>
      <c r="T106" s="62">
        <v>1.67</v>
      </c>
    </row>
    <row r="107" spans="1:20" ht="11.1" customHeight="1" x14ac:dyDescent="0.25">
      <c r="O107" s="59" t="s">
        <v>436</v>
      </c>
      <c r="P107" s="62">
        <v>32.18</v>
      </c>
      <c r="Q107" s="63">
        <v>20</v>
      </c>
      <c r="R107" s="62">
        <v>1.67</v>
      </c>
      <c r="S107" s="61">
        <v>0</v>
      </c>
      <c r="T107" s="62">
        <v>0</v>
      </c>
    </row>
    <row r="108" spans="1:20" ht="11.1" customHeight="1" x14ac:dyDescent="0.25">
      <c r="A108" s="56">
        <v>109543</v>
      </c>
      <c r="B108" s="72">
        <v>46050</v>
      </c>
      <c r="C108" s="68">
        <v>46050</v>
      </c>
      <c r="D108" s="58" t="s">
        <v>673</v>
      </c>
      <c r="E108" s="59" t="s">
        <v>352</v>
      </c>
      <c r="F108" s="56">
        <v>36</v>
      </c>
      <c r="G108" s="73">
        <v>830</v>
      </c>
      <c r="H108" s="74" t="s">
        <v>667</v>
      </c>
      <c r="I108" s="59" t="s">
        <v>668</v>
      </c>
      <c r="J108" s="59" t="s">
        <v>669</v>
      </c>
      <c r="K108" s="69">
        <v>5102</v>
      </c>
      <c r="L108" s="56">
        <v>205</v>
      </c>
      <c r="M108" s="59" t="s">
        <v>26</v>
      </c>
      <c r="N108" s="61">
        <v>127.98</v>
      </c>
      <c r="O108" s="59" t="s">
        <v>313</v>
      </c>
      <c r="P108" s="62">
        <v>127.98</v>
      </c>
      <c r="Q108" s="63">
        <v>20</v>
      </c>
      <c r="R108" s="62">
        <v>25.6</v>
      </c>
      <c r="S108" s="61">
        <v>0</v>
      </c>
      <c r="T108" s="62">
        <v>0</v>
      </c>
    </row>
    <row r="109" spans="1:20" ht="11.1" customHeight="1" x14ac:dyDescent="0.25">
      <c r="A109" s="56">
        <v>109544</v>
      </c>
      <c r="B109" s="72">
        <v>46050</v>
      </c>
      <c r="C109" s="68">
        <v>46050</v>
      </c>
      <c r="D109" s="58" t="s">
        <v>673</v>
      </c>
      <c r="E109" s="59" t="s">
        <v>352</v>
      </c>
      <c r="F109" s="56">
        <v>36</v>
      </c>
      <c r="G109" s="73">
        <v>830</v>
      </c>
      <c r="H109" s="74" t="s">
        <v>667</v>
      </c>
      <c r="I109" s="59" t="s">
        <v>668</v>
      </c>
      <c r="J109" s="59" t="s">
        <v>669</v>
      </c>
      <c r="K109" s="69">
        <v>5403</v>
      </c>
      <c r="L109" s="56">
        <v>207</v>
      </c>
      <c r="M109" s="59" t="s">
        <v>26</v>
      </c>
      <c r="N109" s="61">
        <v>137.68</v>
      </c>
      <c r="O109" s="59" t="s">
        <v>313</v>
      </c>
      <c r="P109" s="62">
        <v>128.66999999999999</v>
      </c>
      <c r="Q109" s="63">
        <v>20</v>
      </c>
      <c r="R109" s="62">
        <v>25.73</v>
      </c>
      <c r="S109" s="61">
        <v>0</v>
      </c>
      <c r="T109" s="62">
        <v>9.01</v>
      </c>
    </row>
    <row r="110" spans="1:20" ht="11.1" customHeight="1" x14ac:dyDescent="0.25">
      <c r="O110" s="59" t="s">
        <v>436</v>
      </c>
      <c r="P110" s="62">
        <v>173.7</v>
      </c>
      <c r="Q110" s="63">
        <v>20</v>
      </c>
      <c r="R110" s="62">
        <v>9.01</v>
      </c>
      <c r="S110" s="61">
        <v>0</v>
      </c>
      <c r="T110" s="62">
        <v>0</v>
      </c>
    </row>
    <row r="111" spans="1:20" ht="11.1" customHeight="1" x14ac:dyDescent="0.25">
      <c r="A111" s="56">
        <v>109579</v>
      </c>
      <c r="B111" s="72">
        <v>46050</v>
      </c>
      <c r="C111" s="68">
        <v>46050</v>
      </c>
      <c r="D111" s="58" t="s">
        <v>674</v>
      </c>
      <c r="E111" s="59" t="s">
        <v>352</v>
      </c>
      <c r="F111" s="56">
        <v>36</v>
      </c>
      <c r="G111" s="73">
        <v>830</v>
      </c>
      <c r="H111" s="74" t="s">
        <v>667</v>
      </c>
      <c r="I111" s="59" t="s">
        <v>668</v>
      </c>
      <c r="J111" s="59" t="s">
        <v>669</v>
      </c>
      <c r="K111" s="69">
        <v>5102</v>
      </c>
      <c r="L111" s="56">
        <v>205</v>
      </c>
      <c r="M111" s="59" t="s">
        <v>26</v>
      </c>
      <c r="N111" s="61">
        <v>35.14</v>
      </c>
      <c r="O111" s="59" t="s">
        <v>313</v>
      </c>
      <c r="P111" s="62">
        <v>35.14</v>
      </c>
      <c r="Q111" s="63">
        <v>20</v>
      </c>
      <c r="R111" s="62">
        <v>7.03</v>
      </c>
      <c r="S111" s="61">
        <v>0</v>
      </c>
      <c r="T111" s="62">
        <v>0</v>
      </c>
    </row>
    <row r="112" spans="1:20" ht="11.1" customHeight="1" x14ac:dyDescent="0.25">
      <c r="A112" s="56">
        <v>109647</v>
      </c>
      <c r="B112" s="72">
        <v>46051</v>
      </c>
      <c r="C112" s="68">
        <v>46051</v>
      </c>
      <c r="D112" s="58" t="s">
        <v>675</v>
      </c>
      <c r="E112" s="59" t="s">
        <v>352</v>
      </c>
      <c r="F112" s="56">
        <v>36</v>
      </c>
      <c r="G112" s="73">
        <v>830</v>
      </c>
      <c r="H112" s="74" t="s">
        <v>667</v>
      </c>
      <c r="I112" s="59" t="s">
        <v>668</v>
      </c>
      <c r="J112" s="59" t="s">
        <v>669</v>
      </c>
      <c r="K112" s="69">
        <v>5102</v>
      </c>
      <c r="L112" s="56">
        <v>205</v>
      </c>
      <c r="M112" s="59" t="s">
        <v>26</v>
      </c>
      <c r="N112" s="61">
        <v>298.02</v>
      </c>
      <c r="O112" s="59" t="s">
        <v>313</v>
      </c>
      <c r="P112" s="62">
        <v>298.02</v>
      </c>
      <c r="Q112" s="63">
        <v>20</v>
      </c>
      <c r="R112" s="62">
        <v>59.6</v>
      </c>
      <c r="S112" s="61">
        <v>0</v>
      </c>
      <c r="T112" s="62">
        <v>0</v>
      </c>
    </row>
    <row r="113" spans="1:20" ht="11.1" customHeight="1" x14ac:dyDescent="0.25">
      <c r="A113" s="56">
        <v>109648</v>
      </c>
      <c r="B113" s="72">
        <v>46051</v>
      </c>
      <c r="C113" s="68">
        <v>46051</v>
      </c>
      <c r="D113" s="58" t="s">
        <v>675</v>
      </c>
      <c r="E113" s="59" t="s">
        <v>352</v>
      </c>
      <c r="F113" s="56">
        <v>36</v>
      </c>
      <c r="G113" s="73">
        <v>830</v>
      </c>
      <c r="H113" s="74" t="s">
        <v>667</v>
      </c>
      <c r="I113" s="59" t="s">
        <v>668</v>
      </c>
      <c r="J113" s="59" t="s">
        <v>669</v>
      </c>
      <c r="K113" s="69">
        <v>5403</v>
      </c>
      <c r="L113" s="56">
        <v>207</v>
      </c>
      <c r="M113" s="59" t="s">
        <v>26</v>
      </c>
      <c r="N113" s="61">
        <v>345.62</v>
      </c>
      <c r="O113" s="59" t="s">
        <v>313</v>
      </c>
      <c r="P113" s="62">
        <v>323.01</v>
      </c>
      <c r="Q113" s="63">
        <v>20</v>
      </c>
      <c r="R113" s="62">
        <v>64.599999999999994</v>
      </c>
      <c r="S113" s="61">
        <v>0</v>
      </c>
      <c r="T113" s="62">
        <v>22.61</v>
      </c>
    </row>
    <row r="114" spans="1:20" ht="11.1" customHeight="1" x14ac:dyDescent="0.25">
      <c r="O114" s="59" t="s">
        <v>436</v>
      </c>
      <c r="P114" s="62">
        <v>436.06</v>
      </c>
      <c r="Q114" s="63">
        <v>20</v>
      </c>
      <c r="R114" s="62">
        <v>22.61</v>
      </c>
      <c r="S114" s="61">
        <v>0</v>
      </c>
      <c r="T114" s="62">
        <v>0</v>
      </c>
    </row>
    <row r="115" spans="1:20" ht="11.85" customHeight="1" x14ac:dyDescent="0.25">
      <c r="A115" s="71" t="s">
        <v>620</v>
      </c>
      <c r="B115" s="71"/>
      <c r="C115" s="71"/>
      <c r="D115" s="71"/>
      <c r="E115" s="71"/>
      <c r="F115" s="71"/>
      <c r="G115" s="71"/>
      <c r="H115" s="71"/>
    </row>
    <row r="116" spans="1:20" ht="11.1" customHeight="1" x14ac:dyDescent="0.25">
      <c r="O116" s="59" t="s">
        <v>313</v>
      </c>
      <c r="P116" s="62">
        <v>3158.61</v>
      </c>
      <c r="R116" s="62">
        <v>631.71</v>
      </c>
      <c r="S116" s="61">
        <v>0</v>
      </c>
      <c r="T116" s="62">
        <v>81.040000000000006</v>
      </c>
    </row>
    <row r="117" spans="1:20" ht="11.1" customHeight="1" x14ac:dyDescent="0.25">
      <c r="O117" s="59" t="s">
        <v>436</v>
      </c>
      <c r="P117" s="62">
        <v>1562.73</v>
      </c>
      <c r="R117" s="62">
        <v>81.040000000000006</v>
      </c>
      <c r="S117" s="61">
        <v>0</v>
      </c>
      <c r="T117" s="62">
        <v>0</v>
      </c>
    </row>
    <row r="118" spans="1:20" ht="11.1" customHeight="1" x14ac:dyDescent="0.25">
      <c r="A118" s="56">
        <v>108735</v>
      </c>
      <c r="B118" s="72">
        <v>46031</v>
      </c>
      <c r="C118" s="68">
        <v>46031</v>
      </c>
      <c r="D118" s="58" t="s">
        <v>676</v>
      </c>
      <c r="E118" s="59" t="s">
        <v>352</v>
      </c>
      <c r="F118" s="56">
        <v>36</v>
      </c>
      <c r="G118" s="73">
        <v>914</v>
      </c>
      <c r="H118" s="74" t="s">
        <v>355</v>
      </c>
      <c r="I118" s="59" t="s">
        <v>677</v>
      </c>
      <c r="J118" s="59" t="s">
        <v>75</v>
      </c>
      <c r="K118" s="69">
        <v>6108</v>
      </c>
      <c r="L118" s="56">
        <v>237</v>
      </c>
      <c r="M118" s="59" t="s">
        <v>34</v>
      </c>
      <c r="N118" s="61">
        <v>32.07</v>
      </c>
      <c r="O118" s="59" t="s">
        <v>313</v>
      </c>
      <c r="P118" s="62">
        <v>32.07</v>
      </c>
      <c r="Q118" s="63">
        <v>12</v>
      </c>
      <c r="R118" s="62">
        <v>3.84</v>
      </c>
      <c r="S118" s="61">
        <v>0</v>
      </c>
      <c r="T118" s="62">
        <v>0</v>
      </c>
    </row>
    <row r="119" spans="1:20" ht="11.1" customHeight="1" x14ac:dyDescent="0.25">
      <c r="A119" s="56">
        <v>108827</v>
      </c>
      <c r="B119" s="72">
        <v>46035</v>
      </c>
      <c r="C119" s="68">
        <v>46035</v>
      </c>
      <c r="D119" s="58" t="s">
        <v>678</v>
      </c>
      <c r="E119" s="59" t="s">
        <v>352</v>
      </c>
      <c r="F119" s="56">
        <v>36</v>
      </c>
      <c r="G119" s="73">
        <v>914</v>
      </c>
      <c r="H119" s="74" t="s">
        <v>355</v>
      </c>
      <c r="I119" s="59" t="s">
        <v>677</v>
      </c>
      <c r="J119" s="59" t="s">
        <v>75</v>
      </c>
      <c r="K119" s="69">
        <v>6108</v>
      </c>
      <c r="L119" s="56">
        <v>237</v>
      </c>
      <c r="M119" s="59" t="s">
        <v>34</v>
      </c>
      <c r="N119" s="61">
        <v>18.8</v>
      </c>
      <c r="O119" s="59" t="s">
        <v>313</v>
      </c>
      <c r="P119" s="62">
        <v>18.8</v>
      </c>
      <c r="Q119" s="63">
        <v>12</v>
      </c>
      <c r="R119" s="62">
        <v>2.2599999999999998</v>
      </c>
      <c r="S119" s="61">
        <v>0</v>
      </c>
      <c r="T119" s="62">
        <v>0</v>
      </c>
    </row>
    <row r="120" spans="1:20" ht="11.85" customHeight="1" x14ac:dyDescent="0.25">
      <c r="A120" s="71" t="s">
        <v>620</v>
      </c>
      <c r="B120" s="71"/>
      <c r="C120" s="71"/>
      <c r="D120" s="71"/>
      <c r="E120" s="71"/>
      <c r="F120" s="71"/>
      <c r="G120" s="71"/>
      <c r="H120" s="71"/>
    </row>
    <row r="121" spans="1:20" ht="11.1" customHeight="1" x14ac:dyDescent="0.25">
      <c r="O121" s="59" t="s">
        <v>313</v>
      </c>
      <c r="P121" s="62">
        <v>50.87</v>
      </c>
      <c r="R121" s="62">
        <v>6.1</v>
      </c>
      <c r="S121" s="61">
        <v>0</v>
      </c>
      <c r="T121" s="62">
        <v>0</v>
      </c>
    </row>
    <row r="122" spans="1:20" ht="11.1" customHeight="1" x14ac:dyDescent="0.25">
      <c r="A122" s="56">
        <v>109215</v>
      </c>
      <c r="B122" s="72">
        <v>46043</v>
      </c>
      <c r="C122" s="68">
        <v>46043</v>
      </c>
      <c r="D122" s="58" t="s">
        <v>679</v>
      </c>
      <c r="E122" s="59" t="s">
        <v>352</v>
      </c>
      <c r="F122" s="56">
        <v>36</v>
      </c>
      <c r="G122" s="73">
        <v>877</v>
      </c>
      <c r="H122" s="74" t="s">
        <v>680</v>
      </c>
      <c r="I122" s="59" t="s">
        <v>681</v>
      </c>
      <c r="J122" s="59" t="s">
        <v>682</v>
      </c>
      <c r="K122" s="69">
        <v>5102</v>
      </c>
      <c r="L122" s="56">
        <v>205</v>
      </c>
      <c r="M122" s="59" t="s">
        <v>26</v>
      </c>
      <c r="N122" s="61">
        <v>775.32</v>
      </c>
      <c r="O122" s="59" t="s">
        <v>313</v>
      </c>
      <c r="P122" s="62">
        <v>775.32</v>
      </c>
      <c r="Q122" s="63">
        <v>20</v>
      </c>
      <c r="R122" s="62">
        <v>155.06</v>
      </c>
      <c r="S122" s="61">
        <v>0</v>
      </c>
      <c r="T122" s="62">
        <v>0</v>
      </c>
    </row>
    <row r="123" spans="1:20" ht="11.1" customHeight="1" x14ac:dyDescent="0.25">
      <c r="A123" s="56">
        <v>109223</v>
      </c>
      <c r="B123" s="72">
        <v>46043</v>
      </c>
      <c r="C123" s="68">
        <v>46043</v>
      </c>
      <c r="D123" s="58" t="s">
        <v>683</v>
      </c>
      <c r="E123" s="59" t="s">
        <v>352</v>
      </c>
      <c r="F123" s="56">
        <v>36</v>
      </c>
      <c r="G123" s="73">
        <v>877</v>
      </c>
      <c r="H123" s="74" t="s">
        <v>680</v>
      </c>
      <c r="I123" s="59" t="s">
        <v>681</v>
      </c>
      <c r="J123" s="59" t="s">
        <v>682</v>
      </c>
      <c r="K123" s="69">
        <v>5102</v>
      </c>
      <c r="L123" s="56">
        <v>205</v>
      </c>
      <c r="M123" s="59" t="s">
        <v>26</v>
      </c>
      <c r="N123" s="61">
        <v>633.42999999999995</v>
      </c>
      <c r="O123" s="59" t="s">
        <v>313</v>
      </c>
      <c r="P123" s="62">
        <v>633.42999999999995</v>
      </c>
      <c r="Q123" s="63">
        <v>20</v>
      </c>
      <c r="R123" s="62">
        <v>126.69</v>
      </c>
      <c r="S123" s="61">
        <v>0</v>
      </c>
      <c r="T123" s="62">
        <v>0</v>
      </c>
    </row>
    <row r="124" spans="1:20" ht="11.1" customHeight="1" x14ac:dyDescent="0.25">
      <c r="A124" s="56">
        <v>109669</v>
      </c>
      <c r="B124" s="72">
        <v>46052</v>
      </c>
      <c r="C124" s="68">
        <v>46052</v>
      </c>
      <c r="D124" s="58" t="s">
        <v>684</v>
      </c>
      <c r="E124" s="59" t="s">
        <v>352</v>
      </c>
      <c r="F124" s="56">
        <v>36</v>
      </c>
      <c r="G124" s="73">
        <v>877</v>
      </c>
      <c r="H124" s="74" t="s">
        <v>680</v>
      </c>
      <c r="I124" s="59" t="s">
        <v>681</v>
      </c>
      <c r="J124" s="59" t="s">
        <v>682</v>
      </c>
      <c r="K124" s="69">
        <v>5102</v>
      </c>
      <c r="L124" s="56">
        <v>205</v>
      </c>
      <c r="M124" s="59" t="s">
        <v>26</v>
      </c>
      <c r="N124" s="61">
        <v>1158.44</v>
      </c>
      <c r="O124" s="59" t="s">
        <v>313</v>
      </c>
      <c r="P124" s="62">
        <v>1158.44</v>
      </c>
      <c r="Q124" s="63">
        <v>20</v>
      </c>
      <c r="R124" s="62">
        <v>231.68</v>
      </c>
      <c r="S124" s="61">
        <v>0</v>
      </c>
      <c r="T124" s="62">
        <v>0</v>
      </c>
    </row>
    <row r="125" spans="1:20" ht="11.85" customHeight="1" x14ac:dyDescent="0.25">
      <c r="A125" s="71" t="s">
        <v>620</v>
      </c>
      <c r="B125" s="71"/>
      <c r="C125" s="71"/>
      <c r="D125" s="71"/>
      <c r="E125" s="71"/>
      <c r="F125" s="71"/>
      <c r="G125" s="71"/>
      <c r="H125" s="71"/>
    </row>
    <row r="126" spans="1:20" ht="11.1" customHeight="1" x14ac:dyDescent="0.25">
      <c r="O126" s="59" t="s">
        <v>313</v>
      </c>
      <c r="P126" s="62">
        <v>2567.19</v>
      </c>
      <c r="R126" s="62">
        <v>513.42999999999995</v>
      </c>
      <c r="S126" s="61">
        <v>0</v>
      </c>
      <c r="T126" s="62">
        <v>0</v>
      </c>
    </row>
    <row r="127" spans="1:20" ht="11.1" customHeight="1" x14ac:dyDescent="0.25">
      <c r="A127" s="56">
        <v>108621</v>
      </c>
      <c r="B127" s="72">
        <v>46030</v>
      </c>
      <c r="C127" s="68">
        <v>46030</v>
      </c>
      <c r="D127" s="58" t="s">
        <v>685</v>
      </c>
      <c r="E127" s="59" t="s">
        <v>352</v>
      </c>
      <c r="F127" s="56">
        <v>36</v>
      </c>
      <c r="G127" s="73">
        <v>366</v>
      </c>
      <c r="H127" s="74" t="s">
        <v>686</v>
      </c>
      <c r="I127" s="59" t="s">
        <v>687</v>
      </c>
      <c r="J127" s="59" t="s">
        <v>688</v>
      </c>
      <c r="K127" s="69">
        <v>5102</v>
      </c>
      <c r="L127" s="56">
        <v>205</v>
      </c>
      <c r="M127" s="59" t="s">
        <v>26</v>
      </c>
      <c r="N127" s="61">
        <v>1185.6199999999999</v>
      </c>
      <c r="O127" s="59" t="s">
        <v>313</v>
      </c>
      <c r="P127" s="62">
        <v>1185.6199999999999</v>
      </c>
      <c r="Q127" s="63">
        <v>20</v>
      </c>
      <c r="R127" s="62">
        <v>237.13</v>
      </c>
      <c r="S127" s="61">
        <v>0</v>
      </c>
      <c r="T127" s="62">
        <v>0</v>
      </c>
    </row>
    <row r="128" spans="1:20" ht="11.1" customHeight="1" x14ac:dyDescent="0.25">
      <c r="A128" s="56">
        <v>108622</v>
      </c>
      <c r="B128" s="72">
        <v>46030</v>
      </c>
      <c r="C128" s="68">
        <v>46030</v>
      </c>
      <c r="D128" s="58" t="s">
        <v>685</v>
      </c>
      <c r="E128" s="59" t="s">
        <v>352</v>
      </c>
      <c r="F128" s="56">
        <v>36</v>
      </c>
      <c r="G128" s="73">
        <v>366</v>
      </c>
      <c r="H128" s="74" t="s">
        <v>686</v>
      </c>
      <c r="I128" s="59" t="s">
        <v>687</v>
      </c>
      <c r="J128" s="59" t="s">
        <v>688</v>
      </c>
      <c r="K128" s="69">
        <v>5403</v>
      </c>
      <c r="L128" s="56">
        <v>207</v>
      </c>
      <c r="M128" s="59" t="s">
        <v>26</v>
      </c>
      <c r="N128" s="61">
        <v>260.61</v>
      </c>
      <c r="O128" s="59" t="s">
        <v>313</v>
      </c>
      <c r="P128" s="62">
        <v>243.56</v>
      </c>
      <c r="Q128" s="63">
        <v>20</v>
      </c>
      <c r="R128" s="62">
        <v>48.71</v>
      </c>
      <c r="S128" s="61">
        <v>0</v>
      </c>
      <c r="T128" s="62">
        <v>17.05</v>
      </c>
    </row>
    <row r="129" spans="1:20" ht="11.1" customHeight="1" x14ac:dyDescent="0.25">
      <c r="O129" s="59" t="s">
        <v>436</v>
      </c>
      <c r="P129" s="62">
        <v>328.81</v>
      </c>
      <c r="Q129" s="63">
        <v>20</v>
      </c>
      <c r="R129" s="62">
        <v>17.05</v>
      </c>
      <c r="S129" s="61">
        <v>0</v>
      </c>
      <c r="T129" s="62">
        <v>0</v>
      </c>
    </row>
    <row r="130" spans="1:20" ht="11.1" customHeight="1" x14ac:dyDescent="0.25">
      <c r="A130" s="56">
        <v>109411</v>
      </c>
      <c r="B130" s="72">
        <v>46048</v>
      </c>
      <c r="C130" s="68">
        <v>46048</v>
      </c>
      <c r="D130" s="58" t="s">
        <v>689</v>
      </c>
      <c r="E130" s="59" t="s">
        <v>352</v>
      </c>
      <c r="F130" s="56">
        <v>36</v>
      </c>
      <c r="G130" s="73">
        <v>366</v>
      </c>
      <c r="H130" s="74" t="s">
        <v>686</v>
      </c>
      <c r="I130" s="59" t="s">
        <v>687</v>
      </c>
      <c r="J130" s="59" t="s">
        <v>688</v>
      </c>
      <c r="K130" s="69">
        <v>5102</v>
      </c>
      <c r="L130" s="56">
        <v>205</v>
      </c>
      <c r="M130" s="59" t="s">
        <v>26</v>
      </c>
      <c r="N130" s="61">
        <v>1337.44</v>
      </c>
      <c r="O130" s="59" t="s">
        <v>313</v>
      </c>
      <c r="P130" s="62">
        <v>1337.44</v>
      </c>
      <c r="Q130" s="63">
        <v>20</v>
      </c>
      <c r="R130" s="62">
        <v>267.49</v>
      </c>
      <c r="S130" s="61">
        <v>0</v>
      </c>
      <c r="T130" s="62">
        <v>0</v>
      </c>
    </row>
    <row r="131" spans="1:20" ht="11.1" customHeight="1" x14ac:dyDescent="0.25">
      <c r="A131" s="56">
        <v>109412</v>
      </c>
      <c r="B131" s="72">
        <v>46048</v>
      </c>
      <c r="C131" s="68">
        <v>46048</v>
      </c>
      <c r="D131" s="58" t="s">
        <v>689</v>
      </c>
      <c r="E131" s="59" t="s">
        <v>352</v>
      </c>
      <c r="F131" s="56">
        <v>36</v>
      </c>
      <c r="G131" s="73">
        <v>366</v>
      </c>
      <c r="H131" s="74" t="s">
        <v>686</v>
      </c>
      <c r="I131" s="59" t="s">
        <v>687</v>
      </c>
      <c r="J131" s="59" t="s">
        <v>688</v>
      </c>
      <c r="K131" s="69">
        <v>5403</v>
      </c>
      <c r="L131" s="56">
        <v>207</v>
      </c>
      <c r="M131" s="59" t="s">
        <v>26</v>
      </c>
      <c r="N131" s="61">
        <v>224.7</v>
      </c>
      <c r="O131" s="59" t="s">
        <v>313</v>
      </c>
      <c r="P131" s="62">
        <v>210</v>
      </c>
      <c r="Q131" s="63">
        <v>20</v>
      </c>
      <c r="R131" s="62">
        <v>42</v>
      </c>
      <c r="S131" s="61">
        <v>0</v>
      </c>
      <c r="T131" s="62">
        <v>14.7</v>
      </c>
    </row>
    <row r="132" spans="1:20" ht="11.1" customHeight="1" x14ac:dyDescent="0.25">
      <c r="O132" s="59" t="s">
        <v>436</v>
      </c>
      <c r="P132" s="62">
        <v>283.5</v>
      </c>
      <c r="Q132" s="63">
        <v>20</v>
      </c>
      <c r="R132" s="62">
        <v>14.7</v>
      </c>
      <c r="S132" s="61">
        <v>0</v>
      </c>
      <c r="T132" s="62">
        <v>0</v>
      </c>
    </row>
    <row r="133" spans="1:20" ht="11.85" customHeight="1" x14ac:dyDescent="0.25">
      <c r="A133" s="71" t="s">
        <v>620</v>
      </c>
      <c r="B133" s="71"/>
      <c r="C133" s="71"/>
      <c r="D133" s="71"/>
      <c r="E133" s="71"/>
      <c r="F133" s="71"/>
      <c r="G133" s="71"/>
      <c r="H133" s="71"/>
    </row>
    <row r="134" spans="1:20" ht="11.1" customHeight="1" x14ac:dyDescent="0.25">
      <c r="O134" s="59" t="s">
        <v>313</v>
      </c>
      <c r="P134" s="62">
        <v>2976.62</v>
      </c>
      <c r="R134" s="62">
        <v>595.33000000000004</v>
      </c>
      <c r="S134" s="61">
        <v>0</v>
      </c>
      <c r="T134" s="62">
        <v>31.75</v>
      </c>
    </row>
    <row r="135" spans="1:20" ht="11.1" customHeight="1" x14ac:dyDescent="0.25">
      <c r="O135" s="59" t="s">
        <v>436</v>
      </c>
      <c r="P135" s="62">
        <v>612.30999999999995</v>
      </c>
      <c r="R135" s="62">
        <v>31.75</v>
      </c>
      <c r="S135" s="61">
        <v>0</v>
      </c>
      <c r="T135" s="62">
        <v>0</v>
      </c>
    </row>
    <row r="136" spans="1:20" ht="11.1" customHeight="1" x14ac:dyDescent="0.25">
      <c r="A136" s="56">
        <v>108539</v>
      </c>
      <c r="B136" s="72">
        <v>46028</v>
      </c>
      <c r="C136" s="68">
        <v>46028</v>
      </c>
      <c r="D136" s="58" t="s">
        <v>690</v>
      </c>
      <c r="E136" s="59" t="s">
        <v>352</v>
      </c>
      <c r="F136" s="56">
        <v>36</v>
      </c>
      <c r="G136" s="73">
        <v>663</v>
      </c>
      <c r="H136" s="74" t="s">
        <v>691</v>
      </c>
      <c r="I136" s="59" t="s">
        <v>692</v>
      </c>
      <c r="J136" s="59" t="s">
        <v>693</v>
      </c>
      <c r="K136" s="69">
        <v>6403</v>
      </c>
      <c r="L136" s="56">
        <v>207</v>
      </c>
      <c r="M136" s="59" t="s">
        <v>34</v>
      </c>
      <c r="N136" s="61">
        <v>809.9</v>
      </c>
      <c r="O136" s="59" t="s">
        <v>313</v>
      </c>
      <c r="P136" s="62">
        <v>703.06</v>
      </c>
      <c r="Q136" s="63">
        <v>12</v>
      </c>
      <c r="R136" s="62">
        <v>84.37</v>
      </c>
      <c r="S136" s="61">
        <v>0</v>
      </c>
      <c r="T136" s="62">
        <v>106.84</v>
      </c>
    </row>
    <row r="137" spans="1:20" ht="11.1" customHeight="1" x14ac:dyDescent="0.25">
      <c r="O137" s="59" t="s">
        <v>436</v>
      </c>
      <c r="P137" s="62">
        <v>1006.35</v>
      </c>
      <c r="Q137" s="63">
        <v>19</v>
      </c>
      <c r="R137" s="62">
        <v>106.84</v>
      </c>
      <c r="S137" s="61">
        <v>0</v>
      </c>
      <c r="T137" s="62">
        <v>0</v>
      </c>
    </row>
    <row r="138" spans="1:20" ht="11.1" customHeight="1" x14ac:dyDescent="0.25">
      <c r="A138" s="56">
        <v>108540</v>
      </c>
      <c r="B138" s="72">
        <v>46028</v>
      </c>
      <c r="C138" s="68">
        <v>46028</v>
      </c>
      <c r="D138" s="58" t="s">
        <v>690</v>
      </c>
      <c r="E138" s="59" t="s">
        <v>352</v>
      </c>
      <c r="F138" s="56">
        <v>36</v>
      </c>
      <c r="G138" s="73">
        <v>663</v>
      </c>
      <c r="H138" s="74" t="s">
        <v>691</v>
      </c>
      <c r="I138" s="59" t="s">
        <v>692</v>
      </c>
      <c r="J138" s="59" t="s">
        <v>693</v>
      </c>
      <c r="K138" s="69">
        <v>6102</v>
      </c>
      <c r="L138" s="56">
        <v>238</v>
      </c>
      <c r="M138" s="59" t="s">
        <v>34</v>
      </c>
      <c r="N138" s="61">
        <v>718.35</v>
      </c>
      <c r="O138" s="59" t="s">
        <v>313</v>
      </c>
      <c r="P138" s="62">
        <v>718.35</v>
      </c>
      <c r="Q138" s="63">
        <v>12</v>
      </c>
      <c r="R138" s="62">
        <v>86.2</v>
      </c>
      <c r="S138" s="61">
        <v>0</v>
      </c>
      <c r="T138" s="62">
        <v>0</v>
      </c>
    </row>
    <row r="139" spans="1:20" ht="11.1" customHeight="1" x14ac:dyDescent="0.25">
      <c r="A139" s="56">
        <v>108643</v>
      </c>
      <c r="B139" s="72">
        <v>46030</v>
      </c>
      <c r="C139" s="68">
        <v>46030</v>
      </c>
      <c r="D139" s="58" t="s">
        <v>694</v>
      </c>
      <c r="E139" s="59" t="s">
        <v>352</v>
      </c>
      <c r="F139" s="56">
        <v>36</v>
      </c>
      <c r="G139" s="73">
        <v>663</v>
      </c>
      <c r="H139" s="74" t="s">
        <v>691</v>
      </c>
      <c r="I139" s="59" t="s">
        <v>692</v>
      </c>
      <c r="J139" s="59" t="s">
        <v>693</v>
      </c>
      <c r="K139" s="69">
        <v>6403</v>
      </c>
      <c r="L139" s="56">
        <v>207</v>
      </c>
      <c r="M139" s="59" t="s">
        <v>34</v>
      </c>
      <c r="N139" s="61">
        <v>3589.53</v>
      </c>
      <c r="O139" s="59" t="s">
        <v>313</v>
      </c>
      <c r="P139" s="62">
        <v>3116</v>
      </c>
      <c r="Q139" s="63">
        <v>12</v>
      </c>
      <c r="R139" s="62">
        <v>373.92</v>
      </c>
      <c r="S139" s="61">
        <v>0</v>
      </c>
      <c r="T139" s="62">
        <v>473.53</v>
      </c>
    </row>
    <row r="140" spans="1:20" ht="11.1" customHeight="1" x14ac:dyDescent="0.25">
      <c r="O140" s="59" t="s">
        <v>436</v>
      </c>
      <c r="P140" s="62">
        <v>4460.24</v>
      </c>
      <c r="Q140" s="63">
        <v>19</v>
      </c>
      <c r="R140" s="62">
        <v>473.53</v>
      </c>
      <c r="S140" s="61">
        <v>0</v>
      </c>
      <c r="T140" s="62">
        <v>0</v>
      </c>
    </row>
    <row r="141" spans="1:20" ht="11.1" customHeight="1" x14ac:dyDescent="0.25">
      <c r="A141" s="56">
        <v>109129</v>
      </c>
      <c r="B141" s="72">
        <v>46041</v>
      </c>
      <c r="C141" s="68">
        <v>46041</v>
      </c>
      <c r="D141" s="58" t="s">
        <v>695</v>
      </c>
      <c r="E141" s="59" t="s">
        <v>352</v>
      </c>
      <c r="F141" s="56">
        <v>36</v>
      </c>
      <c r="G141" s="73">
        <v>663</v>
      </c>
      <c r="H141" s="74" t="s">
        <v>691</v>
      </c>
      <c r="I141" s="59" t="s">
        <v>692</v>
      </c>
      <c r="J141" s="59" t="s">
        <v>693</v>
      </c>
      <c r="K141" s="69">
        <v>6403</v>
      </c>
      <c r="L141" s="56">
        <v>207</v>
      </c>
      <c r="M141" s="59" t="s">
        <v>34</v>
      </c>
      <c r="N141" s="61">
        <v>830.57</v>
      </c>
      <c r="O141" s="59" t="s">
        <v>313</v>
      </c>
      <c r="P141" s="62">
        <v>721</v>
      </c>
      <c r="Q141" s="63">
        <v>12</v>
      </c>
      <c r="R141" s="62">
        <v>86.52</v>
      </c>
      <c r="S141" s="61">
        <v>0</v>
      </c>
      <c r="T141" s="62">
        <v>109.57</v>
      </c>
    </row>
    <row r="142" spans="1:20" ht="11.1" customHeight="1" x14ac:dyDescent="0.25">
      <c r="O142" s="59" t="s">
        <v>436</v>
      </c>
      <c r="P142" s="62">
        <v>1032.04</v>
      </c>
      <c r="Q142" s="63">
        <v>19</v>
      </c>
      <c r="R142" s="62">
        <v>109.57</v>
      </c>
      <c r="S142" s="61">
        <v>0</v>
      </c>
      <c r="T142" s="62">
        <v>0</v>
      </c>
    </row>
    <row r="143" spans="1:20" ht="11.1" customHeight="1" x14ac:dyDescent="0.25">
      <c r="A143" s="56">
        <v>109284</v>
      </c>
      <c r="B143" s="72">
        <v>46044</v>
      </c>
      <c r="C143" s="68">
        <v>46044</v>
      </c>
      <c r="D143" s="58" t="s">
        <v>696</v>
      </c>
      <c r="E143" s="59" t="s">
        <v>352</v>
      </c>
      <c r="F143" s="56">
        <v>36</v>
      </c>
      <c r="G143" s="73">
        <v>663</v>
      </c>
      <c r="H143" s="74" t="s">
        <v>691</v>
      </c>
      <c r="I143" s="59" t="s">
        <v>692</v>
      </c>
      <c r="J143" s="59" t="s">
        <v>693</v>
      </c>
      <c r="K143" s="69">
        <v>6403</v>
      </c>
      <c r="L143" s="56">
        <v>207</v>
      </c>
      <c r="M143" s="59" t="s">
        <v>34</v>
      </c>
      <c r="N143" s="61">
        <v>1197.3800000000001</v>
      </c>
      <c r="O143" s="59" t="s">
        <v>313</v>
      </c>
      <c r="P143" s="62">
        <v>1039.42</v>
      </c>
      <c r="Q143" s="63">
        <v>12</v>
      </c>
      <c r="R143" s="62">
        <v>124.73</v>
      </c>
      <c r="S143" s="61">
        <v>0</v>
      </c>
      <c r="T143" s="62">
        <v>157.96</v>
      </c>
    </row>
    <row r="144" spans="1:20" ht="11.1" customHeight="1" x14ac:dyDescent="0.25">
      <c r="O144" s="59" t="s">
        <v>436</v>
      </c>
      <c r="P144" s="62">
        <v>1487.82</v>
      </c>
      <c r="Q144" s="63">
        <v>19</v>
      </c>
      <c r="R144" s="62">
        <v>157.96</v>
      </c>
      <c r="S144" s="61">
        <v>0</v>
      </c>
      <c r="T144" s="62">
        <v>0</v>
      </c>
    </row>
    <row r="145" spans="1:20" ht="11.85" customHeight="1" x14ac:dyDescent="0.25">
      <c r="A145" s="71" t="s">
        <v>620</v>
      </c>
      <c r="B145" s="71"/>
      <c r="C145" s="71"/>
      <c r="D145" s="71"/>
      <c r="E145" s="71"/>
      <c r="F145" s="71"/>
      <c r="G145" s="71"/>
      <c r="H145" s="71"/>
    </row>
    <row r="146" spans="1:20" ht="11.1" customHeight="1" x14ac:dyDescent="0.25">
      <c r="O146" s="59" t="s">
        <v>313</v>
      </c>
      <c r="P146" s="62">
        <v>6297.83</v>
      </c>
      <c r="R146" s="62">
        <v>755.74</v>
      </c>
      <c r="S146" s="61">
        <v>0</v>
      </c>
      <c r="T146" s="62">
        <v>847.9</v>
      </c>
    </row>
    <row r="147" spans="1:20" ht="11.1" customHeight="1" x14ac:dyDescent="0.25">
      <c r="O147" s="59" t="s">
        <v>436</v>
      </c>
      <c r="P147" s="62">
        <v>7986.45</v>
      </c>
      <c r="R147" s="62">
        <v>847.9</v>
      </c>
      <c r="S147" s="61">
        <v>0</v>
      </c>
      <c r="T147" s="62">
        <v>0</v>
      </c>
    </row>
    <row r="148" spans="1:20" ht="11.1" customHeight="1" x14ac:dyDescent="0.25">
      <c r="A148" s="56">
        <v>108668</v>
      </c>
      <c r="B148" s="72">
        <v>46030</v>
      </c>
      <c r="C148" s="68">
        <v>46030</v>
      </c>
      <c r="D148" s="58" t="s">
        <v>697</v>
      </c>
      <c r="E148" s="59" t="s">
        <v>352</v>
      </c>
      <c r="F148" s="56">
        <v>36</v>
      </c>
      <c r="G148" s="73">
        <v>138</v>
      </c>
      <c r="H148" s="74" t="s">
        <v>698</v>
      </c>
      <c r="I148" s="59" t="s">
        <v>699</v>
      </c>
      <c r="J148" s="59" t="s">
        <v>700</v>
      </c>
      <c r="K148" s="69">
        <v>5102</v>
      </c>
      <c r="L148" s="56">
        <v>205</v>
      </c>
      <c r="M148" s="59" t="s">
        <v>26</v>
      </c>
      <c r="N148" s="61">
        <v>4486.32</v>
      </c>
      <c r="O148" s="59" t="s">
        <v>313</v>
      </c>
      <c r="P148" s="62">
        <v>4486.32</v>
      </c>
      <c r="Q148" s="63">
        <v>20</v>
      </c>
      <c r="R148" s="62">
        <v>897.26</v>
      </c>
      <c r="S148" s="61">
        <v>0</v>
      </c>
      <c r="T148" s="62">
        <v>0</v>
      </c>
    </row>
    <row r="149" spans="1:20" ht="11.85" customHeight="1" x14ac:dyDescent="0.25">
      <c r="A149" s="71" t="s">
        <v>620</v>
      </c>
      <c r="B149" s="71"/>
      <c r="C149" s="71"/>
      <c r="D149" s="71"/>
      <c r="E149" s="71"/>
      <c r="F149" s="71"/>
      <c r="G149" s="71"/>
      <c r="H149" s="71"/>
    </row>
    <row r="150" spans="1:20" ht="11.1" customHeight="1" x14ac:dyDescent="0.25">
      <c r="O150" s="59" t="s">
        <v>313</v>
      </c>
      <c r="P150" s="62">
        <v>4486.32</v>
      </c>
      <c r="R150" s="62">
        <v>897.26</v>
      </c>
      <c r="S150" s="61">
        <v>0</v>
      </c>
      <c r="T150" s="62">
        <v>0</v>
      </c>
    </row>
    <row r="151" spans="1:20" ht="11.1" customHeight="1" x14ac:dyDescent="0.25">
      <c r="A151" s="56">
        <v>109510</v>
      </c>
      <c r="B151" s="72">
        <v>46049</v>
      </c>
      <c r="C151" s="68">
        <v>46049</v>
      </c>
      <c r="D151" s="58" t="s">
        <v>701</v>
      </c>
      <c r="E151" s="59" t="s">
        <v>352</v>
      </c>
      <c r="F151" s="56">
        <v>36</v>
      </c>
      <c r="G151" s="73">
        <v>47</v>
      </c>
      <c r="H151" s="74" t="s">
        <v>702</v>
      </c>
      <c r="I151" s="59" t="s">
        <v>703</v>
      </c>
      <c r="J151" s="59" t="s">
        <v>704</v>
      </c>
      <c r="K151" s="69">
        <v>5102</v>
      </c>
      <c r="L151" s="56">
        <v>205</v>
      </c>
      <c r="M151" s="59" t="s">
        <v>26</v>
      </c>
      <c r="N151" s="61">
        <v>584</v>
      </c>
      <c r="O151" s="59" t="s">
        <v>313</v>
      </c>
      <c r="P151" s="62">
        <v>584</v>
      </c>
      <c r="Q151" s="63">
        <v>20</v>
      </c>
      <c r="R151" s="62">
        <v>116.8</v>
      </c>
      <c r="S151" s="61">
        <v>0</v>
      </c>
      <c r="T151" s="62">
        <v>0</v>
      </c>
    </row>
    <row r="152" spans="1:20" ht="11.85" customHeight="1" x14ac:dyDescent="0.25">
      <c r="A152" s="71" t="s">
        <v>620</v>
      </c>
      <c r="B152" s="71"/>
      <c r="C152" s="71"/>
      <c r="D152" s="71"/>
      <c r="E152" s="71"/>
      <c r="F152" s="71"/>
      <c r="G152" s="71"/>
      <c r="H152" s="71"/>
    </row>
    <row r="153" spans="1:20" ht="11.1" customHeight="1" x14ac:dyDescent="0.25">
      <c r="O153" s="59" t="s">
        <v>313</v>
      </c>
      <c r="P153" s="62">
        <v>584</v>
      </c>
      <c r="R153" s="62">
        <v>116.8</v>
      </c>
      <c r="S153" s="61">
        <v>0</v>
      </c>
      <c r="T153" s="62">
        <v>0</v>
      </c>
    </row>
    <row r="154" spans="1:20" ht="11.1" customHeight="1" x14ac:dyDescent="0.25">
      <c r="A154" s="56">
        <v>108485</v>
      </c>
      <c r="B154" s="72">
        <v>46028</v>
      </c>
      <c r="C154" s="68">
        <v>46028</v>
      </c>
      <c r="D154" s="58" t="s">
        <v>705</v>
      </c>
      <c r="E154" s="59" t="s">
        <v>352</v>
      </c>
      <c r="F154" s="56">
        <v>36</v>
      </c>
      <c r="G154" s="73">
        <v>473</v>
      </c>
      <c r="H154" s="74" t="s">
        <v>706</v>
      </c>
      <c r="I154" s="59" t="s">
        <v>707</v>
      </c>
      <c r="J154" s="59" t="s">
        <v>708</v>
      </c>
      <c r="K154" s="69">
        <v>6102</v>
      </c>
      <c r="L154" s="56">
        <v>238</v>
      </c>
      <c r="M154" s="59" t="s">
        <v>34</v>
      </c>
      <c r="N154" s="61">
        <v>610.35</v>
      </c>
      <c r="O154" s="59" t="s">
        <v>313</v>
      </c>
      <c r="P154" s="62">
        <v>610.35</v>
      </c>
      <c r="Q154" s="63">
        <v>12</v>
      </c>
      <c r="R154" s="62">
        <v>73.239999999999995</v>
      </c>
      <c r="S154" s="61">
        <v>0</v>
      </c>
      <c r="T154" s="62">
        <v>0</v>
      </c>
    </row>
    <row r="155" spans="1:20" ht="11.1" customHeight="1" x14ac:dyDescent="0.25">
      <c r="A155" s="56">
        <v>109596</v>
      </c>
      <c r="B155" s="72">
        <v>46051</v>
      </c>
      <c r="C155" s="68">
        <v>46051</v>
      </c>
      <c r="D155" s="58" t="s">
        <v>709</v>
      </c>
      <c r="E155" s="59" t="s">
        <v>352</v>
      </c>
      <c r="F155" s="56">
        <v>36</v>
      </c>
      <c r="G155" s="73">
        <v>473</v>
      </c>
      <c r="H155" s="74" t="s">
        <v>706</v>
      </c>
      <c r="I155" s="59" t="s">
        <v>707</v>
      </c>
      <c r="J155" s="59" t="s">
        <v>708</v>
      </c>
      <c r="K155" s="69">
        <v>6102</v>
      </c>
      <c r="L155" s="56">
        <v>238</v>
      </c>
      <c r="M155" s="59" t="s">
        <v>34</v>
      </c>
      <c r="N155" s="61">
        <v>721.71</v>
      </c>
      <c r="O155" s="59" t="s">
        <v>313</v>
      </c>
      <c r="P155" s="62">
        <v>721.71</v>
      </c>
      <c r="Q155" s="63">
        <v>12</v>
      </c>
      <c r="R155" s="62">
        <v>86.6</v>
      </c>
      <c r="S155" s="61">
        <v>0</v>
      </c>
      <c r="T155" s="62">
        <v>0</v>
      </c>
    </row>
    <row r="156" spans="1:20" ht="11.85" customHeight="1" x14ac:dyDescent="0.25">
      <c r="A156" s="71" t="s">
        <v>620</v>
      </c>
      <c r="B156" s="71"/>
      <c r="C156" s="71"/>
      <c r="D156" s="71"/>
      <c r="E156" s="71"/>
      <c r="F156" s="71"/>
      <c r="G156" s="71"/>
      <c r="H156" s="71"/>
    </row>
    <row r="157" spans="1:20" ht="11.1" customHeight="1" x14ac:dyDescent="0.25">
      <c r="O157" s="59" t="s">
        <v>313</v>
      </c>
      <c r="P157" s="62">
        <v>1332.06</v>
      </c>
      <c r="R157" s="62">
        <v>159.84</v>
      </c>
      <c r="S157" s="61">
        <v>0</v>
      </c>
      <c r="T157" s="62">
        <v>0</v>
      </c>
    </row>
    <row r="158" spans="1:20" ht="11.1" customHeight="1" x14ac:dyDescent="0.25">
      <c r="A158" s="56">
        <v>109323</v>
      </c>
      <c r="B158" s="72">
        <v>46045</v>
      </c>
      <c r="C158" s="68">
        <v>46045</v>
      </c>
      <c r="D158" s="58" t="s">
        <v>710</v>
      </c>
      <c r="E158" s="59" t="s">
        <v>352</v>
      </c>
      <c r="F158" s="56">
        <v>36</v>
      </c>
      <c r="G158" s="73">
        <v>872</v>
      </c>
      <c r="H158" s="74" t="s">
        <v>711</v>
      </c>
      <c r="I158" s="59" t="s">
        <v>712</v>
      </c>
      <c r="J158" s="59" t="s">
        <v>713</v>
      </c>
      <c r="K158" s="69">
        <v>6403</v>
      </c>
      <c r="L158" s="56">
        <v>207</v>
      </c>
      <c r="M158" s="59" t="s">
        <v>38</v>
      </c>
      <c r="N158" s="61">
        <v>1077.2</v>
      </c>
      <c r="O158" s="59" t="s">
        <v>313</v>
      </c>
      <c r="P158" s="62">
        <v>1077.2</v>
      </c>
      <c r="Q158" s="63">
        <v>12</v>
      </c>
      <c r="R158" s="62">
        <v>129.26</v>
      </c>
      <c r="S158" s="61">
        <v>0</v>
      </c>
      <c r="T158" s="62">
        <v>0</v>
      </c>
    </row>
    <row r="159" spans="1:20" ht="11.1" customHeight="1" x14ac:dyDescent="0.25">
      <c r="A159" s="56">
        <v>109324</v>
      </c>
      <c r="B159" s="72">
        <v>46045</v>
      </c>
      <c r="C159" s="68">
        <v>46045</v>
      </c>
      <c r="D159" s="58" t="s">
        <v>710</v>
      </c>
      <c r="E159" s="59" t="s">
        <v>352</v>
      </c>
      <c r="F159" s="56">
        <v>36</v>
      </c>
      <c r="G159" s="73">
        <v>872</v>
      </c>
      <c r="H159" s="74" t="s">
        <v>711</v>
      </c>
      <c r="I159" s="59" t="s">
        <v>712</v>
      </c>
      <c r="J159" s="59" t="s">
        <v>713</v>
      </c>
      <c r="K159" s="69">
        <v>6102</v>
      </c>
      <c r="L159" s="56">
        <v>238</v>
      </c>
      <c r="M159" s="59" t="s">
        <v>38</v>
      </c>
      <c r="N159" s="61">
        <v>1861.92</v>
      </c>
      <c r="O159" s="59" t="s">
        <v>313</v>
      </c>
      <c r="P159" s="62">
        <v>1861.92</v>
      </c>
      <c r="Q159" s="63">
        <v>12</v>
      </c>
      <c r="R159" s="62">
        <v>223.42</v>
      </c>
      <c r="S159" s="61">
        <v>0</v>
      </c>
      <c r="T159" s="62">
        <v>0</v>
      </c>
    </row>
    <row r="160" spans="1:20" ht="11.85" customHeight="1" x14ac:dyDescent="0.25">
      <c r="A160" s="71" t="s">
        <v>620</v>
      </c>
      <c r="B160" s="71"/>
      <c r="C160" s="71"/>
      <c r="D160" s="71"/>
      <c r="E160" s="71"/>
      <c r="F160" s="71"/>
      <c r="G160" s="71"/>
      <c r="H160" s="71"/>
    </row>
    <row r="161" spans="1:20" ht="11.1" customHeight="1" x14ac:dyDescent="0.25">
      <c r="O161" s="59" t="s">
        <v>313</v>
      </c>
      <c r="P161" s="62">
        <v>2939.12</v>
      </c>
      <c r="R161" s="62">
        <v>352.68</v>
      </c>
      <c r="S161" s="61">
        <v>0</v>
      </c>
      <c r="T161" s="62">
        <v>0</v>
      </c>
    </row>
    <row r="162" spans="1:20" ht="11.1" customHeight="1" x14ac:dyDescent="0.25">
      <c r="A162" s="56">
        <v>109723</v>
      </c>
      <c r="B162" s="72">
        <v>46045</v>
      </c>
      <c r="C162" s="68">
        <v>46045</v>
      </c>
      <c r="D162" s="58" t="s">
        <v>714</v>
      </c>
      <c r="E162" s="59" t="s">
        <v>352</v>
      </c>
      <c r="F162" s="56">
        <v>36</v>
      </c>
      <c r="G162" s="73">
        <v>516</v>
      </c>
      <c r="H162" s="74" t="s">
        <v>715</v>
      </c>
      <c r="I162" s="59" t="s">
        <v>716</v>
      </c>
      <c r="J162" s="59" t="s">
        <v>717</v>
      </c>
      <c r="K162" s="69">
        <v>6403</v>
      </c>
      <c r="L162" s="56">
        <v>207</v>
      </c>
      <c r="M162" s="59" t="s">
        <v>34</v>
      </c>
      <c r="N162" s="61">
        <v>0</v>
      </c>
      <c r="O162" s="59" t="s">
        <v>313</v>
      </c>
      <c r="P162" s="62">
        <v>0</v>
      </c>
      <c r="Q162" s="63">
        <v>0</v>
      </c>
      <c r="R162" s="62">
        <v>0</v>
      </c>
      <c r="S162" s="61">
        <v>0</v>
      </c>
      <c r="T162" s="62">
        <v>0</v>
      </c>
    </row>
    <row r="163" spans="1:20" ht="11.1" customHeight="1" x14ac:dyDescent="0.25">
      <c r="O163" s="59" t="s">
        <v>436</v>
      </c>
      <c r="P163" s="62">
        <v>0</v>
      </c>
      <c r="Q163" s="63">
        <v>0</v>
      </c>
      <c r="R163" s="62">
        <v>0</v>
      </c>
      <c r="S163" s="61">
        <v>0</v>
      </c>
      <c r="T163" s="62">
        <v>0</v>
      </c>
    </row>
    <row r="164" spans="1:20" ht="11.1" customHeight="1" x14ac:dyDescent="0.25">
      <c r="A164" s="56">
        <v>109724</v>
      </c>
      <c r="B164" s="72">
        <v>46045</v>
      </c>
      <c r="C164" s="68">
        <v>46045</v>
      </c>
      <c r="D164" s="58" t="s">
        <v>714</v>
      </c>
      <c r="E164" s="59" t="s">
        <v>352</v>
      </c>
      <c r="F164" s="56">
        <v>36</v>
      </c>
      <c r="G164" s="73">
        <v>516</v>
      </c>
      <c r="H164" s="74" t="s">
        <v>715</v>
      </c>
      <c r="I164" s="59" t="s">
        <v>716</v>
      </c>
      <c r="J164" s="59" t="s">
        <v>717</v>
      </c>
      <c r="K164" s="69">
        <v>6102</v>
      </c>
      <c r="L164" s="56">
        <v>238</v>
      </c>
      <c r="M164" s="59" t="s">
        <v>34</v>
      </c>
      <c r="N164" s="61">
        <v>0</v>
      </c>
      <c r="O164" s="59" t="s">
        <v>313</v>
      </c>
      <c r="P164" s="62">
        <v>0</v>
      </c>
      <c r="Q164" s="63">
        <v>0</v>
      </c>
      <c r="R164" s="62">
        <v>0</v>
      </c>
      <c r="S164" s="61">
        <v>0</v>
      </c>
      <c r="T164" s="62">
        <v>0</v>
      </c>
    </row>
    <row r="165" spans="1:20" ht="11.85" customHeight="1" x14ac:dyDescent="0.25">
      <c r="A165" s="71" t="s">
        <v>620</v>
      </c>
      <c r="B165" s="71"/>
      <c r="C165" s="71"/>
      <c r="D165" s="71"/>
      <c r="E165" s="71"/>
      <c r="F165" s="71"/>
      <c r="G165" s="71"/>
      <c r="H165" s="71"/>
    </row>
    <row r="166" spans="1:20" ht="11.1" customHeight="1" x14ac:dyDescent="0.25">
      <c r="O166" s="59" t="s">
        <v>313</v>
      </c>
      <c r="P166" s="62">
        <v>0</v>
      </c>
      <c r="R166" s="62">
        <v>0</v>
      </c>
      <c r="S166" s="61">
        <v>0</v>
      </c>
      <c r="T166" s="62">
        <v>0</v>
      </c>
    </row>
    <row r="167" spans="1:20" ht="11.1" customHeight="1" x14ac:dyDescent="0.25">
      <c r="O167" s="59" t="s">
        <v>436</v>
      </c>
      <c r="P167" s="62">
        <v>0</v>
      </c>
      <c r="R167" s="62">
        <v>0</v>
      </c>
      <c r="S167" s="61">
        <v>0</v>
      </c>
      <c r="T167" s="62">
        <v>0</v>
      </c>
    </row>
    <row r="168" spans="1:20" ht="11.1" customHeight="1" x14ac:dyDescent="0.25">
      <c r="A168" s="56">
        <v>108660</v>
      </c>
      <c r="B168" s="72">
        <v>46030</v>
      </c>
      <c r="C168" s="68">
        <v>46030</v>
      </c>
      <c r="D168" s="58" t="s">
        <v>718</v>
      </c>
      <c r="E168" s="59" t="s">
        <v>352</v>
      </c>
      <c r="F168" s="56">
        <v>36</v>
      </c>
      <c r="G168" s="73">
        <v>913</v>
      </c>
      <c r="H168" s="74" t="s">
        <v>719</v>
      </c>
      <c r="I168" s="59" t="s">
        <v>720</v>
      </c>
      <c r="J168" s="59" t="s">
        <v>721</v>
      </c>
      <c r="K168" s="69">
        <v>5403</v>
      </c>
      <c r="L168" s="56">
        <v>207</v>
      </c>
      <c r="M168" s="59" t="s">
        <v>26</v>
      </c>
      <c r="N168" s="61">
        <v>416.7</v>
      </c>
      <c r="O168" s="59" t="s">
        <v>313</v>
      </c>
      <c r="P168" s="62">
        <v>416.7</v>
      </c>
      <c r="Q168" s="63">
        <v>20</v>
      </c>
      <c r="R168" s="62">
        <v>83.34</v>
      </c>
      <c r="S168" s="61">
        <v>0</v>
      </c>
      <c r="T168" s="62">
        <v>0</v>
      </c>
    </row>
    <row r="169" spans="1:20" ht="11.1" customHeight="1" x14ac:dyDescent="0.25">
      <c r="A169" s="56">
        <v>108961</v>
      </c>
      <c r="B169" s="72">
        <v>46037</v>
      </c>
      <c r="C169" s="68">
        <v>46037</v>
      </c>
      <c r="D169" s="58" t="s">
        <v>722</v>
      </c>
      <c r="E169" s="59" t="s">
        <v>352</v>
      </c>
      <c r="F169" s="56">
        <v>36</v>
      </c>
      <c r="G169" s="73">
        <v>913</v>
      </c>
      <c r="H169" s="74" t="s">
        <v>719</v>
      </c>
      <c r="I169" s="59" t="s">
        <v>720</v>
      </c>
      <c r="J169" s="59" t="s">
        <v>721</v>
      </c>
      <c r="K169" s="69">
        <v>5102</v>
      </c>
      <c r="L169" s="56">
        <v>205</v>
      </c>
      <c r="M169" s="59" t="s">
        <v>26</v>
      </c>
      <c r="N169" s="61">
        <v>105.84</v>
      </c>
      <c r="O169" s="59" t="s">
        <v>313</v>
      </c>
      <c r="P169" s="62">
        <v>105.84</v>
      </c>
      <c r="Q169" s="63">
        <v>20</v>
      </c>
      <c r="R169" s="62">
        <v>21.17</v>
      </c>
      <c r="S169" s="61">
        <v>0</v>
      </c>
      <c r="T169" s="62">
        <v>0</v>
      </c>
    </row>
    <row r="170" spans="1:20" ht="11.1" customHeight="1" x14ac:dyDescent="0.25">
      <c r="A170" s="56">
        <v>108962</v>
      </c>
      <c r="B170" s="72">
        <v>46037</v>
      </c>
      <c r="C170" s="68">
        <v>46037</v>
      </c>
      <c r="D170" s="58" t="s">
        <v>722</v>
      </c>
      <c r="E170" s="59" t="s">
        <v>352</v>
      </c>
      <c r="F170" s="56">
        <v>36</v>
      </c>
      <c r="G170" s="73">
        <v>913</v>
      </c>
      <c r="H170" s="74" t="s">
        <v>719</v>
      </c>
      <c r="I170" s="59" t="s">
        <v>720</v>
      </c>
      <c r="J170" s="59" t="s">
        <v>721</v>
      </c>
      <c r="K170" s="69">
        <v>5403</v>
      </c>
      <c r="L170" s="56">
        <v>207</v>
      </c>
      <c r="M170" s="59" t="s">
        <v>26</v>
      </c>
      <c r="N170" s="61">
        <v>1383.44</v>
      </c>
      <c r="O170" s="59" t="s">
        <v>313</v>
      </c>
      <c r="P170" s="62">
        <v>1383.44</v>
      </c>
      <c r="Q170" s="63">
        <v>20</v>
      </c>
      <c r="R170" s="62">
        <v>276.69</v>
      </c>
      <c r="S170" s="61">
        <v>0</v>
      </c>
      <c r="T170" s="62">
        <v>0</v>
      </c>
    </row>
    <row r="171" spans="1:20" ht="11.85" customHeight="1" x14ac:dyDescent="0.25">
      <c r="A171" s="71" t="s">
        <v>620</v>
      </c>
      <c r="B171" s="71"/>
      <c r="C171" s="71"/>
      <c r="D171" s="71"/>
      <c r="E171" s="71"/>
      <c r="F171" s="71"/>
      <c r="G171" s="71"/>
      <c r="H171" s="71"/>
    </row>
    <row r="172" spans="1:20" ht="11.1" customHeight="1" x14ac:dyDescent="0.25">
      <c r="O172" s="59" t="s">
        <v>313</v>
      </c>
      <c r="P172" s="62">
        <v>1905.98</v>
      </c>
      <c r="R172" s="62">
        <v>381.2</v>
      </c>
      <c r="S172" s="61">
        <v>0</v>
      </c>
      <c r="T172" s="62">
        <v>0</v>
      </c>
    </row>
    <row r="173" spans="1:20" ht="11.1" customHeight="1" x14ac:dyDescent="0.25">
      <c r="A173" s="56">
        <v>109296</v>
      </c>
      <c r="B173" s="72">
        <v>46044</v>
      </c>
      <c r="C173" s="68">
        <v>46044</v>
      </c>
      <c r="D173" s="58" t="s">
        <v>723</v>
      </c>
      <c r="E173" s="59" t="s">
        <v>352</v>
      </c>
      <c r="F173" s="56">
        <v>36</v>
      </c>
      <c r="G173" s="73">
        <v>409</v>
      </c>
      <c r="H173" s="74" t="s">
        <v>724</v>
      </c>
      <c r="I173" s="59" t="s">
        <v>725</v>
      </c>
      <c r="J173" s="59" t="s">
        <v>726</v>
      </c>
      <c r="K173" s="69">
        <v>5102</v>
      </c>
      <c r="L173" s="56">
        <v>205</v>
      </c>
      <c r="M173" s="59" t="s">
        <v>26</v>
      </c>
      <c r="N173" s="61">
        <v>132.78</v>
      </c>
      <c r="O173" s="59" t="s">
        <v>313</v>
      </c>
      <c r="P173" s="62">
        <v>132.78</v>
      </c>
      <c r="Q173" s="63">
        <v>20</v>
      </c>
      <c r="R173" s="62">
        <v>26.56</v>
      </c>
      <c r="S173" s="61">
        <v>0</v>
      </c>
      <c r="T173" s="62">
        <v>0</v>
      </c>
    </row>
    <row r="174" spans="1:20" ht="11.85" customHeight="1" x14ac:dyDescent="0.25">
      <c r="A174" s="71" t="s">
        <v>620</v>
      </c>
      <c r="B174" s="71"/>
      <c r="C174" s="71"/>
      <c r="D174" s="71"/>
      <c r="E174" s="71"/>
      <c r="F174" s="71"/>
      <c r="G174" s="71"/>
      <c r="H174" s="71"/>
    </row>
    <row r="175" spans="1:20" ht="11.1" customHeight="1" x14ac:dyDescent="0.25">
      <c r="O175" s="59" t="s">
        <v>313</v>
      </c>
      <c r="P175" s="62">
        <v>132.78</v>
      </c>
      <c r="R175" s="62">
        <v>26.56</v>
      </c>
      <c r="S175" s="61">
        <v>0</v>
      </c>
      <c r="T175" s="62">
        <v>0</v>
      </c>
    </row>
    <row r="176" spans="1:20" ht="11.1" customHeight="1" x14ac:dyDescent="0.25">
      <c r="A176" s="56">
        <v>108737</v>
      </c>
      <c r="B176" s="72">
        <v>46031</v>
      </c>
      <c r="C176" s="68">
        <v>46031</v>
      </c>
      <c r="D176" s="58" t="s">
        <v>727</v>
      </c>
      <c r="E176" s="59" t="s">
        <v>352</v>
      </c>
      <c r="F176" s="56">
        <v>36</v>
      </c>
      <c r="G176" s="73">
        <v>450</v>
      </c>
      <c r="H176" s="74" t="s">
        <v>375</v>
      </c>
      <c r="I176" s="59" t="s">
        <v>728</v>
      </c>
      <c r="J176" s="59" t="s">
        <v>729</v>
      </c>
      <c r="K176" s="69">
        <v>6202</v>
      </c>
      <c r="L176" s="56">
        <v>216</v>
      </c>
      <c r="M176" s="59" t="s">
        <v>50</v>
      </c>
      <c r="N176" s="61">
        <v>1050.27</v>
      </c>
      <c r="O176" s="59" t="s">
        <v>313</v>
      </c>
      <c r="P176" s="62">
        <v>1036.79</v>
      </c>
      <c r="Q176" s="63">
        <v>4</v>
      </c>
      <c r="R176" s="62">
        <v>41.47</v>
      </c>
      <c r="S176" s="61">
        <v>0</v>
      </c>
      <c r="T176" s="62">
        <v>13.48</v>
      </c>
    </row>
    <row r="177" spans="1:20" ht="11.85" customHeight="1" x14ac:dyDescent="0.25">
      <c r="A177" s="71" t="s">
        <v>620</v>
      </c>
      <c r="B177" s="71"/>
      <c r="C177" s="71"/>
      <c r="D177" s="71"/>
      <c r="E177" s="71"/>
      <c r="F177" s="71"/>
      <c r="G177" s="71"/>
      <c r="H177" s="71"/>
    </row>
    <row r="178" spans="1:20" ht="11.1" customHeight="1" x14ac:dyDescent="0.25">
      <c r="O178" s="59" t="s">
        <v>313</v>
      </c>
      <c r="P178" s="62">
        <v>1036.79</v>
      </c>
      <c r="R178" s="62">
        <v>41.47</v>
      </c>
      <c r="S178" s="61">
        <v>0</v>
      </c>
      <c r="T178" s="62">
        <v>13.48</v>
      </c>
    </row>
    <row r="179" spans="1:20" ht="11.1" customHeight="1" x14ac:dyDescent="0.25">
      <c r="A179" s="56">
        <v>109240</v>
      </c>
      <c r="B179" s="72">
        <v>46043</v>
      </c>
      <c r="C179" s="68">
        <v>46043</v>
      </c>
      <c r="D179" s="58" t="s">
        <v>730</v>
      </c>
      <c r="E179" s="59" t="s">
        <v>352</v>
      </c>
      <c r="F179" s="56">
        <v>36</v>
      </c>
      <c r="G179" s="73">
        <v>396</v>
      </c>
      <c r="H179" s="74" t="s">
        <v>731</v>
      </c>
      <c r="I179" s="59" t="s">
        <v>732</v>
      </c>
      <c r="J179" s="59" t="s">
        <v>733</v>
      </c>
      <c r="K179" s="69">
        <v>5403</v>
      </c>
      <c r="L179" s="56">
        <v>207</v>
      </c>
      <c r="M179" s="59" t="s">
        <v>26</v>
      </c>
      <c r="N179" s="61">
        <v>3704.34</v>
      </c>
      <c r="O179" s="59" t="s">
        <v>313</v>
      </c>
      <c r="P179" s="62">
        <v>3462</v>
      </c>
      <c r="Q179" s="63">
        <v>20</v>
      </c>
      <c r="R179" s="62">
        <v>692.4</v>
      </c>
      <c r="S179" s="61">
        <v>0</v>
      </c>
      <c r="T179" s="62">
        <v>242.34</v>
      </c>
    </row>
    <row r="180" spans="1:20" ht="11.1" customHeight="1" x14ac:dyDescent="0.25">
      <c r="O180" s="59" t="s">
        <v>436</v>
      </c>
      <c r="P180" s="62">
        <v>4673.7</v>
      </c>
      <c r="Q180" s="63">
        <v>20</v>
      </c>
      <c r="R180" s="62">
        <v>242.34</v>
      </c>
      <c r="S180" s="61">
        <v>0</v>
      </c>
      <c r="T180" s="62">
        <v>0</v>
      </c>
    </row>
    <row r="181" spans="1:20" ht="11.85" customHeight="1" x14ac:dyDescent="0.25">
      <c r="A181" s="71" t="s">
        <v>620</v>
      </c>
      <c r="B181" s="71"/>
      <c r="C181" s="71"/>
      <c r="D181" s="71"/>
      <c r="E181" s="71"/>
      <c r="F181" s="71"/>
      <c r="G181" s="71"/>
      <c r="H181" s="71"/>
    </row>
    <row r="182" spans="1:20" ht="11.1" customHeight="1" x14ac:dyDescent="0.25">
      <c r="O182" s="59" t="s">
        <v>313</v>
      </c>
      <c r="P182" s="62">
        <v>3462</v>
      </c>
      <c r="R182" s="62">
        <v>692.4</v>
      </c>
      <c r="S182" s="61">
        <v>0</v>
      </c>
      <c r="T182" s="62">
        <v>242.34</v>
      </c>
    </row>
    <row r="183" spans="1:20" ht="11.1" customHeight="1" x14ac:dyDescent="0.25">
      <c r="O183" s="59" t="s">
        <v>436</v>
      </c>
      <c r="P183" s="62">
        <v>4673.7</v>
      </c>
      <c r="R183" s="62">
        <v>242.34</v>
      </c>
      <c r="S183" s="61">
        <v>0</v>
      </c>
      <c r="T183" s="62">
        <v>0</v>
      </c>
    </row>
    <row r="184" spans="1:20" ht="11.1" customHeight="1" x14ac:dyDescent="0.25">
      <c r="A184" s="56">
        <v>108461</v>
      </c>
      <c r="B184" s="72">
        <v>46027</v>
      </c>
      <c r="C184" s="68">
        <v>46027</v>
      </c>
      <c r="D184" s="58" t="s">
        <v>734</v>
      </c>
      <c r="E184" s="59" t="s">
        <v>352</v>
      </c>
      <c r="F184" s="56">
        <v>36</v>
      </c>
      <c r="G184" s="73">
        <v>526</v>
      </c>
      <c r="H184" s="74" t="s">
        <v>735</v>
      </c>
      <c r="I184" s="59" t="s">
        <v>736</v>
      </c>
      <c r="J184" s="59" t="s">
        <v>737</v>
      </c>
      <c r="K184" s="69">
        <v>5102</v>
      </c>
      <c r="L184" s="56">
        <v>205</v>
      </c>
      <c r="M184" s="59" t="s">
        <v>26</v>
      </c>
      <c r="N184" s="61">
        <v>670.83</v>
      </c>
      <c r="O184" s="59" t="s">
        <v>313</v>
      </c>
      <c r="P184" s="62">
        <v>670.83</v>
      </c>
      <c r="Q184" s="63">
        <v>20</v>
      </c>
      <c r="R184" s="62">
        <v>134.16999999999999</v>
      </c>
      <c r="S184" s="61">
        <v>0</v>
      </c>
      <c r="T184" s="62">
        <v>0</v>
      </c>
    </row>
    <row r="185" spans="1:20" ht="11.1" customHeight="1" x14ac:dyDescent="0.25">
      <c r="A185" s="56">
        <v>108944</v>
      </c>
      <c r="B185" s="72">
        <v>46037</v>
      </c>
      <c r="C185" s="68">
        <v>46037</v>
      </c>
      <c r="D185" s="58" t="s">
        <v>738</v>
      </c>
      <c r="E185" s="59" t="s">
        <v>352</v>
      </c>
      <c r="F185" s="56">
        <v>36</v>
      </c>
      <c r="G185" s="73">
        <v>526</v>
      </c>
      <c r="H185" s="74" t="s">
        <v>735</v>
      </c>
      <c r="I185" s="59" t="s">
        <v>736</v>
      </c>
      <c r="J185" s="59" t="s">
        <v>737</v>
      </c>
      <c r="K185" s="69">
        <v>5102</v>
      </c>
      <c r="L185" s="56">
        <v>205</v>
      </c>
      <c r="M185" s="59" t="s">
        <v>26</v>
      </c>
      <c r="N185" s="61">
        <v>590.23</v>
      </c>
      <c r="O185" s="59" t="s">
        <v>313</v>
      </c>
      <c r="P185" s="62">
        <v>590.23</v>
      </c>
      <c r="Q185" s="63">
        <v>20</v>
      </c>
      <c r="R185" s="62">
        <v>118.05</v>
      </c>
      <c r="S185" s="61">
        <v>0</v>
      </c>
      <c r="T185" s="62">
        <v>0</v>
      </c>
    </row>
    <row r="186" spans="1:20" ht="11.85" customHeight="1" x14ac:dyDescent="0.25">
      <c r="A186" s="71" t="s">
        <v>620</v>
      </c>
      <c r="B186" s="71"/>
      <c r="C186" s="71"/>
      <c r="D186" s="71"/>
      <c r="E186" s="71"/>
      <c r="F186" s="71"/>
      <c r="G186" s="71"/>
      <c r="H186" s="71"/>
    </row>
    <row r="187" spans="1:20" ht="11.1" customHeight="1" x14ac:dyDescent="0.25">
      <c r="O187" s="59" t="s">
        <v>313</v>
      </c>
      <c r="P187" s="62">
        <v>1261.06</v>
      </c>
      <c r="R187" s="62">
        <v>252.22</v>
      </c>
      <c r="S187" s="61">
        <v>0</v>
      </c>
      <c r="T187" s="62">
        <v>0</v>
      </c>
    </row>
    <row r="188" spans="1:20" ht="11.1" customHeight="1" x14ac:dyDescent="0.25">
      <c r="A188" s="56">
        <v>109153</v>
      </c>
      <c r="B188" s="72">
        <v>46042</v>
      </c>
      <c r="C188" s="68">
        <v>46042</v>
      </c>
      <c r="D188" s="58" t="s">
        <v>739</v>
      </c>
      <c r="E188" s="59" t="s">
        <v>352</v>
      </c>
      <c r="F188" s="56">
        <v>36</v>
      </c>
      <c r="G188" s="73">
        <v>923</v>
      </c>
      <c r="H188" s="74" t="s">
        <v>740</v>
      </c>
      <c r="I188" s="59" t="s">
        <v>741</v>
      </c>
      <c r="J188" s="59" t="s">
        <v>742</v>
      </c>
      <c r="K188" s="69">
        <v>5102</v>
      </c>
      <c r="L188" s="56">
        <v>205</v>
      </c>
      <c r="M188" s="59" t="s">
        <v>26</v>
      </c>
      <c r="N188" s="61">
        <v>94.84</v>
      </c>
      <c r="O188" s="59" t="s">
        <v>313</v>
      </c>
      <c r="P188" s="62">
        <v>94.84</v>
      </c>
      <c r="Q188" s="63">
        <v>20</v>
      </c>
      <c r="R188" s="62">
        <v>18.97</v>
      </c>
      <c r="S188" s="61">
        <v>0</v>
      </c>
      <c r="T188" s="62">
        <v>0</v>
      </c>
    </row>
    <row r="189" spans="1:20" ht="11.1" customHeight="1" x14ac:dyDescent="0.25">
      <c r="A189" s="56">
        <v>109154</v>
      </c>
      <c r="B189" s="72">
        <v>46042</v>
      </c>
      <c r="C189" s="68">
        <v>46042</v>
      </c>
      <c r="D189" s="58" t="s">
        <v>739</v>
      </c>
      <c r="E189" s="59" t="s">
        <v>352</v>
      </c>
      <c r="F189" s="56">
        <v>36</v>
      </c>
      <c r="G189" s="73">
        <v>923</v>
      </c>
      <c r="H189" s="74" t="s">
        <v>740</v>
      </c>
      <c r="I189" s="59" t="s">
        <v>741</v>
      </c>
      <c r="J189" s="59" t="s">
        <v>742</v>
      </c>
      <c r="K189" s="69">
        <v>5403</v>
      </c>
      <c r="L189" s="56">
        <v>207</v>
      </c>
      <c r="M189" s="59" t="s">
        <v>26</v>
      </c>
      <c r="N189" s="61">
        <v>420.24</v>
      </c>
      <c r="O189" s="59" t="s">
        <v>313</v>
      </c>
      <c r="P189" s="62">
        <v>420.24</v>
      </c>
      <c r="Q189" s="63">
        <v>20</v>
      </c>
      <c r="R189" s="62">
        <v>84.05</v>
      </c>
      <c r="S189" s="61">
        <v>0</v>
      </c>
      <c r="T189" s="62">
        <v>0</v>
      </c>
    </row>
    <row r="190" spans="1:20" ht="11.1" customHeight="1" x14ac:dyDescent="0.25">
      <c r="A190" s="56">
        <v>109256</v>
      </c>
      <c r="B190" s="72">
        <v>46044</v>
      </c>
      <c r="C190" s="68">
        <v>46044</v>
      </c>
      <c r="D190" s="58" t="s">
        <v>743</v>
      </c>
      <c r="E190" s="59" t="s">
        <v>352</v>
      </c>
      <c r="F190" s="56">
        <v>36</v>
      </c>
      <c r="G190" s="73">
        <v>923</v>
      </c>
      <c r="H190" s="74" t="s">
        <v>740</v>
      </c>
      <c r="I190" s="59" t="s">
        <v>741</v>
      </c>
      <c r="J190" s="59" t="s">
        <v>742</v>
      </c>
      <c r="K190" s="69">
        <v>5102</v>
      </c>
      <c r="L190" s="56">
        <v>205</v>
      </c>
      <c r="M190" s="59" t="s">
        <v>26</v>
      </c>
      <c r="N190" s="61">
        <v>93.9</v>
      </c>
      <c r="O190" s="59" t="s">
        <v>313</v>
      </c>
      <c r="P190" s="62">
        <v>93.9</v>
      </c>
      <c r="Q190" s="63">
        <v>20</v>
      </c>
      <c r="R190" s="62">
        <v>18.78</v>
      </c>
      <c r="S190" s="61">
        <v>0</v>
      </c>
      <c r="T190" s="62">
        <v>0</v>
      </c>
    </row>
    <row r="191" spans="1:20" ht="11.1" customHeight="1" x14ac:dyDescent="0.25">
      <c r="A191" s="56">
        <v>109257</v>
      </c>
      <c r="B191" s="72">
        <v>46044</v>
      </c>
      <c r="C191" s="68">
        <v>46044</v>
      </c>
      <c r="D191" s="58" t="s">
        <v>743</v>
      </c>
      <c r="E191" s="59" t="s">
        <v>352</v>
      </c>
      <c r="F191" s="56">
        <v>36</v>
      </c>
      <c r="G191" s="73">
        <v>923</v>
      </c>
      <c r="H191" s="74" t="s">
        <v>740</v>
      </c>
      <c r="I191" s="59" t="s">
        <v>741</v>
      </c>
      <c r="J191" s="59" t="s">
        <v>742</v>
      </c>
      <c r="K191" s="69">
        <v>5403</v>
      </c>
      <c r="L191" s="56">
        <v>207</v>
      </c>
      <c r="M191" s="59" t="s">
        <v>26</v>
      </c>
      <c r="N191" s="61">
        <v>280.61</v>
      </c>
      <c r="O191" s="59" t="s">
        <v>313</v>
      </c>
      <c r="P191" s="62">
        <v>280.61</v>
      </c>
      <c r="Q191" s="63">
        <v>20</v>
      </c>
      <c r="R191" s="62">
        <v>56.12</v>
      </c>
      <c r="S191" s="61">
        <v>0</v>
      </c>
      <c r="T191" s="62">
        <v>0</v>
      </c>
    </row>
    <row r="192" spans="1:20" ht="11.85" customHeight="1" x14ac:dyDescent="0.25">
      <c r="A192" s="71" t="s">
        <v>620</v>
      </c>
      <c r="B192" s="71"/>
      <c r="C192" s="71"/>
      <c r="D192" s="71"/>
      <c r="E192" s="71"/>
      <c r="F192" s="71"/>
      <c r="G192" s="71"/>
      <c r="H192" s="71"/>
    </row>
    <row r="193" spans="1:20" ht="11.1" customHeight="1" x14ac:dyDescent="0.25">
      <c r="O193" s="59" t="s">
        <v>313</v>
      </c>
      <c r="P193" s="62">
        <v>889.59</v>
      </c>
      <c r="R193" s="62">
        <v>177.92</v>
      </c>
      <c r="S193" s="61">
        <v>0</v>
      </c>
      <c r="T193" s="62">
        <v>0</v>
      </c>
    </row>
    <row r="194" spans="1:20" ht="11.1" customHeight="1" x14ac:dyDescent="0.25">
      <c r="A194" s="56">
        <v>108415</v>
      </c>
      <c r="B194" s="72">
        <v>46024</v>
      </c>
      <c r="C194" s="68">
        <v>46024</v>
      </c>
      <c r="D194" s="58" t="s">
        <v>744</v>
      </c>
      <c r="E194" s="59" t="s">
        <v>352</v>
      </c>
      <c r="F194" s="56">
        <v>36</v>
      </c>
      <c r="G194" s="73">
        <v>44</v>
      </c>
      <c r="H194" s="74" t="s">
        <v>745</v>
      </c>
      <c r="I194" s="59" t="s">
        <v>746</v>
      </c>
      <c r="J194" s="59" t="s">
        <v>747</v>
      </c>
      <c r="K194" s="69">
        <v>5102</v>
      </c>
      <c r="L194" s="56">
        <v>205</v>
      </c>
      <c r="M194" s="59" t="s">
        <v>26</v>
      </c>
      <c r="N194" s="61">
        <v>618</v>
      </c>
      <c r="O194" s="59" t="s">
        <v>313</v>
      </c>
      <c r="P194" s="62">
        <v>618</v>
      </c>
      <c r="Q194" s="63">
        <v>20</v>
      </c>
      <c r="R194" s="62">
        <v>123.6</v>
      </c>
      <c r="S194" s="61">
        <v>0</v>
      </c>
      <c r="T194" s="62">
        <v>0</v>
      </c>
    </row>
    <row r="195" spans="1:20" ht="11.1" customHeight="1" x14ac:dyDescent="0.25">
      <c r="A195" s="56">
        <v>108416</v>
      </c>
      <c r="B195" s="72">
        <v>46024</v>
      </c>
      <c r="C195" s="68">
        <v>46024</v>
      </c>
      <c r="D195" s="58" t="s">
        <v>744</v>
      </c>
      <c r="E195" s="59" t="s">
        <v>352</v>
      </c>
      <c r="F195" s="56">
        <v>36</v>
      </c>
      <c r="G195" s="73">
        <v>44</v>
      </c>
      <c r="H195" s="74" t="s">
        <v>745</v>
      </c>
      <c r="I195" s="59" t="s">
        <v>746</v>
      </c>
      <c r="J195" s="59" t="s">
        <v>747</v>
      </c>
      <c r="K195" s="69">
        <v>5403</v>
      </c>
      <c r="L195" s="56">
        <v>207</v>
      </c>
      <c r="M195" s="59" t="s">
        <v>26</v>
      </c>
      <c r="N195" s="61">
        <v>326.05</v>
      </c>
      <c r="O195" s="59" t="s">
        <v>313</v>
      </c>
      <c r="P195" s="62">
        <v>304.73</v>
      </c>
      <c r="Q195" s="63">
        <v>20</v>
      </c>
      <c r="R195" s="62">
        <v>60.95</v>
      </c>
      <c r="S195" s="61">
        <v>0</v>
      </c>
      <c r="T195" s="62">
        <v>21.32</v>
      </c>
    </row>
    <row r="196" spans="1:20" ht="11.1" customHeight="1" x14ac:dyDescent="0.25">
      <c r="O196" s="59" t="s">
        <v>436</v>
      </c>
      <c r="P196" s="62">
        <v>411.39</v>
      </c>
      <c r="Q196" s="63">
        <v>20</v>
      </c>
      <c r="R196" s="62">
        <v>21.32</v>
      </c>
      <c r="S196" s="61">
        <v>0</v>
      </c>
      <c r="T196" s="62">
        <v>0</v>
      </c>
    </row>
    <row r="197" spans="1:20" ht="11.1" customHeight="1" x14ac:dyDescent="0.25">
      <c r="A197" s="56">
        <v>108486</v>
      </c>
      <c r="B197" s="72">
        <v>46028</v>
      </c>
      <c r="C197" s="68">
        <v>46028</v>
      </c>
      <c r="D197" s="58" t="s">
        <v>748</v>
      </c>
      <c r="E197" s="59" t="s">
        <v>352</v>
      </c>
      <c r="F197" s="56">
        <v>36</v>
      </c>
      <c r="G197" s="73">
        <v>44</v>
      </c>
      <c r="H197" s="74" t="s">
        <v>745</v>
      </c>
      <c r="I197" s="59" t="s">
        <v>746</v>
      </c>
      <c r="J197" s="59" t="s">
        <v>747</v>
      </c>
      <c r="K197" s="69">
        <v>5102</v>
      </c>
      <c r="L197" s="56">
        <v>205</v>
      </c>
      <c r="M197" s="59" t="s">
        <v>26</v>
      </c>
      <c r="N197" s="61">
        <v>1297.2</v>
      </c>
      <c r="O197" s="59" t="s">
        <v>313</v>
      </c>
      <c r="P197" s="62">
        <v>1297.2</v>
      </c>
      <c r="Q197" s="63">
        <v>20</v>
      </c>
      <c r="R197" s="62">
        <v>259.44</v>
      </c>
      <c r="S197" s="61">
        <v>0</v>
      </c>
      <c r="T197" s="62">
        <v>0</v>
      </c>
    </row>
    <row r="198" spans="1:20" ht="11.1" customHeight="1" x14ac:dyDescent="0.25">
      <c r="A198" s="56">
        <v>109527</v>
      </c>
      <c r="B198" s="72">
        <v>46050</v>
      </c>
      <c r="C198" s="68">
        <v>46050</v>
      </c>
      <c r="D198" s="58" t="s">
        <v>749</v>
      </c>
      <c r="E198" s="59" t="s">
        <v>352</v>
      </c>
      <c r="F198" s="56">
        <v>36</v>
      </c>
      <c r="G198" s="73">
        <v>44</v>
      </c>
      <c r="H198" s="74" t="s">
        <v>745</v>
      </c>
      <c r="I198" s="59" t="s">
        <v>746</v>
      </c>
      <c r="J198" s="59" t="s">
        <v>747</v>
      </c>
      <c r="K198" s="69">
        <v>5102</v>
      </c>
      <c r="L198" s="56">
        <v>205</v>
      </c>
      <c r="M198" s="59" t="s">
        <v>26</v>
      </c>
      <c r="N198" s="61">
        <v>677</v>
      </c>
      <c r="O198" s="59" t="s">
        <v>313</v>
      </c>
      <c r="P198" s="62">
        <v>677</v>
      </c>
      <c r="Q198" s="63">
        <v>20</v>
      </c>
      <c r="R198" s="62">
        <v>135.4</v>
      </c>
      <c r="S198" s="61">
        <v>0</v>
      </c>
      <c r="T198" s="62">
        <v>0</v>
      </c>
    </row>
    <row r="199" spans="1:20" ht="11.1" customHeight="1" x14ac:dyDescent="0.25">
      <c r="A199" s="56">
        <v>109528</v>
      </c>
      <c r="B199" s="72">
        <v>46050</v>
      </c>
      <c r="C199" s="68">
        <v>46050</v>
      </c>
      <c r="D199" s="58" t="s">
        <v>749</v>
      </c>
      <c r="E199" s="59" t="s">
        <v>352</v>
      </c>
      <c r="F199" s="56">
        <v>36</v>
      </c>
      <c r="G199" s="73">
        <v>44</v>
      </c>
      <c r="H199" s="74" t="s">
        <v>745</v>
      </c>
      <c r="I199" s="59" t="s">
        <v>746</v>
      </c>
      <c r="J199" s="59" t="s">
        <v>747</v>
      </c>
      <c r="K199" s="69">
        <v>5403</v>
      </c>
      <c r="L199" s="56">
        <v>207</v>
      </c>
      <c r="M199" s="59" t="s">
        <v>26</v>
      </c>
      <c r="N199" s="61">
        <v>354.21</v>
      </c>
      <c r="O199" s="59" t="s">
        <v>313</v>
      </c>
      <c r="P199" s="62">
        <v>331.04</v>
      </c>
      <c r="Q199" s="63">
        <v>20</v>
      </c>
      <c r="R199" s="62">
        <v>66.209999999999994</v>
      </c>
      <c r="S199" s="61">
        <v>0</v>
      </c>
      <c r="T199" s="62">
        <v>23.17</v>
      </c>
    </row>
    <row r="200" spans="1:20" ht="11.1" customHeight="1" x14ac:dyDescent="0.25">
      <c r="O200" s="59" t="s">
        <v>436</v>
      </c>
      <c r="P200" s="62">
        <v>446.9</v>
      </c>
      <c r="Q200" s="63">
        <v>20</v>
      </c>
      <c r="R200" s="62">
        <v>23.17</v>
      </c>
      <c r="S200" s="61">
        <v>0</v>
      </c>
      <c r="T200" s="62">
        <v>0</v>
      </c>
    </row>
    <row r="201" spans="1:20" ht="11.1" customHeight="1" x14ac:dyDescent="0.25">
      <c r="A201" s="56">
        <v>109727</v>
      </c>
      <c r="B201" s="72">
        <v>46050</v>
      </c>
      <c r="C201" s="68">
        <v>46050</v>
      </c>
      <c r="D201" s="58" t="s">
        <v>750</v>
      </c>
      <c r="E201" s="59" t="s">
        <v>352</v>
      </c>
      <c r="F201" s="56">
        <v>36</v>
      </c>
      <c r="G201" s="73">
        <v>44</v>
      </c>
      <c r="H201" s="74" t="s">
        <v>745</v>
      </c>
      <c r="I201" s="59" t="s">
        <v>746</v>
      </c>
      <c r="J201" s="59" t="s">
        <v>747</v>
      </c>
      <c r="K201" s="69">
        <v>5102</v>
      </c>
      <c r="L201" s="56">
        <v>205</v>
      </c>
      <c r="M201" s="59" t="s">
        <v>26</v>
      </c>
      <c r="N201" s="61">
        <v>0</v>
      </c>
      <c r="O201" s="59" t="s">
        <v>313</v>
      </c>
      <c r="P201" s="62">
        <v>0</v>
      </c>
      <c r="Q201" s="63">
        <v>0</v>
      </c>
      <c r="R201" s="62">
        <v>0</v>
      </c>
      <c r="S201" s="61">
        <v>0</v>
      </c>
      <c r="T201" s="62">
        <v>0</v>
      </c>
    </row>
    <row r="202" spans="1:20" ht="11.1" customHeight="1" x14ac:dyDescent="0.25">
      <c r="A202" s="56">
        <v>109728</v>
      </c>
      <c r="B202" s="72">
        <v>46050</v>
      </c>
      <c r="C202" s="68">
        <v>46050</v>
      </c>
      <c r="D202" s="58" t="s">
        <v>750</v>
      </c>
      <c r="E202" s="59" t="s">
        <v>352</v>
      </c>
      <c r="F202" s="56">
        <v>36</v>
      </c>
      <c r="G202" s="73">
        <v>44</v>
      </c>
      <c r="H202" s="74" t="s">
        <v>745</v>
      </c>
      <c r="I202" s="59" t="s">
        <v>746</v>
      </c>
      <c r="J202" s="59" t="s">
        <v>747</v>
      </c>
      <c r="K202" s="69">
        <v>5403</v>
      </c>
      <c r="L202" s="56">
        <v>207</v>
      </c>
      <c r="M202" s="59" t="s">
        <v>26</v>
      </c>
      <c r="N202" s="61">
        <v>0</v>
      </c>
      <c r="O202" s="59" t="s">
        <v>313</v>
      </c>
      <c r="P202" s="62">
        <v>0</v>
      </c>
      <c r="Q202" s="63">
        <v>0</v>
      </c>
      <c r="R202" s="62">
        <v>0</v>
      </c>
      <c r="S202" s="61">
        <v>0</v>
      </c>
      <c r="T202" s="62">
        <v>0</v>
      </c>
    </row>
    <row r="203" spans="1:20" ht="11.1" customHeight="1" x14ac:dyDescent="0.25">
      <c r="O203" s="59" t="s">
        <v>436</v>
      </c>
      <c r="P203" s="62">
        <v>0</v>
      </c>
      <c r="Q203" s="63">
        <v>0</v>
      </c>
      <c r="R203" s="62">
        <v>0</v>
      </c>
      <c r="S203" s="61">
        <v>0</v>
      </c>
      <c r="T203" s="62">
        <v>0</v>
      </c>
    </row>
    <row r="204" spans="1:20" ht="11.85" customHeight="1" x14ac:dyDescent="0.25">
      <c r="A204" s="71" t="s">
        <v>620</v>
      </c>
      <c r="B204" s="71"/>
      <c r="C204" s="71"/>
      <c r="D204" s="71"/>
      <c r="E204" s="71"/>
      <c r="F204" s="71"/>
      <c r="G204" s="71"/>
      <c r="H204" s="71"/>
    </row>
    <row r="205" spans="1:20" ht="11.1" customHeight="1" x14ac:dyDescent="0.25">
      <c r="O205" s="59" t="s">
        <v>313</v>
      </c>
      <c r="P205" s="62">
        <v>3227.97</v>
      </c>
      <c r="R205" s="62">
        <v>645.6</v>
      </c>
      <c r="S205" s="61">
        <v>0</v>
      </c>
      <c r="T205" s="62">
        <v>44.49</v>
      </c>
    </row>
    <row r="206" spans="1:20" ht="11.1" customHeight="1" x14ac:dyDescent="0.25">
      <c r="O206" s="59" t="s">
        <v>436</v>
      </c>
      <c r="P206" s="62">
        <v>858.29</v>
      </c>
      <c r="R206" s="62">
        <v>44.49</v>
      </c>
      <c r="S206" s="61">
        <v>0</v>
      </c>
      <c r="T206" s="62">
        <v>0</v>
      </c>
    </row>
    <row r="207" spans="1:20" ht="11.1" customHeight="1" x14ac:dyDescent="0.25">
      <c r="A207" s="56">
        <v>108448</v>
      </c>
      <c r="B207" s="72">
        <v>46027</v>
      </c>
      <c r="C207" s="68">
        <v>46027</v>
      </c>
      <c r="D207" s="58" t="s">
        <v>751</v>
      </c>
      <c r="E207" s="59" t="s">
        <v>352</v>
      </c>
      <c r="F207" s="56">
        <v>36</v>
      </c>
      <c r="G207" s="73">
        <v>146</v>
      </c>
      <c r="H207" s="74" t="s">
        <v>752</v>
      </c>
      <c r="I207" s="59" t="s">
        <v>753</v>
      </c>
      <c r="J207" s="59" t="s">
        <v>754</v>
      </c>
      <c r="K207" s="69">
        <v>5102</v>
      </c>
      <c r="L207" s="56">
        <v>205</v>
      </c>
      <c r="M207" s="59" t="s">
        <v>26</v>
      </c>
      <c r="N207" s="61">
        <v>34.86</v>
      </c>
      <c r="O207" s="59" t="s">
        <v>313</v>
      </c>
      <c r="P207" s="62">
        <v>34.86</v>
      </c>
      <c r="Q207" s="63">
        <v>20</v>
      </c>
      <c r="R207" s="62">
        <v>6.97</v>
      </c>
      <c r="S207" s="61">
        <v>0</v>
      </c>
      <c r="T207" s="62">
        <v>0</v>
      </c>
    </row>
    <row r="208" spans="1:20" ht="11.1" customHeight="1" x14ac:dyDescent="0.25">
      <c r="A208" s="56">
        <v>108449</v>
      </c>
      <c r="B208" s="72">
        <v>46027</v>
      </c>
      <c r="C208" s="68">
        <v>46027</v>
      </c>
      <c r="D208" s="58" t="s">
        <v>751</v>
      </c>
      <c r="E208" s="59" t="s">
        <v>352</v>
      </c>
      <c r="F208" s="56">
        <v>36</v>
      </c>
      <c r="G208" s="73">
        <v>146</v>
      </c>
      <c r="H208" s="74" t="s">
        <v>752</v>
      </c>
      <c r="I208" s="59" t="s">
        <v>753</v>
      </c>
      <c r="J208" s="59" t="s">
        <v>754</v>
      </c>
      <c r="K208" s="69">
        <v>5403</v>
      </c>
      <c r="L208" s="56">
        <v>207</v>
      </c>
      <c r="M208" s="59" t="s">
        <v>26</v>
      </c>
      <c r="N208" s="61">
        <v>75.2</v>
      </c>
      <c r="O208" s="59" t="s">
        <v>313</v>
      </c>
      <c r="P208" s="62">
        <v>70.28</v>
      </c>
      <c r="Q208" s="63">
        <v>20</v>
      </c>
      <c r="R208" s="62">
        <v>14.06</v>
      </c>
      <c r="S208" s="61">
        <v>0</v>
      </c>
      <c r="T208" s="62">
        <v>4.92</v>
      </c>
    </row>
    <row r="209" spans="1:20" ht="11.1" customHeight="1" x14ac:dyDescent="0.25">
      <c r="O209" s="59" t="s">
        <v>436</v>
      </c>
      <c r="P209" s="62">
        <v>94.88</v>
      </c>
      <c r="Q209" s="63">
        <v>20</v>
      </c>
      <c r="R209" s="62">
        <v>4.92</v>
      </c>
      <c r="S209" s="61">
        <v>0</v>
      </c>
      <c r="T209" s="62">
        <v>0</v>
      </c>
    </row>
    <row r="210" spans="1:20" ht="11.1" customHeight="1" x14ac:dyDescent="0.25">
      <c r="A210" s="56">
        <v>108609</v>
      </c>
      <c r="B210" s="72">
        <v>46029</v>
      </c>
      <c r="C210" s="68">
        <v>46029</v>
      </c>
      <c r="D210" s="58" t="s">
        <v>755</v>
      </c>
      <c r="E210" s="59" t="s">
        <v>352</v>
      </c>
      <c r="F210" s="56">
        <v>36</v>
      </c>
      <c r="G210" s="73">
        <v>146</v>
      </c>
      <c r="H210" s="74" t="s">
        <v>752</v>
      </c>
      <c r="I210" s="59" t="s">
        <v>753</v>
      </c>
      <c r="J210" s="59" t="s">
        <v>754</v>
      </c>
      <c r="K210" s="69">
        <v>5102</v>
      </c>
      <c r="L210" s="56">
        <v>205</v>
      </c>
      <c r="M210" s="59" t="s">
        <v>26</v>
      </c>
      <c r="N210" s="61">
        <v>139.38</v>
      </c>
      <c r="O210" s="59" t="s">
        <v>313</v>
      </c>
      <c r="P210" s="62">
        <v>139.38</v>
      </c>
      <c r="Q210" s="63">
        <v>20</v>
      </c>
      <c r="R210" s="62">
        <v>27.88</v>
      </c>
      <c r="S210" s="61">
        <v>0</v>
      </c>
      <c r="T210" s="62">
        <v>0</v>
      </c>
    </row>
    <row r="211" spans="1:20" ht="11.1" customHeight="1" x14ac:dyDescent="0.25">
      <c r="A211" s="56">
        <v>108713</v>
      </c>
      <c r="B211" s="72">
        <v>46031</v>
      </c>
      <c r="C211" s="68">
        <v>46031</v>
      </c>
      <c r="D211" s="58" t="s">
        <v>756</v>
      </c>
      <c r="E211" s="59" t="s">
        <v>352</v>
      </c>
      <c r="F211" s="56">
        <v>36</v>
      </c>
      <c r="G211" s="73">
        <v>146</v>
      </c>
      <c r="H211" s="74" t="s">
        <v>752</v>
      </c>
      <c r="I211" s="59" t="s">
        <v>753</v>
      </c>
      <c r="J211" s="59" t="s">
        <v>754</v>
      </c>
      <c r="K211" s="69">
        <v>5102</v>
      </c>
      <c r="L211" s="56">
        <v>205</v>
      </c>
      <c r="M211" s="59" t="s">
        <v>26</v>
      </c>
      <c r="N211" s="61">
        <v>593.54</v>
      </c>
      <c r="O211" s="59" t="s">
        <v>313</v>
      </c>
      <c r="P211" s="62">
        <v>593.54</v>
      </c>
      <c r="Q211" s="63">
        <v>20</v>
      </c>
      <c r="R211" s="62">
        <v>118.71</v>
      </c>
      <c r="S211" s="61">
        <v>0</v>
      </c>
      <c r="T211" s="62">
        <v>0</v>
      </c>
    </row>
    <row r="212" spans="1:20" ht="11.1" customHeight="1" x14ac:dyDescent="0.25">
      <c r="A212" s="56">
        <v>108714</v>
      </c>
      <c r="B212" s="72">
        <v>46031</v>
      </c>
      <c r="C212" s="68">
        <v>46031</v>
      </c>
      <c r="D212" s="58" t="s">
        <v>756</v>
      </c>
      <c r="E212" s="59" t="s">
        <v>352</v>
      </c>
      <c r="F212" s="56">
        <v>36</v>
      </c>
      <c r="G212" s="73">
        <v>146</v>
      </c>
      <c r="H212" s="74" t="s">
        <v>752</v>
      </c>
      <c r="I212" s="59" t="s">
        <v>753</v>
      </c>
      <c r="J212" s="59" t="s">
        <v>754</v>
      </c>
      <c r="K212" s="69">
        <v>5403</v>
      </c>
      <c r="L212" s="56">
        <v>207</v>
      </c>
      <c r="M212" s="59" t="s">
        <v>26</v>
      </c>
      <c r="N212" s="61">
        <v>339.14</v>
      </c>
      <c r="O212" s="59" t="s">
        <v>313</v>
      </c>
      <c r="P212" s="62">
        <v>316.95</v>
      </c>
      <c r="Q212" s="63">
        <v>20</v>
      </c>
      <c r="R212" s="62">
        <v>63.39</v>
      </c>
      <c r="S212" s="61">
        <v>0</v>
      </c>
      <c r="T212" s="62">
        <v>22.19</v>
      </c>
    </row>
    <row r="213" spans="1:20" ht="11.1" customHeight="1" x14ac:dyDescent="0.25">
      <c r="O213" s="59" t="s">
        <v>436</v>
      </c>
      <c r="P213" s="62">
        <v>427.89</v>
      </c>
      <c r="Q213" s="63">
        <v>20</v>
      </c>
      <c r="R213" s="62">
        <v>22.19</v>
      </c>
      <c r="S213" s="61">
        <v>0</v>
      </c>
      <c r="T213" s="62">
        <v>0</v>
      </c>
    </row>
    <row r="214" spans="1:20" ht="11.1" customHeight="1" x14ac:dyDescent="0.25">
      <c r="A214" s="56">
        <v>109180</v>
      </c>
      <c r="B214" s="72">
        <v>46042</v>
      </c>
      <c r="C214" s="68">
        <v>46042</v>
      </c>
      <c r="D214" s="58" t="s">
        <v>757</v>
      </c>
      <c r="E214" s="59" t="s">
        <v>352</v>
      </c>
      <c r="F214" s="56">
        <v>36</v>
      </c>
      <c r="G214" s="73">
        <v>146</v>
      </c>
      <c r="H214" s="74" t="s">
        <v>752</v>
      </c>
      <c r="I214" s="59" t="s">
        <v>753</v>
      </c>
      <c r="J214" s="59" t="s">
        <v>754</v>
      </c>
      <c r="K214" s="69">
        <v>5102</v>
      </c>
      <c r="L214" s="56">
        <v>205</v>
      </c>
      <c r="M214" s="59" t="s">
        <v>26</v>
      </c>
      <c r="N214" s="61">
        <v>251.17</v>
      </c>
      <c r="O214" s="59" t="s">
        <v>313</v>
      </c>
      <c r="P214" s="62">
        <v>251.17</v>
      </c>
      <c r="Q214" s="63">
        <v>20</v>
      </c>
      <c r="R214" s="62">
        <v>50.23</v>
      </c>
      <c r="S214" s="61">
        <v>0</v>
      </c>
      <c r="T214" s="62">
        <v>0</v>
      </c>
    </row>
    <row r="215" spans="1:20" ht="11.1" customHeight="1" x14ac:dyDescent="0.25">
      <c r="A215" s="56">
        <v>109181</v>
      </c>
      <c r="B215" s="72">
        <v>46042</v>
      </c>
      <c r="C215" s="68">
        <v>46042</v>
      </c>
      <c r="D215" s="58" t="s">
        <v>757</v>
      </c>
      <c r="E215" s="59" t="s">
        <v>352</v>
      </c>
      <c r="F215" s="56">
        <v>36</v>
      </c>
      <c r="G215" s="73">
        <v>146</v>
      </c>
      <c r="H215" s="74" t="s">
        <v>752</v>
      </c>
      <c r="I215" s="59" t="s">
        <v>753</v>
      </c>
      <c r="J215" s="59" t="s">
        <v>754</v>
      </c>
      <c r="K215" s="69">
        <v>5403</v>
      </c>
      <c r="L215" s="56">
        <v>207</v>
      </c>
      <c r="M215" s="59" t="s">
        <v>26</v>
      </c>
      <c r="N215" s="61">
        <v>273.17</v>
      </c>
      <c r="O215" s="59" t="s">
        <v>313</v>
      </c>
      <c r="P215" s="62">
        <v>255.3</v>
      </c>
      <c r="Q215" s="63">
        <v>20</v>
      </c>
      <c r="R215" s="62">
        <v>51.06</v>
      </c>
      <c r="S215" s="61">
        <v>0</v>
      </c>
      <c r="T215" s="62">
        <v>17.87</v>
      </c>
    </row>
    <row r="216" spans="1:20" ht="11.1" customHeight="1" x14ac:dyDescent="0.25">
      <c r="O216" s="59" t="s">
        <v>436</v>
      </c>
      <c r="P216" s="62">
        <v>344.66</v>
      </c>
      <c r="Q216" s="63">
        <v>20</v>
      </c>
      <c r="R216" s="62">
        <v>17.87</v>
      </c>
      <c r="S216" s="61">
        <v>0</v>
      </c>
      <c r="T216" s="62">
        <v>0</v>
      </c>
    </row>
    <row r="217" spans="1:20" ht="11.85" customHeight="1" x14ac:dyDescent="0.25">
      <c r="A217" s="71" t="s">
        <v>620</v>
      </c>
      <c r="B217" s="71"/>
      <c r="C217" s="71"/>
      <c r="D217" s="71"/>
      <c r="E217" s="71"/>
      <c r="F217" s="71"/>
      <c r="G217" s="71"/>
      <c r="H217" s="71"/>
    </row>
    <row r="218" spans="1:20" ht="11.1" customHeight="1" x14ac:dyDescent="0.25">
      <c r="O218" s="59" t="s">
        <v>313</v>
      </c>
      <c r="P218" s="62">
        <v>1661.48</v>
      </c>
      <c r="R218" s="62">
        <v>332.3</v>
      </c>
      <c r="S218" s="61">
        <v>0</v>
      </c>
      <c r="T218" s="62">
        <v>44.98</v>
      </c>
    </row>
    <row r="219" spans="1:20" ht="11.1" customHeight="1" x14ac:dyDescent="0.25">
      <c r="O219" s="59" t="s">
        <v>436</v>
      </c>
      <c r="P219" s="62">
        <v>867.43</v>
      </c>
      <c r="R219" s="62">
        <v>44.98</v>
      </c>
      <c r="S219" s="61">
        <v>0</v>
      </c>
      <c r="T219" s="62">
        <v>0</v>
      </c>
    </row>
    <row r="220" spans="1:20" ht="11.1" customHeight="1" x14ac:dyDescent="0.25">
      <c r="A220" s="56">
        <v>109375</v>
      </c>
      <c r="B220" s="72">
        <v>46045</v>
      </c>
      <c r="C220" s="68">
        <v>46045</v>
      </c>
      <c r="D220" s="58" t="s">
        <v>758</v>
      </c>
      <c r="E220" s="59" t="s">
        <v>352</v>
      </c>
      <c r="F220" s="56">
        <v>36</v>
      </c>
      <c r="G220" s="73">
        <v>402</v>
      </c>
      <c r="H220" s="74" t="s">
        <v>759</v>
      </c>
      <c r="I220" s="59" t="s">
        <v>760</v>
      </c>
      <c r="J220" s="59" t="s">
        <v>761</v>
      </c>
      <c r="K220" s="69">
        <v>5403</v>
      </c>
      <c r="L220" s="56">
        <v>207</v>
      </c>
      <c r="M220" s="59" t="s">
        <v>26</v>
      </c>
      <c r="N220" s="61">
        <v>491.34</v>
      </c>
      <c r="O220" s="59" t="s">
        <v>313</v>
      </c>
      <c r="P220" s="62">
        <v>459.2</v>
      </c>
      <c r="Q220" s="63">
        <v>20</v>
      </c>
      <c r="R220" s="62">
        <v>91.84</v>
      </c>
      <c r="S220" s="61">
        <v>0</v>
      </c>
      <c r="T220" s="62">
        <v>32.14</v>
      </c>
    </row>
    <row r="221" spans="1:20" ht="11.1" customHeight="1" x14ac:dyDescent="0.25">
      <c r="O221" s="59" t="s">
        <v>436</v>
      </c>
      <c r="P221" s="62">
        <v>619.91999999999996</v>
      </c>
      <c r="Q221" s="63">
        <v>20</v>
      </c>
      <c r="R221" s="62">
        <v>32.14</v>
      </c>
      <c r="S221" s="61">
        <v>0</v>
      </c>
      <c r="T221" s="62">
        <v>0</v>
      </c>
    </row>
    <row r="222" spans="1:20" ht="11.85" customHeight="1" x14ac:dyDescent="0.25">
      <c r="A222" s="71" t="s">
        <v>620</v>
      </c>
      <c r="B222" s="71"/>
      <c r="C222" s="71"/>
      <c r="D222" s="71"/>
      <c r="E222" s="71"/>
      <c r="F222" s="71"/>
      <c r="G222" s="71"/>
      <c r="H222" s="71"/>
    </row>
    <row r="223" spans="1:20" ht="11.1" customHeight="1" x14ac:dyDescent="0.25">
      <c r="O223" s="59" t="s">
        <v>313</v>
      </c>
      <c r="P223" s="62">
        <v>459.2</v>
      </c>
      <c r="R223" s="62">
        <v>91.84</v>
      </c>
      <c r="S223" s="61">
        <v>0</v>
      </c>
      <c r="T223" s="62">
        <v>32.14</v>
      </c>
    </row>
    <row r="224" spans="1:20" ht="11.1" customHeight="1" x14ac:dyDescent="0.25">
      <c r="O224" s="59" t="s">
        <v>436</v>
      </c>
      <c r="P224" s="62">
        <v>619.91999999999996</v>
      </c>
      <c r="R224" s="62">
        <v>32.14</v>
      </c>
      <c r="S224" s="61">
        <v>0</v>
      </c>
      <c r="T224" s="62">
        <v>0</v>
      </c>
    </row>
    <row r="225" spans="1:20" ht="11.1" customHeight="1" x14ac:dyDescent="0.25">
      <c r="A225" s="56">
        <v>109729</v>
      </c>
      <c r="B225" s="72">
        <v>46042</v>
      </c>
      <c r="C225" s="68">
        <v>46042</v>
      </c>
      <c r="D225" s="58" t="s">
        <v>762</v>
      </c>
      <c r="E225" s="59" t="s">
        <v>412</v>
      </c>
      <c r="F225" s="56">
        <v>36</v>
      </c>
      <c r="G225" s="73">
        <v>930</v>
      </c>
      <c r="H225" s="74" t="s">
        <v>413</v>
      </c>
      <c r="I225" s="59" t="s">
        <v>763</v>
      </c>
      <c r="J225" s="59" t="s">
        <v>764</v>
      </c>
      <c r="K225" s="69">
        <v>5202</v>
      </c>
      <c r="L225" s="56">
        <v>216</v>
      </c>
      <c r="M225" s="59" t="s">
        <v>26</v>
      </c>
      <c r="N225" s="61">
        <v>644.38</v>
      </c>
      <c r="O225" s="59" t="s">
        <v>313</v>
      </c>
      <c r="P225" s="62">
        <v>644.38</v>
      </c>
      <c r="Q225" s="63">
        <v>20</v>
      </c>
      <c r="R225" s="62">
        <v>128.88</v>
      </c>
      <c r="S225" s="61">
        <v>0</v>
      </c>
      <c r="T225" s="62">
        <v>0</v>
      </c>
    </row>
    <row r="226" spans="1:20" ht="11.85" customHeight="1" x14ac:dyDescent="0.25">
      <c r="A226" s="71" t="s">
        <v>620</v>
      </c>
      <c r="B226" s="71"/>
      <c r="C226" s="71"/>
      <c r="D226" s="71"/>
      <c r="E226" s="71"/>
      <c r="F226" s="71"/>
      <c r="G226" s="71"/>
      <c r="H226" s="71"/>
    </row>
    <row r="227" spans="1:20" ht="11.1" customHeight="1" x14ac:dyDescent="0.25">
      <c r="O227" s="59" t="s">
        <v>313</v>
      </c>
      <c r="P227" s="62">
        <v>644.38</v>
      </c>
      <c r="R227" s="62">
        <v>128.88</v>
      </c>
      <c r="S227" s="61">
        <v>0</v>
      </c>
      <c r="T227" s="62">
        <v>0</v>
      </c>
    </row>
    <row r="228" spans="1:20" ht="11.1" customHeight="1" x14ac:dyDescent="0.25">
      <c r="A228" s="56">
        <v>108800</v>
      </c>
      <c r="B228" s="72">
        <v>46034</v>
      </c>
      <c r="C228" s="68">
        <v>46034</v>
      </c>
      <c r="D228" s="58" t="s">
        <v>765</v>
      </c>
      <c r="E228" s="59" t="s">
        <v>352</v>
      </c>
      <c r="F228" s="56">
        <v>36</v>
      </c>
      <c r="G228" s="73">
        <v>307</v>
      </c>
      <c r="H228" s="74" t="s">
        <v>766</v>
      </c>
      <c r="I228" s="59" t="s">
        <v>767</v>
      </c>
      <c r="J228" s="59" t="s">
        <v>768</v>
      </c>
      <c r="K228" s="69">
        <v>5102</v>
      </c>
      <c r="L228" s="56">
        <v>205</v>
      </c>
      <c r="M228" s="59" t="s">
        <v>26</v>
      </c>
      <c r="N228" s="61">
        <v>1241.06</v>
      </c>
      <c r="O228" s="59" t="s">
        <v>313</v>
      </c>
      <c r="P228" s="62">
        <v>1241.06</v>
      </c>
      <c r="Q228" s="63">
        <v>20</v>
      </c>
      <c r="R228" s="62">
        <v>248.21</v>
      </c>
      <c r="S228" s="61">
        <v>0</v>
      </c>
      <c r="T228" s="62">
        <v>0</v>
      </c>
    </row>
    <row r="229" spans="1:20" ht="11.85" customHeight="1" x14ac:dyDescent="0.25">
      <c r="A229" s="71" t="s">
        <v>620</v>
      </c>
      <c r="B229" s="71"/>
      <c r="C229" s="71"/>
      <c r="D229" s="71"/>
      <c r="E229" s="71"/>
      <c r="F229" s="71"/>
      <c r="G229" s="71"/>
      <c r="H229" s="71"/>
    </row>
    <row r="230" spans="1:20" ht="11.1" customHeight="1" x14ac:dyDescent="0.25">
      <c r="O230" s="59" t="s">
        <v>313</v>
      </c>
      <c r="P230" s="62">
        <v>1241.06</v>
      </c>
      <c r="R230" s="62">
        <v>248.21</v>
      </c>
      <c r="S230" s="61">
        <v>0</v>
      </c>
      <c r="T230" s="62">
        <v>0</v>
      </c>
    </row>
    <row r="231" spans="1:20" ht="11.1" customHeight="1" x14ac:dyDescent="0.25">
      <c r="A231" s="56">
        <v>108396</v>
      </c>
      <c r="B231" s="72">
        <v>46024</v>
      </c>
      <c r="C231" s="68">
        <v>46024</v>
      </c>
      <c r="D231" s="58" t="s">
        <v>769</v>
      </c>
      <c r="E231" s="59" t="s">
        <v>352</v>
      </c>
      <c r="F231" s="56">
        <v>36</v>
      </c>
      <c r="G231" s="73">
        <v>124</v>
      </c>
      <c r="H231" s="74" t="s">
        <v>770</v>
      </c>
      <c r="I231" s="59" t="s">
        <v>771</v>
      </c>
      <c r="J231" s="59" t="s">
        <v>772</v>
      </c>
      <c r="K231" s="69">
        <v>5102</v>
      </c>
      <c r="L231" s="56">
        <v>205</v>
      </c>
      <c r="M231" s="59" t="s">
        <v>26</v>
      </c>
      <c r="N231" s="61">
        <v>10671.15</v>
      </c>
      <c r="O231" s="59" t="s">
        <v>313</v>
      </c>
      <c r="P231" s="62">
        <v>10671.15</v>
      </c>
      <c r="Q231" s="63">
        <v>20</v>
      </c>
      <c r="R231" s="62">
        <v>2134.2199999999998</v>
      </c>
      <c r="S231" s="61">
        <v>0</v>
      </c>
      <c r="T231" s="62">
        <v>0</v>
      </c>
    </row>
    <row r="232" spans="1:20" ht="11.1" customHeight="1" x14ac:dyDescent="0.25">
      <c r="A232" s="56">
        <v>108397</v>
      </c>
      <c r="B232" s="72">
        <v>46024</v>
      </c>
      <c r="C232" s="68">
        <v>46024</v>
      </c>
      <c r="D232" s="58" t="s">
        <v>769</v>
      </c>
      <c r="E232" s="59" t="s">
        <v>352</v>
      </c>
      <c r="F232" s="56">
        <v>36</v>
      </c>
      <c r="G232" s="73">
        <v>124</v>
      </c>
      <c r="H232" s="74" t="s">
        <v>770</v>
      </c>
      <c r="I232" s="59" t="s">
        <v>771</v>
      </c>
      <c r="J232" s="59" t="s">
        <v>772</v>
      </c>
      <c r="K232" s="69">
        <v>5403</v>
      </c>
      <c r="L232" s="56">
        <v>207</v>
      </c>
      <c r="M232" s="59" t="s">
        <v>26</v>
      </c>
      <c r="N232" s="61">
        <v>12425.94</v>
      </c>
      <c r="O232" s="59" t="s">
        <v>313</v>
      </c>
      <c r="P232" s="62">
        <v>11613</v>
      </c>
      <c r="Q232" s="63">
        <v>20</v>
      </c>
      <c r="R232" s="62">
        <v>2322.59</v>
      </c>
      <c r="S232" s="61">
        <v>0</v>
      </c>
      <c r="T232" s="62">
        <v>812.94</v>
      </c>
    </row>
    <row r="233" spans="1:20" ht="11.1" customHeight="1" x14ac:dyDescent="0.25">
      <c r="O233" s="59" t="s">
        <v>436</v>
      </c>
      <c r="P233" s="62">
        <v>15677.54</v>
      </c>
      <c r="Q233" s="63">
        <v>20</v>
      </c>
      <c r="R233" s="62">
        <v>812.94</v>
      </c>
      <c r="S233" s="61">
        <v>0</v>
      </c>
      <c r="T233" s="62">
        <v>0</v>
      </c>
    </row>
    <row r="234" spans="1:20" ht="11.85" customHeight="1" x14ac:dyDescent="0.25">
      <c r="A234" s="71" t="s">
        <v>620</v>
      </c>
      <c r="B234" s="71"/>
      <c r="C234" s="71"/>
      <c r="D234" s="71"/>
      <c r="E234" s="71"/>
      <c r="F234" s="71"/>
      <c r="G234" s="71"/>
      <c r="H234" s="71"/>
    </row>
    <row r="235" spans="1:20" ht="11.1" customHeight="1" x14ac:dyDescent="0.25">
      <c r="O235" s="59" t="s">
        <v>313</v>
      </c>
      <c r="P235" s="62">
        <v>22284.15</v>
      </c>
      <c r="R235" s="62">
        <v>4456.8100000000004</v>
      </c>
      <c r="S235" s="61">
        <v>0</v>
      </c>
      <c r="T235" s="62">
        <v>812.94</v>
      </c>
    </row>
    <row r="236" spans="1:20" ht="11.1" customHeight="1" x14ac:dyDescent="0.25">
      <c r="O236" s="59" t="s">
        <v>436</v>
      </c>
      <c r="P236" s="62">
        <v>15677.54</v>
      </c>
      <c r="R236" s="62">
        <v>812.94</v>
      </c>
      <c r="S236" s="61">
        <v>0</v>
      </c>
      <c r="T236" s="62">
        <v>0</v>
      </c>
    </row>
    <row r="237" spans="1:20" ht="11.1" customHeight="1" x14ac:dyDescent="0.25">
      <c r="A237" s="56">
        <v>108444</v>
      </c>
      <c r="B237" s="72">
        <v>46027</v>
      </c>
      <c r="C237" s="68">
        <v>46027</v>
      </c>
      <c r="D237" s="58" t="s">
        <v>773</v>
      </c>
      <c r="E237" s="59" t="s">
        <v>352</v>
      </c>
      <c r="F237" s="56">
        <v>36</v>
      </c>
      <c r="G237" s="73">
        <v>165</v>
      </c>
      <c r="H237" s="74" t="s">
        <v>774</v>
      </c>
      <c r="I237" s="59" t="s">
        <v>775</v>
      </c>
      <c r="J237" s="59" t="s">
        <v>776</v>
      </c>
      <c r="K237" s="69">
        <v>6403</v>
      </c>
      <c r="L237" s="56">
        <v>207</v>
      </c>
      <c r="M237" s="59" t="s">
        <v>34</v>
      </c>
      <c r="N237" s="61">
        <v>1425.42</v>
      </c>
      <c r="O237" s="59" t="s">
        <v>313</v>
      </c>
      <c r="P237" s="62">
        <v>1237.3699999999999</v>
      </c>
      <c r="Q237" s="63">
        <v>12</v>
      </c>
      <c r="R237" s="62">
        <v>148.47999999999999</v>
      </c>
      <c r="S237" s="61">
        <v>0</v>
      </c>
      <c r="T237" s="62">
        <v>188.05</v>
      </c>
    </row>
    <row r="238" spans="1:20" ht="11.1" customHeight="1" x14ac:dyDescent="0.25">
      <c r="O238" s="59" t="s">
        <v>436</v>
      </c>
      <c r="P238" s="62">
        <v>1771.17</v>
      </c>
      <c r="Q238" s="63">
        <v>19</v>
      </c>
      <c r="R238" s="62">
        <v>188.05</v>
      </c>
      <c r="S238" s="61">
        <v>0</v>
      </c>
      <c r="T238" s="62">
        <v>0</v>
      </c>
    </row>
    <row r="239" spans="1:20" ht="11.1" customHeight="1" x14ac:dyDescent="0.25">
      <c r="A239" s="56">
        <v>108445</v>
      </c>
      <c r="B239" s="72">
        <v>46027</v>
      </c>
      <c r="C239" s="68">
        <v>46027</v>
      </c>
      <c r="D239" s="58" t="s">
        <v>773</v>
      </c>
      <c r="E239" s="59" t="s">
        <v>352</v>
      </c>
      <c r="F239" s="56">
        <v>36</v>
      </c>
      <c r="G239" s="73">
        <v>165</v>
      </c>
      <c r="H239" s="74" t="s">
        <v>774</v>
      </c>
      <c r="I239" s="59" t="s">
        <v>775</v>
      </c>
      <c r="J239" s="59" t="s">
        <v>776</v>
      </c>
      <c r="K239" s="69">
        <v>6102</v>
      </c>
      <c r="L239" s="56">
        <v>238</v>
      </c>
      <c r="M239" s="59" t="s">
        <v>34</v>
      </c>
      <c r="N239" s="61">
        <v>4469.8</v>
      </c>
      <c r="O239" s="59" t="s">
        <v>313</v>
      </c>
      <c r="P239" s="62">
        <v>4469.8</v>
      </c>
      <c r="Q239" s="63">
        <v>12</v>
      </c>
      <c r="R239" s="62">
        <v>536.38</v>
      </c>
      <c r="S239" s="61">
        <v>0</v>
      </c>
      <c r="T239" s="62">
        <v>0</v>
      </c>
    </row>
    <row r="240" spans="1:20" ht="11.85" customHeight="1" x14ac:dyDescent="0.25">
      <c r="A240" s="71" t="s">
        <v>620</v>
      </c>
      <c r="B240" s="71"/>
      <c r="C240" s="71"/>
      <c r="D240" s="71"/>
      <c r="E240" s="71"/>
      <c r="F240" s="71"/>
      <c r="G240" s="71"/>
      <c r="H240" s="71"/>
    </row>
    <row r="241" spans="1:20" ht="11.1" customHeight="1" x14ac:dyDescent="0.25">
      <c r="O241" s="59" t="s">
        <v>313</v>
      </c>
      <c r="P241" s="62">
        <v>5707.17</v>
      </c>
      <c r="R241" s="62">
        <v>684.86</v>
      </c>
      <c r="S241" s="61">
        <v>0</v>
      </c>
      <c r="T241" s="62">
        <v>188.05</v>
      </c>
    </row>
    <row r="242" spans="1:20" ht="11.1" customHeight="1" x14ac:dyDescent="0.25">
      <c r="O242" s="59" t="s">
        <v>436</v>
      </c>
      <c r="P242" s="62">
        <v>1771.17</v>
      </c>
      <c r="R242" s="62">
        <v>188.05</v>
      </c>
      <c r="S242" s="61">
        <v>0</v>
      </c>
      <c r="T242" s="62">
        <v>0</v>
      </c>
    </row>
    <row r="243" spans="1:20" ht="11.1" customHeight="1" x14ac:dyDescent="0.25">
      <c r="A243" s="56">
        <v>108487</v>
      </c>
      <c r="B243" s="72">
        <v>46028</v>
      </c>
      <c r="C243" s="68">
        <v>46028</v>
      </c>
      <c r="D243" s="58" t="s">
        <v>777</v>
      </c>
      <c r="E243" s="59" t="s">
        <v>352</v>
      </c>
      <c r="F243" s="56">
        <v>36</v>
      </c>
      <c r="G243" s="73">
        <v>757</v>
      </c>
      <c r="H243" s="74" t="s">
        <v>778</v>
      </c>
      <c r="I243" s="59" t="s">
        <v>779</v>
      </c>
      <c r="J243" s="59" t="s">
        <v>780</v>
      </c>
      <c r="K243" s="69">
        <v>5102</v>
      </c>
      <c r="L243" s="56">
        <v>205</v>
      </c>
      <c r="M243" s="59" t="s">
        <v>26</v>
      </c>
      <c r="N243" s="61">
        <v>550.52</v>
      </c>
      <c r="O243" s="59" t="s">
        <v>313</v>
      </c>
      <c r="P243" s="62">
        <v>550.52</v>
      </c>
      <c r="Q243" s="63">
        <v>20</v>
      </c>
      <c r="R243" s="62">
        <v>110.11</v>
      </c>
      <c r="S243" s="61">
        <v>0</v>
      </c>
      <c r="T243" s="62">
        <v>0</v>
      </c>
    </row>
    <row r="244" spans="1:20" ht="11.1" customHeight="1" x14ac:dyDescent="0.25">
      <c r="A244" s="56">
        <v>108488</v>
      </c>
      <c r="B244" s="72">
        <v>46028</v>
      </c>
      <c r="C244" s="68">
        <v>46028</v>
      </c>
      <c r="D244" s="58" t="s">
        <v>777</v>
      </c>
      <c r="E244" s="59" t="s">
        <v>352</v>
      </c>
      <c r="F244" s="56">
        <v>36</v>
      </c>
      <c r="G244" s="73">
        <v>757</v>
      </c>
      <c r="H244" s="74" t="s">
        <v>778</v>
      </c>
      <c r="I244" s="59" t="s">
        <v>779</v>
      </c>
      <c r="J244" s="59" t="s">
        <v>780</v>
      </c>
      <c r="K244" s="69">
        <v>5403</v>
      </c>
      <c r="L244" s="56">
        <v>207</v>
      </c>
      <c r="M244" s="59" t="s">
        <v>26</v>
      </c>
      <c r="N244" s="61">
        <v>582.99</v>
      </c>
      <c r="O244" s="59" t="s">
        <v>313</v>
      </c>
      <c r="P244" s="62">
        <v>544.86</v>
      </c>
      <c r="Q244" s="63">
        <v>20</v>
      </c>
      <c r="R244" s="62">
        <v>108.99</v>
      </c>
      <c r="S244" s="61">
        <v>0</v>
      </c>
      <c r="T244" s="62">
        <v>38.130000000000003</v>
      </c>
    </row>
    <row r="245" spans="1:20" ht="11.1" customHeight="1" x14ac:dyDescent="0.25">
      <c r="O245" s="59" t="s">
        <v>436</v>
      </c>
      <c r="P245" s="62">
        <v>735.57</v>
      </c>
      <c r="Q245" s="63">
        <v>20</v>
      </c>
      <c r="R245" s="62">
        <v>38.130000000000003</v>
      </c>
      <c r="S245" s="61">
        <v>0</v>
      </c>
      <c r="T245" s="62">
        <v>0</v>
      </c>
    </row>
    <row r="246" spans="1:20" ht="11.85" customHeight="1" x14ac:dyDescent="0.25">
      <c r="A246" s="71" t="s">
        <v>620</v>
      </c>
      <c r="B246" s="71"/>
      <c r="C246" s="71"/>
      <c r="D246" s="71"/>
      <c r="E246" s="71"/>
      <c r="F246" s="71"/>
      <c r="G246" s="71"/>
      <c r="H246" s="71"/>
    </row>
    <row r="247" spans="1:20" ht="11.1" customHeight="1" x14ac:dyDescent="0.25">
      <c r="O247" s="59" t="s">
        <v>313</v>
      </c>
      <c r="P247" s="62">
        <v>1095.3800000000001</v>
      </c>
      <c r="R247" s="62">
        <v>219.1</v>
      </c>
      <c r="S247" s="61">
        <v>0</v>
      </c>
      <c r="T247" s="62">
        <v>38.130000000000003</v>
      </c>
    </row>
    <row r="248" spans="1:20" ht="11.1" customHeight="1" x14ac:dyDescent="0.25">
      <c r="O248" s="59" t="s">
        <v>436</v>
      </c>
      <c r="P248" s="62">
        <v>735.57</v>
      </c>
      <c r="R248" s="62">
        <v>38.130000000000003</v>
      </c>
      <c r="S248" s="61">
        <v>0</v>
      </c>
      <c r="T248" s="62">
        <v>0</v>
      </c>
    </row>
    <row r="249" spans="1:20" ht="11.1" customHeight="1" x14ac:dyDescent="0.25">
      <c r="A249" s="56">
        <v>108574</v>
      </c>
      <c r="B249" s="72">
        <v>46029</v>
      </c>
      <c r="C249" s="68">
        <v>46029</v>
      </c>
      <c r="D249" s="58" t="s">
        <v>781</v>
      </c>
      <c r="E249" s="59" t="s">
        <v>352</v>
      </c>
      <c r="F249" s="56">
        <v>36</v>
      </c>
      <c r="G249" s="73">
        <v>504</v>
      </c>
      <c r="H249" s="74" t="s">
        <v>782</v>
      </c>
      <c r="I249" s="59" t="s">
        <v>783</v>
      </c>
      <c r="J249" s="59" t="s">
        <v>784</v>
      </c>
      <c r="K249" s="69">
        <v>5102</v>
      </c>
      <c r="L249" s="56">
        <v>205</v>
      </c>
      <c r="M249" s="59" t="s">
        <v>26</v>
      </c>
      <c r="N249" s="61">
        <v>1139.44</v>
      </c>
      <c r="O249" s="59" t="s">
        <v>313</v>
      </c>
      <c r="P249" s="62">
        <v>1139.44</v>
      </c>
      <c r="Q249" s="63">
        <v>20</v>
      </c>
      <c r="R249" s="62">
        <v>227.89</v>
      </c>
      <c r="S249" s="61">
        <v>0</v>
      </c>
      <c r="T249" s="62">
        <v>0</v>
      </c>
    </row>
    <row r="250" spans="1:20" ht="11.85" customHeight="1" x14ac:dyDescent="0.25">
      <c r="A250" s="71" t="s">
        <v>620</v>
      </c>
      <c r="B250" s="71"/>
      <c r="C250" s="71"/>
      <c r="D250" s="71"/>
      <c r="E250" s="71"/>
      <c r="F250" s="71"/>
      <c r="G250" s="71"/>
      <c r="H250" s="71"/>
    </row>
    <row r="251" spans="1:20" ht="11.1" customHeight="1" x14ac:dyDescent="0.25">
      <c r="O251" s="59" t="s">
        <v>313</v>
      </c>
      <c r="P251" s="62">
        <v>1139.44</v>
      </c>
      <c r="R251" s="62">
        <v>227.89</v>
      </c>
      <c r="S251" s="61">
        <v>0</v>
      </c>
      <c r="T251" s="62">
        <v>0</v>
      </c>
    </row>
    <row r="252" spans="1:20" ht="11.1" customHeight="1" x14ac:dyDescent="0.25">
      <c r="A252" s="56">
        <v>109076</v>
      </c>
      <c r="B252" s="72">
        <v>46041</v>
      </c>
      <c r="C252" s="68">
        <v>46041</v>
      </c>
      <c r="D252" s="58" t="s">
        <v>785</v>
      </c>
      <c r="E252" s="59" t="s">
        <v>352</v>
      </c>
      <c r="F252" s="56">
        <v>36</v>
      </c>
      <c r="G252" s="73">
        <v>894</v>
      </c>
      <c r="H252" s="74" t="s">
        <v>786</v>
      </c>
      <c r="I252" s="59" t="s">
        <v>787</v>
      </c>
      <c r="J252" s="59" t="s">
        <v>788</v>
      </c>
      <c r="K252" s="69">
        <v>5403</v>
      </c>
      <c r="L252" s="56">
        <v>207</v>
      </c>
      <c r="M252" s="59" t="s">
        <v>26</v>
      </c>
      <c r="N252" s="61">
        <v>1597.7</v>
      </c>
      <c r="O252" s="59" t="s">
        <v>313</v>
      </c>
      <c r="P252" s="62">
        <v>1493.18</v>
      </c>
      <c r="Q252" s="63">
        <v>20</v>
      </c>
      <c r="R252" s="62">
        <v>298.64</v>
      </c>
      <c r="S252" s="61">
        <v>0</v>
      </c>
      <c r="T252" s="62">
        <v>104.52</v>
      </c>
    </row>
    <row r="253" spans="1:20" ht="11.1" customHeight="1" x14ac:dyDescent="0.25">
      <c r="O253" s="59" t="s">
        <v>436</v>
      </c>
      <c r="P253" s="62">
        <v>2015.79</v>
      </c>
      <c r="Q253" s="63">
        <v>20</v>
      </c>
      <c r="R253" s="62">
        <v>104.52</v>
      </c>
      <c r="S253" s="61">
        <v>0</v>
      </c>
      <c r="T253" s="62">
        <v>0</v>
      </c>
    </row>
    <row r="254" spans="1:20" ht="11.85" customHeight="1" x14ac:dyDescent="0.25">
      <c r="A254" s="71" t="s">
        <v>620</v>
      </c>
      <c r="B254" s="71"/>
      <c r="C254" s="71"/>
      <c r="D254" s="71"/>
      <c r="E254" s="71"/>
      <c r="F254" s="71"/>
      <c r="G254" s="71"/>
      <c r="H254" s="71"/>
    </row>
    <row r="255" spans="1:20" ht="11.1" customHeight="1" x14ac:dyDescent="0.25">
      <c r="O255" s="59" t="s">
        <v>313</v>
      </c>
      <c r="P255" s="62">
        <v>1493.18</v>
      </c>
      <c r="R255" s="62">
        <v>298.64</v>
      </c>
      <c r="S255" s="61">
        <v>0</v>
      </c>
      <c r="T255" s="62">
        <v>104.52</v>
      </c>
    </row>
    <row r="256" spans="1:20" ht="11.1" customHeight="1" x14ac:dyDescent="0.25">
      <c r="O256" s="59" t="s">
        <v>436</v>
      </c>
      <c r="P256" s="62">
        <v>2015.79</v>
      </c>
      <c r="R256" s="62">
        <v>104.52</v>
      </c>
      <c r="S256" s="61">
        <v>0</v>
      </c>
      <c r="T256" s="62">
        <v>0</v>
      </c>
    </row>
    <row r="257" spans="1:20" ht="11.1" customHeight="1" x14ac:dyDescent="0.25">
      <c r="A257" s="56">
        <v>108670</v>
      </c>
      <c r="B257" s="72">
        <v>46030</v>
      </c>
      <c r="C257" s="68">
        <v>46030</v>
      </c>
      <c r="D257" s="58" t="s">
        <v>789</v>
      </c>
      <c r="E257" s="59" t="s">
        <v>352</v>
      </c>
      <c r="F257" s="56">
        <v>36</v>
      </c>
      <c r="G257" s="73">
        <v>427</v>
      </c>
      <c r="H257" s="74" t="s">
        <v>790</v>
      </c>
      <c r="I257" s="59" t="s">
        <v>791</v>
      </c>
      <c r="J257" s="59" t="s">
        <v>792</v>
      </c>
      <c r="K257" s="69">
        <v>5102</v>
      </c>
      <c r="L257" s="56">
        <v>205</v>
      </c>
      <c r="M257" s="59" t="s">
        <v>26</v>
      </c>
      <c r="N257" s="61">
        <v>804.96</v>
      </c>
      <c r="O257" s="59" t="s">
        <v>313</v>
      </c>
      <c r="P257" s="62">
        <v>804.96</v>
      </c>
      <c r="Q257" s="63">
        <v>20</v>
      </c>
      <c r="R257" s="62">
        <v>160.99</v>
      </c>
      <c r="S257" s="61">
        <v>0</v>
      </c>
      <c r="T257" s="62">
        <v>0</v>
      </c>
    </row>
    <row r="258" spans="1:20" ht="11.1" customHeight="1" x14ac:dyDescent="0.25">
      <c r="A258" s="56">
        <v>108671</v>
      </c>
      <c r="B258" s="72">
        <v>46030</v>
      </c>
      <c r="C258" s="68">
        <v>46030</v>
      </c>
      <c r="D258" s="58" t="s">
        <v>789</v>
      </c>
      <c r="E258" s="59" t="s">
        <v>352</v>
      </c>
      <c r="F258" s="56">
        <v>36</v>
      </c>
      <c r="G258" s="73">
        <v>427</v>
      </c>
      <c r="H258" s="74" t="s">
        <v>790</v>
      </c>
      <c r="I258" s="59" t="s">
        <v>791</v>
      </c>
      <c r="J258" s="59" t="s">
        <v>792</v>
      </c>
      <c r="K258" s="69">
        <v>5403</v>
      </c>
      <c r="L258" s="56">
        <v>207</v>
      </c>
      <c r="M258" s="59" t="s">
        <v>26</v>
      </c>
      <c r="N258" s="61">
        <v>2175.7399999999998</v>
      </c>
      <c r="O258" s="59" t="s">
        <v>313</v>
      </c>
      <c r="P258" s="62">
        <v>2033.4</v>
      </c>
      <c r="Q258" s="63">
        <v>20</v>
      </c>
      <c r="R258" s="62">
        <v>406.68</v>
      </c>
      <c r="S258" s="61">
        <v>0</v>
      </c>
      <c r="T258" s="62">
        <v>142.34</v>
      </c>
    </row>
    <row r="259" spans="1:20" ht="11.1" customHeight="1" x14ac:dyDescent="0.25">
      <c r="O259" s="59" t="s">
        <v>436</v>
      </c>
      <c r="P259" s="62">
        <v>2745.09</v>
      </c>
      <c r="Q259" s="63">
        <v>20</v>
      </c>
      <c r="R259" s="62">
        <v>142.34</v>
      </c>
      <c r="S259" s="61">
        <v>0</v>
      </c>
      <c r="T259" s="62">
        <v>0</v>
      </c>
    </row>
    <row r="260" spans="1:20" ht="11.1" customHeight="1" x14ac:dyDescent="0.25">
      <c r="A260" s="56">
        <v>108672</v>
      </c>
      <c r="B260" s="72">
        <v>46030</v>
      </c>
      <c r="C260" s="68">
        <v>46030</v>
      </c>
      <c r="D260" s="58" t="s">
        <v>793</v>
      </c>
      <c r="E260" s="59" t="s">
        <v>352</v>
      </c>
      <c r="F260" s="56">
        <v>36</v>
      </c>
      <c r="G260" s="73">
        <v>427</v>
      </c>
      <c r="H260" s="74" t="s">
        <v>790</v>
      </c>
      <c r="I260" s="59" t="s">
        <v>791</v>
      </c>
      <c r="J260" s="59" t="s">
        <v>792</v>
      </c>
      <c r="K260" s="69">
        <v>5403</v>
      </c>
      <c r="L260" s="56">
        <v>207</v>
      </c>
      <c r="M260" s="59" t="s">
        <v>26</v>
      </c>
      <c r="N260" s="61">
        <v>1087.8699999999999</v>
      </c>
      <c r="O260" s="59" t="s">
        <v>313</v>
      </c>
      <c r="P260" s="62">
        <v>1016.7</v>
      </c>
      <c r="Q260" s="63">
        <v>20</v>
      </c>
      <c r="R260" s="62">
        <v>203.34</v>
      </c>
      <c r="S260" s="61">
        <v>0</v>
      </c>
      <c r="T260" s="62">
        <v>71.17</v>
      </c>
    </row>
    <row r="261" spans="1:20" ht="11.1" customHeight="1" x14ac:dyDescent="0.25">
      <c r="O261" s="59" t="s">
        <v>436</v>
      </c>
      <c r="P261" s="62">
        <v>1372.55</v>
      </c>
      <c r="Q261" s="63">
        <v>20</v>
      </c>
      <c r="R261" s="62">
        <v>71.17</v>
      </c>
      <c r="S261" s="61">
        <v>0</v>
      </c>
      <c r="T261" s="62">
        <v>0</v>
      </c>
    </row>
    <row r="262" spans="1:20" ht="11.85" customHeight="1" x14ac:dyDescent="0.25">
      <c r="A262" s="71" t="s">
        <v>620</v>
      </c>
      <c r="B262" s="71"/>
      <c r="C262" s="71"/>
      <c r="D262" s="71"/>
      <c r="E262" s="71"/>
      <c r="F262" s="71"/>
      <c r="G262" s="71"/>
      <c r="H262" s="71"/>
    </row>
    <row r="263" spans="1:20" ht="11.1" customHeight="1" x14ac:dyDescent="0.25">
      <c r="O263" s="59" t="s">
        <v>313</v>
      </c>
      <c r="P263" s="62">
        <v>3855.06</v>
      </c>
      <c r="R263" s="62">
        <v>771.01</v>
      </c>
      <c r="S263" s="61">
        <v>0</v>
      </c>
      <c r="T263" s="62">
        <v>213.51</v>
      </c>
    </row>
    <row r="264" spans="1:20" ht="11.1" customHeight="1" x14ac:dyDescent="0.25">
      <c r="O264" s="59" t="s">
        <v>436</v>
      </c>
      <c r="P264" s="62">
        <v>4117.6400000000003</v>
      </c>
      <c r="R264" s="62">
        <v>213.51</v>
      </c>
      <c r="S264" s="61">
        <v>0</v>
      </c>
      <c r="T264" s="62">
        <v>0</v>
      </c>
    </row>
    <row r="265" spans="1:20" ht="11.1" customHeight="1" x14ac:dyDescent="0.25">
      <c r="A265" s="56">
        <v>108469</v>
      </c>
      <c r="B265" s="72">
        <v>46027</v>
      </c>
      <c r="C265" s="68">
        <v>46027</v>
      </c>
      <c r="D265" s="58" t="s">
        <v>794</v>
      </c>
      <c r="E265" s="59" t="s">
        <v>352</v>
      </c>
      <c r="F265" s="56">
        <v>36</v>
      </c>
      <c r="G265" s="73">
        <v>590</v>
      </c>
      <c r="H265" s="74" t="s">
        <v>795</v>
      </c>
      <c r="I265" s="59" t="s">
        <v>796</v>
      </c>
      <c r="J265" s="59" t="s">
        <v>797</v>
      </c>
      <c r="K265" s="69">
        <v>5102</v>
      </c>
      <c r="L265" s="56">
        <v>205</v>
      </c>
      <c r="M265" s="59" t="s">
        <v>26</v>
      </c>
      <c r="N265" s="61">
        <v>1210.03</v>
      </c>
      <c r="O265" s="59" t="s">
        <v>313</v>
      </c>
      <c r="P265" s="62">
        <v>1210.03</v>
      </c>
      <c r="Q265" s="63">
        <v>20</v>
      </c>
      <c r="R265" s="62">
        <v>242.02</v>
      </c>
      <c r="S265" s="61">
        <v>0</v>
      </c>
      <c r="T265" s="62">
        <v>0</v>
      </c>
    </row>
    <row r="266" spans="1:20" ht="11.1" customHeight="1" x14ac:dyDescent="0.25">
      <c r="A266" s="56">
        <v>108470</v>
      </c>
      <c r="B266" s="72">
        <v>46027</v>
      </c>
      <c r="C266" s="68">
        <v>46027</v>
      </c>
      <c r="D266" s="58" t="s">
        <v>794</v>
      </c>
      <c r="E266" s="59" t="s">
        <v>352</v>
      </c>
      <c r="F266" s="56">
        <v>36</v>
      </c>
      <c r="G266" s="73">
        <v>590</v>
      </c>
      <c r="H266" s="74" t="s">
        <v>795</v>
      </c>
      <c r="I266" s="59" t="s">
        <v>796</v>
      </c>
      <c r="J266" s="59" t="s">
        <v>797</v>
      </c>
      <c r="K266" s="69">
        <v>5403</v>
      </c>
      <c r="L266" s="56">
        <v>207</v>
      </c>
      <c r="M266" s="59" t="s">
        <v>26</v>
      </c>
      <c r="N266" s="61">
        <v>189.39</v>
      </c>
      <c r="O266" s="59" t="s">
        <v>313</v>
      </c>
      <c r="P266" s="62">
        <v>177</v>
      </c>
      <c r="Q266" s="63">
        <v>20</v>
      </c>
      <c r="R266" s="62">
        <v>35.4</v>
      </c>
      <c r="S266" s="61">
        <v>0</v>
      </c>
      <c r="T266" s="62">
        <v>12.39</v>
      </c>
    </row>
    <row r="267" spans="1:20" ht="11.1" customHeight="1" x14ac:dyDescent="0.25">
      <c r="O267" s="59" t="s">
        <v>436</v>
      </c>
      <c r="P267" s="62">
        <v>238.95</v>
      </c>
      <c r="Q267" s="63">
        <v>20</v>
      </c>
      <c r="R267" s="62">
        <v>12.39</v>
      </c>
      <c r="S267" s="61">
        <v>0</v>
      </c>
      <c r="T267" s="62">
        <v>0</v>
      </c>
    </row>
    <row r="268" spans="1:20" ht="11.1" customHeight="1" x14ac:dyDescent="0.25">
      <c r="A268" s="56">
        <v>109174</v>
      </c>
      <c r="B268" s="72">
        <v>46042</v>
      </c>
      <c r="C268" s="68">
        <v>46042</v>
      </c>
      <c r="D268" s="58" t="s">
        <v>798</v>
      </c>
      <c r="E268" s="59" t="s">
        <v>352</v>
      </c>
      <c r="F268" s="56">
        <v>36</v>
      </c>
      <c r="G268" s="73">
        <v>590</v>
      </c>
      <c r="H268" s="74" t="s">
        <v>795</v>
      </c>
      <c r="I268" s="59" t="s">
        <v>796</v>
      </c>
      <c r="J268" s="59" t="s">
        <v>797</v>
      </c>
      <c r="K268" s="69">
        <v>5102</v>
      </c>
      <c r="L268" s="56">
        <v>205</v>
      </c>
      <c r="M268" s="59" t="s">
        <v>26</v>
      </c>
      <c r="N268" s="61">
        <v>244.76</v>
      </c>
      <c r="O268" s="59" t="s">
        <v>313</v>
      </c>
      <c r="P268" s="62">
        <v>244.76</v>
      </c>
      <c r="Q268" s="63">
        <v>20</v>
      </c>
      <c r="R268" s="62">
        <v>48.95</v>
      </c>
      <c r="S268" s="61">
        <v>0</v>
      </c>
      <c r="T268" s="62">
        <v>0</v>
      </c>
    </row>
    <row r="269" spans="1:20" ht="11.1" customHeight="1" x14ac:dyDescent="0.25">
      <c r="A269" s="56">
        <v>109175</v>
      </c>
      <c r="B269" s="72">
        <v>46042</v>
      </c>
      <c r="C269" s="68">
        <v>46042</v>
      </c>
      <c r="D269" s="58" t="s">
        <v>798</v>
      </c>
      <c r="E269" s="59" t="s">
        <v>352</v>
      </c>
      <c r="F269" s="56">
        <v>36</v>
      </c>
      <c r="G269" s="73">
        <v>590</v>
      </c>
      <c r="H269" s="74" t="s">
        <v>795</v>
      </c>
      <c r="I269" s="59" t="s">
        <v>796</v>
      </c>
      <c r="J269" s="59" t="s">
        <v>797</v>
      </c>
      <c r="K269" s="69">
        <v>5403</v>
      </c>
      <c r="L269" s="56">
        <v>207</v>
      </c>
      <c r="M269" s="59" t="s">
        <v>26</v>
      </c>
      <c r="N269" s="61">
        <v>819.72</v>
      </c>
      <c r="O269" s="59" t="s">
        <v>313</v>
      </c>
      <c r="P269" s="62">
        <v>766.08</v>
      </c>
      <c r="Q269" s="63">
        <v>20</v>
      </c>
      <c r="R269" s="62">
        <v>153.21</v>
      </c>
      <c r="S269" s="61">
        <v>0</v>
      </c>
      <c r="T269" s="62">
        <v>53.64</v>
      </c>
    </row>
    <row r="270" spans="1:20" ht="11.1" customHeight="1" x14ac:dyDescent="0.25">
      <c r="O270" s="59" t="s">
        <v>436</v>
      </c>
      <c r="P270" s="62">
        <v>1034.21</v>
      </c>
      <c r="Q270" s="63">
        <v>20</v>
      </c>
      <c r="R270" s="62">
        <v>53.64</v>
      </c>
      <c r="S270" s="61">
        <v>0</v>
      </c>
      <c r="T270" s="62">
        <v>0</v>
      </c>
    </row>
    <row r="271" spans="1:20" ht="11.85" customHeight="1" x14ac:dyDescent="0.25">
      <c r="A271" s="71" t="s">
        <v>620</v>
      </c>
      <c r="B271" s="71"/>
      <c r="C271" s="71"/>
      <c r="D271" s="71"/>
      <c r="E271" s="71"/>
      <c r="F271" s="71"/>
      <c r="G271" s="71"/>
      <c r="H271" s="71"/>
    </row>
    <row r="272" spans="1:20" ht="11.1" customHeight="1" x14ac:dyDescent="0.25">
      <c r="O272" s="59" t="s">
        <v>313</v>
      </c>
      <c r="P272" s="62">
        <v>2397.87</v>
      </c>
      <c r="R272" s="62">
        <v>479.58</v>
      </c>
      <c r="S272" s="61">
        <v>0</v>
      </c>
      <c r="T272" s="62">
        <v>66.03</v>
      </c>
    </row>
    <row r="273" spans="1:20" ht="11.1" customHeight="1" x14ac:dyDescent="0.25">
      <c r="O273" s="59" t="s">
        <v>436</v>
      </c>
      <c r="P273" s="62">
        <v>1273.1600000000001</v>
      </c>
      <c r="R273" s="62">
        <v>66.03</v>
      </c>
      <c r="S273" s="61">
        <v>0</v>
      </c>
      <c r="T273" s="62">
        <v>0</v>
      </c>
    </row>
    <row r="274" spans="1:20" ht="11.1" customHeight="1" x14ac:dyDescent="0.25">
      <c r="A274" s="56">
        <v>108590</v>
      </c>
      <c r="B274" s="72">
        <v>46029</v>
      </c>
      <c r="C274" s="68">
        <v>46029</v>
      </c>
      <c r="D274" s="58" t="s">
        <v>799</v>
      </c>
      <c r="E274" s="59" t="s">
        <v>352</v>
      </c>
      <c r="F274" s="56">
        <v>36</v>
      </c>
      <c r="G274" s="73">
        <v>643</v>
      </c>
      <c r="H274" s="74" t="s">
        <v>800</v>
      </c>
      <c r="I274" s="59" t="s">
        <v>801</v>
      </c>
      <c r="J274" s="59" t="s">
        <v>802</v>
      </c>
      <c r="K274" s="69">
        <v>5102</v>
      </c>
      <c r="L274" s="56">
        <v>205</v>
      </c>
      <c r="M274" s="59" t="s">
        <v>26</v>
      </c>
      <c r="N274" s="61">
        <v>529.83000000000004</v>
      </c>
      <c r="O274" s="59" t="s">
        <v>313</v>
      </c>
      <c r="P274" s="62">
        <v>529.83000000000004</v>
      </c>
      <c r="Q274" s="63">
        <v>20</v>
      </c>
      <c r="R274" s="62">
        <v>105.97</v>
      </c>
      <c r="S274" s="61">
        <v>0</v>
      </c>
      <c r="T274" s="62">
        <v>0</v>
      </c>
    </row>
    <row r="275" spans="1:20" ht="11.1" customHeight="1" x14ac:dyDescent="0.25">
      <c r="A275" s="56">
        <v>108591</v>
      </c>
      <c r="B275" s="72">
        <v>46029</v>
      </c>
      <c r="C275" s="68">
        <v>46029</v>
      </c>
      <c r="D275" s="58" t="s">
        <v>799</v>
      </c>
      <c r="E275" s="59" t="s">
        <v>352</v>
      </c>
      <c r="F275" s="56">
        <v>36</v>
      </c>
      <c r="G275" s="73">
        <v>643</v>
      </c>
      <c r="H275" s="74" t="s">
        <v>800</v>
      </c>
      <c r="I275" s="59" t="s">
        <v>801</v>
      </c>
      <c r="J275" s="59" t="s">
        <v>802</v>
      </c>
      <c r="K275" s="69">
        <v>5403</v>
      </c>
      <c r="L275" s="56">
        <v>207</v>
      </c>
      <c r="M275" s="59" t="s">
        <v>26</v>
      </c>
      <c r="N275" s="61">
        <v>1323.64</v>
      </c>
      <c r="O275" s="59" t="s">
        <v>313</v>
      </c>
      <c r="P275" s="62">
        <v>1237.05</v>
      </c>
      <c r="Q275" s="63">
        <v>20</v>
      </c>
      <c r="R275" s="62">
        <v>247.41</v>
      </c>
      <c r="S275" s="61">
        <v>0</v>
      </c>
      <c r="T275" s="62">
        <v>86.59</v>
      </c>
    </row>
    <row r="276" spans="1:20" ht="11.1" customHeight="1" x14ac:dyDescent="0.25">
      <c r="O276" s="59" t="s">
        <v>436</v>
      </c>
      <c r="P276" s="62">
        <v>1670.02</v>
      </c>
      <c r="Q276" s="63">
        <v>20</v>
      </c>
      <c r="R276" s="62">
        <v>86.59</v>
      </c>
      <c r="S276" s="61">
        <v>0</v>
      </c>
      <c r="T276" s="62">
        <v>0</v>
      </c>
    </row>
    <row r="277" spans="1:20" ht="11.1" customHeight="1" x14ac:dyDescent="0.25">
      <c r="A277" s="56">
        <v>108600</v>
      </c>
      <c r="B277" s="72">
        <v>46029</v>
      </c>
      <c r="C277" s="68">
        <v>46029</v>
      </c>
      <c r="D277" s="58" t="s">
        <v>803</v>
      </c>
      <c r="E277" s="59" t="s">
        <v>352</v>
      </c>
      <c r="F277" s="56">
        <v>36</v>
      </c>
      <c r="G277" s="73">
        <v>643</v>
      </c>
      <c r="H277" s="74" t="s">
        <v>800</v>
      </c>
      <c r="I277" s="59" t="s">
        <v>801</v>
      </c>
      <c r="J277" s="59" t="s">
        <v>802</v>
      </c>
      <c r="K277" s="69">
        <v>5102</v>
      </c>
      <c r="L277" s="56">
        <v>205</v>
      </c>
      <c r="M277" s="59" t="s">
        <v>26</v>
      </c>
      <c r="N277" s="61">
        <v>668</v>
      </c>
      <c r="O277" s="59" t="s">
        <v>313</v>
      </c>
      <c r="P277" s="62">
        <v>668</v>
      </c>
      <c r="Q277" s="63">
        <v>20</v>
      </c>
      <c r="R277" s="62">
        <v>133.6</v>
      </c>
      <c r="S277" s="61">
        <v>0</v>
      </c>
      <c r="T277" s="62">
        <v>0</v>
      </c>
    </row>
    <row r="278" spans="1:20" ht="11.1" customHeight="1" x14ac:dyDescent="0.25">
      <c r="A278" s="56">
        <v>108974</v>
      </c>
      <c r="B278" s="72">
        <v>46037</v>
      </c>
      <c r="C278" s="68">
        <v>46037</v>
      </c>
      <c r="D278" s="58" t="s">
        <v>804</v>
      </c>
      <c r="E278" s="59" t="s">
        <v>352</v>
      </c>
      <c r="F278" s="56">
        <v>36</v>
      </c>
      <c r="G278" s="73">
        <v>643</v>
      </c>
      <c r="H278" s="74" t="s">
        <v>800</v>
      </c>
      <c r="I278" s="59" t="s">
        <v>801</v>
      </c>
      <c r="J278" s="59" t="s">
        <v>802</v>
      </c>
      <c r="K278" s="69">
        <v>5102</v>
      </c>
      <c r="L278" s="56">
        <v>205</v>
      </c>
      <c r="M278" s="59" t="s">
        <v>26</v>
      </c>
      <c r="N278" s="61">
        <v>668</v>
      </c>
      <c r="O278" s="59" t="s">
        <v>313</v>
      </c>
      <c r="P278" s="62">
        <v>668</v>
      </c>
      <c r="Q278" s="63">
        <v>20</v>
      </c>
      <c r="R278" s="62">
        <v>133.6</v>
      </c>
      <c r="S278" s="61">
        <v>0</v>
      </c>
      <c r="T278" s="62">
        <v>0</v>
      </c>
    </row>
    <row r="279" spans="1:20" ht="11.1" customHeight="1" x14ac:dyDescent="0.25">
      <c r="A279" s="56">
        <v>109430</v>
      </c>
      <c r="B279" s="72">
        <v>46048</v>
      </c>
      <c r="C279" s="68">
        <v>46048</v>
      </c>
      <c r="D279" s="58" t="s">
        <v>805</v>
      </c>
      <c r="E279" s="59" t="s">
        <v>352</v>
      </c>
      <c r="F279" s="56">
        <v>36</v>
      </c>
      <c r="G279" s="73">
        <v>643</v>
      </c>
      <c r="H279" s="74" t="s">
        <v>800</v>
      </c>
      <c r="I279" s="59" t="s">
        <v>801</v>
      </c>
      <c r="J279" s="59" t="s">
        <v>802</v>
      </c>
      <c r="K279" s="69">
        <v>5102</v>
      </c>
      <c r="L279" s="56">
        <v>205</v>
      </c>
      <c r="M279" s="59" t="s">
        <v>26</v>
      </c>
      <c r="N279" s="61">
        <v>529.83000000000004</v>
      </c>
      <c r="O279" s="59" t="s">
        <v>313</v>
      </c>
      <c r="P279" s="62">
        <v>529.83000000000004</v>
      </c>
      <c r="Q279" s="63">
        <v>20</v>
      </c>
      <c r="R279" s="62">
        <v>105.97</v>
      </c>
      <c r="S279" s="61">
        <v>0</v>
      </c>
      <c r="T279" s="62">
        <v>0</v>
      </c>
    </row>
    <row r="280" spans="1:20" ht="11.1" customHeight="1" x14ac:dyDescent="0.25">
      <c r="A280" s="56">
        <v>109431</v>
      </c>
      <c r="B280" s="72">
        <v>46048</v>
      </c>
      <c r="C280" s="68">
        <v>46048</v>
      </c>
      <c r="D280" s="58" t="s">
        <v>805</v>
      </c>
      <c r="E280" s="59" t="s">
        <v>352</v>
      </c>
      <c r="F280" s="56">
        <v>36</v>
      </c>
      <c r="G280" s="73">
        <v>643</v>
      </c>
      <c r="H280" s="74" t="s">
        <v>800</v>
      </c>
      <c r="I280" s="59" t="s">
        <v>801</v>
      </c>
      <c r="J280" s="59" t="s">
        <v>802</v>
      </c>
      <c r="K280" s="69">
        <v>5403</v>
      </c>
      <c r="L280" s="56">
        <v>207</v>
      </c>
      <c r="M280" s="59" t="s">
        <v>26</v>
      </c>
      <c r="N280" s="61">
        <v>1323.64</v>
      </c>
      <c r="O280" s="59" t="s">
        <v>313</v>
      </c>
      <c r="P280" s="62">
        <v>1237.05</v>
      </c>
      <c r="Q280" s="63">
        <v>20</v>
      </c>
      <c r="R280" s="62">
        <v>247.41</v>
      </c>
      <c r="S280" s="61">
        <v>0</v>
      </c>
      <c r="T280" s="62">
        <v>86.59</v>
      </c>
    </row>
    <row r="281" spans="1:20" ht="11.1" customHeight="1" x14ac:dyDescent="0.25">
      <c r="O281" s="59" t="s">
        <v>436</v>
      </c>
      <c r="P281" s="62">
        <v>1670.02</v>
      </c>
      <c r="Q281" s="63">
        <v>20</v>
      </c>
      <c r="R281" s="62">
        <v>86.59</v>
      </c>
      <c r="S281" s="61">
        <v>0</v>
      </c>
      <c r="T281" s="62">
        <v>0</v>
      </c>
    </row>
    <row r="282" spans="1:20" ht="11.1" customHeight="1" x14ac:dyDescent="0.25">
      <c r="A282" s="56">
        <v>109542</v>
      </c>
      <c r="B282" s="72">
        <v>46050</v>
      </c>
      <c r="C282" s="68">
        <v>46050</v>
      </c>
      <c r="D282" s="58" t="s">
        <v>806</v>
      </c>
      <c r="E282" s="59" t="s">
        <v>352</v>
      </c>
      <c r="F282" s="56">
        <v>36</v>
      </c>
      <c r="G282" s="73">
        <v>643</v>
      </c>
      <c r="H282" s="74" t="s">
        <v>800</v>
      </c>
      <c r="I282" s="59" t="s">
        <v>801</v>
      </c>
      <c r="J282" s="59" t="s">
        <v>802</v>
      </c>
      <c r="K282" s="69">
        <v>5102</v>
      </c>
      <c r="L282" s="56">
        <v>205</v>
      </c>
      <c r="M282" s="59" t="s">
        <v>26</v>
      </c>
      <c r="N282" s="61">
        <v>668</v>
      </c>
      <c r="O282" s="59" t="s">
        <v>313</v>
      </c>
      <c r="P282" s="62">
        <v>668</v>
      </c>
      <c r="Q282" s="63">
        <v>20</v>
      </c>
      <c r="R282" s="62">
        <v>133.6</v>
      </c>
      <c r="S282" s="61">
        <v>0</v>
      </c>
      <c r="T282" s="62">
        <v>0</v>
      </c>
    </row>
    <row r="283" spans="1:20" ht="11.85" customHeight="1" x14ac:dyDescent="0.25">
      <c r="A283" s="71" t="s">
        <v>620</v>
      </c>
      <c r="B283" s="71"/>
      <c r="C283" s="71"/>
      <c r="D283" s="71"/>
      <c r="E283" s="71"/>
      <c r="F283" s="71"/>
      <c r="G283" s="71"/>
      <c r="H283" s="71"/>
    </row>
    <row r="284" spans="1:20" ht="11.1" customHeight="1" x14ac:dyDescent="0.25">
      <c r="O284" s="59" t="s">
        <v>313</v>
      </c>
      <c r="P284" s="62">
        <v>5537.76</v>
      </c>
      <c r="R284" s="62">
        <v>1107.56</v>
      </c>
      <c r="S284" s="61">
        <v>0</v>
      </c>
      <c r="T284" s="62">
        <v>173.18</v>
      </c>
    </row>
    <row r="285" spans="1:20" ht="11.1" customHeight="1" x14ac:dyDescent="0.25">
      <c r="O285" s="59" t="s">
        <v>436</v>
      </c>
      <c r="P285" s="62">
        <v>3340.04</v>
      </c>
      <c r="R285" s="62">
        <v>173.18</v>
      </c>
      <c r="S285" s="61">
        <v>0</v>
      </c>
      <c r="T285" s="62">
        <v>0</v>
      </c>
    </row>
    <row r="286" spans="1:20" ht="11.1" customHeight="1" x14ac:dyDescent="0.25">
      <c r="A286" s="56">
        <v>109268</v>
      </c>
      <c r="B286" s="72">
        <v>46044</v>
      </c>
      <c r="C286" s="68">
        <v>46044</v>
      </c>
      <c r="D286" s="58" t="s">
        <v>807</v>
      </c>
      <c r="E286" s="59" t="s">
        <v>352</v>
      </c>
      <c r="F286" s="56">
        <v>36</v>
      </c>
      <c r="G286" s="73">
        <v>927</v>
      </c>
      <c r="H286" s="74" t="s">
        <v>808</v>
      </c>
      <c r="I286" s="59" t="s">
        <v>809</v>
      </c>
      <c r="J286" s="59" t="s">
        <v>810</v>
      </c>
      <c r="K286" s="69">
        <v>5403</v>
      </c>
      <c r="L286" s="56">
        <v>207</v>
      </c>
      <c r="M286" s="59" t="s">
        <v>26</v>
      </c>
      <c r="N286" s="61">
        <v>641.79</v>
      </c>
      <c r="O286" s="59" t="s">
        <v>313</v>
      </c>
      <c r="P286" s="62">
        <v>599.79999999999995</v>
      </c>
      <c r="Q286" s="63">
        <v>20</v>
      </c>
      <c r="R286" s="62">
        <v>119.96</v>
      </c>
      <c r="S286" s="61">
        <v>0</v>
      </c>
      <c r="T286" s="62">
        <v>41.99</v>
      </c>
    </row>
    <row r="287" spans="1:20" ht="11.1" customHeight="1" x14ac:dyDescent="0.25">
      <c r="O287" s="59" t="s">
        <v>436</v>
      </c>
      <c r="P287" s="62">
        <v>809.73</v>
      </c>
      <c r="Q287" s="63">
        <v>20</v>
      </c>
      <c r="R287" s="62">
        <v>41.99</v>
      </c>
      <c r="S287" s="61">
        <v>0</v>
      </c>
      <c r="T287" s="62">
        <v>0</v>
      </c>
    </row>
    <row r="288" spans="1:20" ht="11.85" customHeight="1" x14ac:dyDescent="0.25">
      <c r="A288" s="71" t="s">
        <v>620</v>
      </c>
      <c r="B288" s="71"/>
      <c r="C288" s="71"/>
      <c r="D288" s="71"/>
      <c r="E288" s="71"/>
      <c r="F288" s="71"/>
      <c r="G288" s="71"/>
      <c r="H288" s="71"/>
    </row>
    <row r="289" spans="1:20" ht="11.1" customHeight="1" x14ac:dyDescent="0.25">
      <c r="O289" s="59" t="s">
        <v>313</v>
      </c>
      <c r="P289" s="62">
        <v>599.79999999999995</v>
      </c>
      <c r="R289" s="62">
        <v>119.96</v>
      </c>
      <c r="S289" s="61">
        <v>0</v>
      </c>
      <c r="T289" s="62">
        <v>41.99</v>
      </c>
    </row>
    <row r="290" spans="1:20" ht="11.1" customHeight="1" x14ac:dyDescent="0.25">
      <c r="O290" s="59" t="s">
        <v>436</v>
      </c>
      <c r="P290" s="62">
        <v>809.73</v>
      </c>
      <c r="R290" s="62">
        <v>41.99</v>
      </c>
      <c r="S290" s="61">
        <v>0</v>
      </c>
      <c r="T290" s="62">
        <v>0</v>
      </c>
    </row>
    <row r="291" spans="1:20" ht="11.1" customHeight="1" x14ac:dyDescent="0.25">
      <c r="A291" s="56">
        <v>109056</v>
      </c>
      <c r="B291" s="72">
        <v>46038</v>
      </c>
      <c r="C291" s="68">
        <v>46038</v>
      </c>
      <c r="D291" s="58" t="s">
        <v>811</v>
      </c>
      <c r="E291" s="59" t="s">
        <v>352</v>
      </c>
      <c r="F291" s="56">
        <v>36</v>
      </c>
      <c r="G291" s="73">
        <v>234</v>
      </c>
      <c r="H291" s="74" t="s">
        <v>812</v>
      </c>
      <c r="I291" s="59" t="s">
        <v>813</v>
      </c>
      <c r="J291" s="59" t="s">
        <v>814</v>
      </c>
      <c r="K291" s="69">
        <v>5403</v>
      </c>
      <c r="L291" s="56">
        <v>207</v>
      </c>
      <c r="M291" s="59" t="s">
        <v>26</v>
      </c>
      <c r="N291" s="61">
        <v>1197.6500000000001</v>
      </c>
      <c r="O291" s="59" t="s">
        <v>313</v>
      </c>
      <c r="P291" s="62">
        <v>1119.3</v>
      </c>
      <c r="Q291" s="63">
        <v>20</v>
      </c>
      <c r="R291" s="62">
        <v>223.86</v>
      </c>
      <c r="S291" s="61">
        <v>0</v>
      </c>
      <c r="T291" s="62">
        <v>78.349999999999994</v>
      </c>
    </row>
    <row r="292" spans="1:20" ht="11.1" customHeight="1" x14ac:dyDescent="0.25">
      <c r="O292" s="59" t="s">
        <v>436</v>
      </c>
      <c r="P292" s="62">
        <v>1511.06</v>
      </c>
      <c r="Q292" s="63">
        <v>20</v>
      </c>
      <c r="R292" s="62">
        <v>78.349999999999994</v>
      </c>
      <c r="S292" s="61">
        <v>0</v>
      </c>
      <c r="T292" s="62">
        <v>0</v>
      </c>
    </row>
    <row r="293" spans="1:20" ht="11.1" customHeight="1" x14ac:dyDescent="0.25">
      <c r="A293" s="56">
        <v>109196</v>
      </c>
      <c r="B293" s="72">
        <v>46043</v>
      </c>
      <c r="C293" s="68">
        <v>46043</v>
      </c>
      <c r="D293" s="58" t="s">
        <v>815</v>
      </c>
      <c r="E293" s="59" t="s">
        <v>352</v>
      </c>
      <c r="F293" s="56">
        <v>36</v>
      </c>
      <c r="G293" s="73">
        <v>234</v>
      </c>
      <c r="H293" s="74" t="s">
        <v>812</v>
      </c>
      <c r="I293" s="59" t="s">
        <v>813</v>
      </c>
      <c r="J293" s="59" t="s">
        <v>814</v>
      </c>
      <c r="K293" s="69">
        <v>5403</v>
      </c>
      <c r="L293" s="56">
        <v>207</v>
      </c>
      <c r="M293" s="59" t="s">
        <v>26</v>
      </c>
      <c r="N293" s="61">
        <v>684.37</v>
      </c>
      <c r="O293" s="59" t="s">
        <v>313</v>
      </c>
      <c r="P293" s="62">
        <v>639.6</v>
      </c>
      <c r="Q293" s="63">
        <v>20</v>
      </c>
      <c r="R293" s="62">
        <v>127.92</v>
      </c>
      <c r="S293" s="61">
        <v>0</v>
      </c>
      <c r="T293" s="62">
        <v>44.77</v>
      </c>
    </row>
    <row r="294" spans="1:20" ht="11.1" customHeight="1" x14ac:dyDescent="0.25">
      <c r="O294" s="59" t="s">
        <v>436</v>
      </c>
      <c r="P294" s="62">
        <v>863.46</v>
      </c>
      <c r="Q294" s="63">
        <v>20</v>
      </c>
      <c r="R294" s="62">
        <v>44.77</v>
      </c>
      <c r="S294" s="61">
        <v>0</v>
      </c>
      <c r="T294" s="62">
        <v>0</v>
      </c>
    </row>
    <row r="295" spans="1:20" ht="11.85" customHeight="1" x14ac:dyDescent="0.25">
      <c r="A295" s="71" t="s">
        <v>620</v>
      </c>
      <c r="B295" s="71"/>
      <c r="C295" s="71"/>
      <c r="D295" s="71"/>
      <c r="E295" s="71"/>
      <c r="F295" s="71"/>
      <c r="G295" s="71"/>
      <c r="H295" s="71"/>
    </row>
    <row r="296" spans="1:20" ht="11.1" customHeight="1" x14ac:dyDescent="0.25">
      <c r="O296" s="59" t="s">
        <v>313</v>
      </c>
      <c r="P296" s="62">
        <v>1758.9</v>
      </c>
      <c r="R296" s="62">
        <v>351.78</v>
      </c>
      <c r="S296" s="61">
        <v>0</v>
      </c>
      <c r="T296" s="62">
        <v>123.12</v>
      </c>
    </row>
    <row r="297" spans="1:20" ht="11.1" customHeight="1" x14ac:dyDescent="0.25">
      <c r="O297" s="59" t="s">
        <v>436</v>
      </c>
      <c r="P297" s="62">
        <v>2374.52</v>
      </c>
      <c r="R297" s="62">
        <v>123.12</v>
      </c>
      <c r="S297" s="61">
        <v>0</v>
      </c>
      <c r="T297" s="62">
        <v>0</v>
      </c>
    </row>
    <row r="298" spans="1:20" ht="11.1" customHeight="1" x14ac:dyDescent="0.25">
      <c r="A298" s="56">
        <v>108903</v>
      </c>
      <c r="B298" s="72">
        <v>46036</v>
      </c>
      <c r="C298" s="68">
        <v>46036</v>
      </c>
      <c r="D298" s="58" t="s">
        <v>816</v>
      </c>
      <c r="E298" s="59" t="s">
        <v>352</v>
      </c>
      <c r="F298" s="56">
        <v>36</v>
      </c>
      <c r="G298" s="73">
        <v>509</v>
      </c>
      <c r="H298" s="74" t="s">
        <v>817</v>
      </c>
      <c r="I298" s="59" t="s">
        <v>818</v>
      </c>
      <c r="J298" s="59" t="s">
        <v>819</v>
      </c>
      <c r="K298" s="69">
        <v>5102</v>
      </c>
      <c r="L298" s="56">
        <v>205</v>
      </c>
      <c r="M298" s="59" t="s">
        <v>26</v>
      </c>
      <c r="N298" s="61">
        <v>59.01</v>
      </c>
      <c r="O298" s="59" t="s">
        <v>313</v>
      </c>
      <c r="P298" s="62">
        <v>59.01</v>
      </c>
      <c r="Q298" s="63">
        <v>20</v>
      </c>
      <c r="R298" s="62">
        <v>11.8</v>
      </c>
      <c r="S298" s="61">
        <v>0</v>
      </c>
      <c r="T298" s="62">
        <v>0</v>
      </c>
    </row>
    <row r="299" spans="1:20" ht="11.1" customHeight="1" x14ac:dyDescent="0.25">
      <c r="A299" s="56">
        <v>108904</v>
      </c>
      <c r="B299" s="72">
        <v>46036</v>
      </c>
      <c r="C299" s="68">
        <v>46036</v>
      </c>
      <c r="D299" s="58" t="s">
        <v>816</v>
      </c>
      <c r="E299" s="59" t="s">
        <v>352</v>
      </c>
      <c r="F299" s="56">
        <v>36</v>
      </c>
      <c r="G299" s="73">
        <v>509</v>
      </c>
      <c r="H299" s="74" t="s">
        <v>817</v>
      </c>
      <c r="I299" s="59" t="s">
        <v>818</v>
      </c>
      <c r="J299" s="59" t="s">
        <v>819</v>
      </c>
      <c r="K299" s="69">
        <v>5403</v>
      </c>
      <c r="L299" s="56">
        <v>207</v>
      </c>
      <c r="M299" s="59" t="s">
        <v>26</v>
      </c>
      <c r="N299" s="61">
        <v>362.69</v>
      </c>
      <c r="O299" s="59" t="s">
        <v>313</v>
      </c>
      <c r="P299" s="62">
        <v>362.69</v>
      </c>
      <c r="Q299" s="63">
        <v>20</v>
      </c>
      <c r="R299" s="62">
        <v>72.540000000000006</v>
      </c>
      <c r="S299" s="61">
        <v>0</v>
      </c>
      <c r="T299" s="62">
        <v>0</v>
      </c>
    </row>
    <row r="300" spans="1:20" ht="11.1" customHeight="1" x14ac:dyDescent="0.25">
      <c r="A300" s="56">
        <v>108958</v>
      </c>
      <c r="B300" s="72">
        <v>46037</v>
      </c>
      <c r="C300" s="68">
        <v>46037</v>
      </c>
      <c r="D300" s="58" t="s">
        <v>820</v>
      </c>
      <c r="E300" s="59" t="s">
        <v>352</v>
      </c>
      <c r="F300" s="56">
        <v>36</v>
      </c>
      <c r="G300" s="73">
        <v>509</v>
      </c>
      <c r="H300" s="74" t="s">
        <v>817</v>
      </c>
      <c r="I300" s="59" t="s">
        <v>818</v>
      </c>
      <c r="J300" s="59" t="s">
        <v>819</v>
      </c>
      <c r="K300" s="69">
        <v>5102</v>
      </c>
      <c r="L300" s="56">
        <v>205</v>
      </c>
      <c r="M300" s="59" t="s">
        <v>26</v>
      </c>
      <c r="N300" s="61">
        <v>48.26</v>
      </c>
      <c r="O300" s="59" t="s">
        <v>313</v>
      </c>
      <c r="P300" s="62">
        <v>48.26</v>
      </c>
      <c r="Q300" s="63">
        <v>20</v>
      </c>
      <c r="R300" s="62">
        <v>9.65</v>
      </c>
      <c r="S300" s="61">
        <v>0</v>
      </c>
      <c r="T300" s="62">
        <v>0</v>
      </c>
    </row>
    <row r="301" spans="1:20" ht="11.1" customHeight="1" x14ac:dyDescent="0.25">
      <c r="A301" s="56">
        <v>108959</v>
      </c>
      <c r="B301" s="72">
        <v>46037</v>
      </c>
      <c r="C301" s="68">
        <v>46037</v>
      </c>
      <c r="D301" s="58" t="s">
        <v>820</v>
      </c>
      <c r="E301" s="59" t="s">
        <v>352</v>
      </c>
      <c r="F301" s="56">
        <v>36</v>
      </c>
      <c r="G301" s="73">
        <v>509</v>
      </c>
      <c r="H301" s="74" t="s">
        <v>817</v>
      </c>
      <c r="I301" s="59" t="s">
        <v>818</v>
      </c>
      <c r="J301" s="59" t="s">
        <v>819</v>
      </c>
      <c r="K301" s="69">
        <v>5403</v>
      </c>
      <c r="L301" s="56">
        <v>207</v>
      </c>
      <c r="M301" s="59" t="s">
        <v>26</v>
      </c>
      <c r="N301" s="61">
        <v>75.19</v>
      </c>
      <c r="O301" s="59" t="s">
        <v>313</v>
      </c>
      <c r="P301" s="62">
        <v>75.19</v>
      </c>
      <c r="Q301" s="63">
        <v>20</v>
      </c>
      <c r="R301" s="62">
        <v>15.04</v>
      </c>
      <c r="S301" s="61">
        <v>0</v>
      </c>
      <c r="T301" s="62">
        <v>0</v>
      </c>
    </row>
    <row r="302" spans="1:20" ht="11.1" customHeight="1" x14ac:dyDescent="0.25">
      <c r="A302" s="56">
        <v>109339</v>
      </c>
      <c r="B302" s="72">
        <v>46045</v>
      </c>
      <c r="C302" s="68">
        <v>46045</v>
      </c>
      <c r="D302" s="58" t="s">
        <v>821</v>
      </c>
      <c r="E302" s="59" t="s">
        <v>352</v>
      </c>
      <c r="F302" s="56">
        <v>36</v>
      </c>
      <c r="G302" s="73">
        <v>509</v>
      </c>
      <c r="H302" s="74" t="s">
        <v>817</v>
      </c>
      <c r="I302" s="59" t="s">
        <v>818</v>
      </c>
      <c r="J302" s="59" t="s">
        <v>819</v>
      </c>
      <c r="K302" s="69">
        <v>5102</v>
      </c>
      <c r="L302" s="56">
        <v>205</v>
      </c>
      <c r="M302" s="59" t="s">
        <v>26</v>
      </c>
      <c r="N302" s="61">
        <v>59.01</v>
      </c>
      <c r="O302" s="59" t="s">
        <v>313</v>
      </c>
      <c r="P302" s="62">
        <v>59.01</v>
      </c>
      <c r="Q302" s="63">
        <v>20</v>
      </c>
      <c r="R302" s="62">
        <v>11.8</v>
      </c>
      <c r="S302" s="61">
        <v>0</v>
      </c>
      <c r="T302" s="62">
        <v>0</v>
      </c>
    </row>
    <row r="303" spans="1:20" ht="11.1" customHeight="1" x14ac:dyDescent="0.25">
      <c r="A303" s="56">
        <v>109340</v>
      </c>
      <c r="B303" s="72">
        <v>46045</v>
      </c>
      <c r="C303" s="68">
        <v>46045</v>
      </c>
      <c r="D303" s="58" t="s">
        <v>821</v>
      </c>
      <c r="E303" s="59" t="s">
        <v>352</v>
      </c>
      <c r="F303" s="56">
        <v>36</v>
      </c>
      <c r="G303" s="73">
        <v>509</v>
      </c>
      <c r="H303" s="74" t="s">
        <v>817</v>
      </c>
      <c r="I303" s="59" t="s">
        <v>818</v>
      </c>
      <c r="J303" s="59" t="s">
        <v>819</v>
      </c>
      <c r="K303" s="69">
        <v>5403</v>
      </c>
      <c r="L303" s="56">
        <v>207</v>
      </c>
      <c r="M303" s="59" t="s">
        <v>26</v>
      </c>
      <c r="N303" s="61">
        <v>266.92</v>
      </c>
      <c r="O303" s="59" t="s">
        <v>313</v>
      </c>
      <c r="P303" s="62">
        <v>266.92</v>
      </c>
      <c r="Q303" s="63">
        <v>20</v>
      </c>
      <c r="R303" s="62">
        <v>53.38</v>
      </c>
      <c r="S303" s="61">
        <v>0</v>
      </c>
      <c r="T303" s="62">
        <v>0</v>
      </c>
    </row>
    <row r="304" spans="1:20" ht="11.85" customHeight="1" x14ac:dyDescent="0.25">
      <c r="A304" s="71" t="s">
        <v>620</v>
      </c>
      <c r="B304" s="71"/>
      <c r="C304" s="71"/>
      <c r="D304" s="71"/>
      <c r="E304" s="71"/>
      <c r="F304" s="71"/>
      <c r="G304" s="71"/>
      <c r="H304" s="71"/>
    </row>
    <row r="305" spans="1:20" ht="11.1" customHeight="1" x14ac:dyDescent="0.25">
      <c r="O305" s="59" t="s">
        <v>313</v>
      </c>
      <c r="P305" s="62">
        <v>871.08</v>
      </c>
      <c r="R305" s="62">
        <v>174.21</v>
      </c>
      <c r="S305" s="61">
        <v>0</v>
      </c>
      <c r="T305" s="62">
        <v>0</v>
      </c>
    </row>
    <row r="306" spans="1:20" ht="11.1" customHeight="1" x14ac:dyDescent="0.25">
      <c r="A306" s="56">
        <v>108455</v>
      </c>
      <c r="B306" s="72">
        <v>46027</v>
      </c>
      <c r="C306" s="68">
        <v>46027</v>
      </c>
      <c r="D306" s="58" t="s">
        <v>822</v>
      </c>
      <c r="E306" s="59" t="s">
        <v>352</v>
      </c>
      <c r="F306" s="56">
        <v>36</v>
      </c>
      <c r="G306" s="73">
        <v>572</v>
      </c>
      <c r="H306" s="74" t="s">
        <v>823</v>
      </c>
      <c r="I306" s="59" t="s">
        <v>824</v>
      </c>
      <c r="J306" s="59" t="s">
        <v>825</v>
      </c>
      <c r="K306" s="69">
        <v>5102</v>
      </c>
      <c r="L306" s="56">
        <v>205</v>
      </c>
      <c r="M306" s="59" t="s">
        <v>26</v>
      </c>
      <c r="N306" s="61">
        <v>782.49</v>
      </c>
      <c r="O306" s="59" t="s">
        <v>313</v>
      </c>
      <c r="P306" s="62">
        <v>782.49</v>
      </c>
      <c r="Q306" s="63">
        <v>20</v>
      </c>
      <c r="R306" s="62">
        <v>156.51</v>
      </c>
      <c r="S306" s="61">
        <v>0</v>
      </c>
      <c r="T306" s="62">
        <v>0</v>
      </c>
    </row>
    <row r="307" spans="1:20" ht="11.1" customHeight="1" x14ac:dyDescent="0.25">
      <c r="A307" s="56">
        <v>108456</v>
      </c>
      <c r="B307" s="72">
        <v>46027</v>
      </c>
      <c r="C307" s="68">
        <v>46027</v>
      </c>
      <c r="D307" s="58" t="s">
        <v>822</v>
      </c>
      <c r="E307" s="59" t="s">
        <v>352</v>
      </c>
      <c r="F307" s="56">
        <v>36</v>
      </c>
      <c r="G307" s="73">
        <v>572</v>
      </c>
      <c r="H307" s="74" t="s">
        <v>823</v>
      </c>
      <c r="I307" s="59" t="s">
        <v>824</v>
      </c>
      <c r="J307" s="59" t="s">
        <v>825</v>
      </c>
      <c r="K307" s="69">
        <v>5403</v>
      </c>
      <c r="L307" s="56">
        <v>207</v>
      </c>
      <c r="M307" s="59" t="s">
        <v>26</v>
      </c>
      <c r="N307" s="61">
        <v>111.88</v>
      </c>
      <c r="O307" s="59" t="s">
        <v>313</v>
      </c>
      <c r="P307" s="62">
        <v>104.56</v>
      </c>
      <c r="Q307" s="63">
        <v>20</v>
      </c>
      <c r="R307" s="62">
        <v>20.91</v>
      </c>
      <c r="S307" s="61">
        <v>0</v>
      </c>
      <c r="T307" s="62">
        <v>7.32</v>
      </c>
    </row>
    <row r="308" spans="1:20" ht="11.1" customHeight="1" x14ac:dyDescent="0.25">
      <c r="O308" s="59" t="s">
        <v>436</v>
      </c>
      <c r="P308" s="62">
        <v>141.16</v>
      </c>
      <c r="Q308" s="63">
        <v>20</v>
      </c>
      <c r="R308" s="62">
        <v>7.32</v>
      </c>
      <c r="S308" s="61">
        <v>0</v>
      </c>
      <c r="T308" s="62">
        <v>0</v>
      </c>
    </row>
    <row r="309" spans="1:20" ht="11.85" customHeight="1" x14ac:dyDescent="0.25">
      <c r="A309" s="71" t="s">
        <v>620</v>
      </c>
      <c r="B309" s="71"/>
      <c r="C309" s="71"/>
      <c r="D309" s="71"/>
      <c r="E309" s="71"/>
      <c r="F309" s="71"/>
      <c r="G309" s="71"/>
      <c r="H309" s="71"/>
    </row>
    <row r="310" spans="1:20" ht="11.1" customHeight="1" x14ac:dyDescent="0.25">
      <c r="O310" s="59" t="s">
        <v>313</v>
      </c>
      <c r="P310" s="62">
        <v>887.05</v>
      </c>
      <c r="R310" s="62">
        <v>177.42</v>
      </c>
      <c r="S310" s="61">
        <v>0</v>
      </c>
      <c r="T310" s="62">
        <v>7.32</v>
      </c>
    </row>
    <row r="311" spans="1:20" ht="11.1" customHeight="1" x14ac:dyDescent="0.25">
      <c r="O311" s="59" t="s">
        <v>436</v>
      </c>
      <c r="P311" s="62">
        <v>141.16</v>
      </c>
      <c r="R311" s="62">
        <v>7.32</v>
      </c>
      <c r="S311" s="61">
        <v>0</v>
      </c>
      <c r="T311" s="62">
        <v>0</v>
      </c>
    </row>
    <row r="312" spans="1:20" ht="11.1" customHeight="1" x14ac:dyDescent="0.25">
      <c r="A312" s="56">
        <v>108838</v>
      </c>
      <c r="B312" s="72">
        <v>46035</v>
      </c>
      <c r="C312" s="68">
        <v>46035</v>
      </c>
      <c r="D312" s="58" t="s">
        <v>826</v>
      </c>
      <c r="E312" s="59" t="s">
        <v>352</v>
      </c>
      <c r="F312" s="56">
        <v>36</v>
      </c>
      <c r="G312" s="73">
        <v>612</v>
      </c>
      <c r="H312" s="74" t="s">
        <v>827</v>
      </c>
      <c r="I312" s="59" t="s">
        <v>828</v>
      </c>
      <c r="J312" s="59" t="s">
        <v>829</v>
      </c>
      <c r="K312" s="69">
        <v>6102</v>
      </c>
      <c r="L312" s="56">
        <v>238</v>
      </c>
      <c r="M312" s="59" t="s">
        <v>31</v>
      </c>
      <c r="N312" s="61">
        <v>565.80999999999995</v>
      </c>
      <c r="O312" s="59" t="s">
        <v>313</v>
      </c>
      <c r="P312" s="62">
        <v>565.80999999999995</v>
      </c>
      <c r="Q312" s="63">
        <v>12</v>
      </c>
      <c r="R312" s="62">
        <v>67.900000000000006</v>
      </c>
      <c r="S312" s="61">
        <v>0</v>
      </c>
      <c r="T312" s="62">
        <v>0</v>
      </c>
    </row>
    <row r="313" spans="1:20" ht="11.1" customHeight="1" x14ac:dyDescent="0.25">
      <c r="A313" s="56">
        <v>109079</v>
      </c>
      <c r="B313" s="72">
        <v>46041</v>
      </c>
      <c r="C313" s="68">
        <v>46041</v>
      </c>
      <c r="D313" s="58" t="s">
        <v>830</v>
      </c>
      <c r="E313" s="59" t="s">
        <v>352</v>
      </c>
      <c r="F313" s="56">
        <v>36</v>
      </c>
      <c r="G313" s="73">
        <v>612</v>
      </c>
      <c r="H313" s="74" t="s">
        <v>827</v>
      </c>
      <c r="I313" s="59" t="s">
        <v>828</v>
      </c>
      <c r="J313" s="59" t="s">
        <v>829</v>
      </c>
      <c r="K313" s="69">
        <v>6102</v>
      </c>
      <c r="L313" s="56">
        <v>238</v>
      </c>
      <c r="M313" s="59" t="s">
        <v>31</v>
      </c>
      <c r="N313" s="61">
        <v>565.80999999999995</v>
      </c>
      <c r="O313" s="59" t="s">
        <v>313</v>
      </c>
      <c r="P313" s="62">
        <v>565.80999999999995</v>
      </c>
      <c r="Q313" s="63">
        <v>12</v>
      </c>
      <c r="R313" s="62">
        <v>67.900000000000006</v>
      </c>
      <c r="S313" s="61">
        <v>0</v>
      </c>
      <c r="T313" s="62">
        <v>0</v>
      </c>
    </row>
    <row r="314" spans="1:20" ht="11.1" customHeight="1" x14ac:dyDescent="0.25">
      <c r="A314" s="56">
        <v>109243</v>
      </c>
      <c r="B314" s="72">
        <v>46043</v>
      </c>
      <c r="C314" s="68">
        <v>46043</v>
      </c>
      <c r="D314" s="58" t="s">
        <v>831</v>
      </c>
      <c r="E314" s="59" t="s">
        <v>352</v>
      </c>
      <c r="F314" s="56">
        <v>36</v>
      </c>
      <c r="G314" s="73">
        <v>612</v>
      </c>
      <c r="H314" s="74" t="s">
        <v>827</v>
      </c>
      <c r="I314" s="59" t="s">
        <v>828</v>
      </c>
      <c r="J314" s="59" t="s">
        <v>829</v>
      </c>
      <c r="K314" s="69">
        <v>6102</v>
      </c>
      <c r="L314" s="56">
        <v>238</v>
      </c>
      <c r="M314" s="59" t="s">
        <v>31</v>
      </c>
      <c r="N314" s="61">
        <v>775.32</v>
      </c>
      <c r="O314" s="59" t="s">
        <v>313</v>
      </c>
      <c r="P314" s="62">
        <v>775.32</v>
      </c>
      <c r="Q314" s="63">
        <v>12</v>
      </c>
      <c r="R314" s="62">
        <v>93.04</v>
      </c>
      <c r="S314" s="61">
        <v>0</v>
      </c>
      <c r="T314" s="62">
        <v>0</v>
      </c>
    </row>
    <row r="315" spans="1:20" ht="11.85" customHeight="1" x14ac:dyDescent="0.25">
      <c r="A315" s="71" t="s">
        <v>620</v>
      </c>
      <c r="B315" s="71"/>
      <c r="C315" s="71"/>
      <c r="D315" s="71"/>
      <c r="E315" s="71"/>
      <c r="F315" s="71"/>
      <c r="G315" s="71"/>
      <c r="H315" s="71"/>
    </row>
    <row r="316" spans="1:20" ht="11.1" customHeight="1" x14ac:dyDescent="0.25">
      <c r="O316" s="59" t="s">
        <v>313</v>
      </c>
      <c r="P316" s="62">
        <v>1906.94</v>
      </c>
      <c r="R316" s="62">
        <v>228.84</v>
      </c>
      <c r="S316" s="61">
        <v>0</v>
      </c>
      <c r="T316" s="62">
        <v>0</v>
      </c>
    </row>
    <row r="317" spans="1:20" ht="11.1" customHeight="1" x14ac:dyDescent="0.25">
      <c r="A317" s="56">
        <v>109297</v>
      </c>
      <c r="B317" s="72">
        <v>46044</v>
      </c>
      <c r="C317" s="68">
        <v>46044</v>
      </c>
      <c r="D317" s="58" t="s">
        <v>832</v>
      </c>
      <c r="E317" s="59" t="s">
        <v>352</v>
      </c>
      <c r="F317" s="56">
        <v>36</v>
      </c>
      <c r="G317" s="73">
        <v>26</v>
      </c>
      <c r="H317" s="74" t="s">
        <v>833</v>
      </c>
      <c r="I317" s="59" t="s">
        <v>834</v>
      </c>
      <c r="J317" s="59" t="s">
        <v>835</v>
      </c>
      <c r="K317" s="69">
        <v>5102</v>
      </c>
      <c r="L317" s="56">
        <v>205</v>
      </c>
      <c r="M317" s="59" t="s">
        <v>26</v>
      </c>
      <c r="N317" s="61">
        <v>1296.97</v>
      </c>
      <c r="O317" s="59" t="s">
        <v>313</v>
      </c>
      <c r="P317" s="62">
        <v>1296.97</v>
      </c>
      <c r="Q317" s="63">
        <v>20</v>
      </c>
      <c r="R317" s="62">
        <v>259.39</v>
      </c>
      <c r="S317" s="61">
        <v>0</v>
      </c>
      <c r="T317" s="62">
        <v>0</v>
      </c>
    </row>
    <row r="318" spans="1:20" ht="11.1" customHeight="1" x14ac:dyDescent="0.25">
      <c r="A318" s="56">
        <v>109298</v>
      </c>
      <c r="B318" s="72">
        <v>46044</v>
      </c>
      <c r="C318" s="68">
        <v>46044</v>
      </c>
      <c r="D318" s="58" t="s">
        <v>832</v>
      </c>
      <c r="E318" s="59" t="s">
        <v>352</v>
      </c>
      <c r="F318" s="56">
        <v>36</v>
      </c>
      <c r="G318" s="73">
        <v>26</v>
      </c>
      <c r="H318" s="74" t="s">
        <v>833</v>
      </c>
      <c r="I318" s="59" t="s">
        <v>834</v>
      </c>
      <c r="J318" s="59" t="s">
        <v>835</v>
      </c>
      <c r="K318" s="69">
        <v>5403</v>
      </c>
      <c r="L318" s="56">
        <v>207</v>
      </c>
      <c r="M318" s="59" t="s">
        <v>26</v>
      </c>
      <c r="N318" s="61">
        <v>512.17999999999995</v>
      </c>
      <c r="O318" s="59" t="s">
        <v>313</v>
      </c>
      <c r="P318" s="62">
        <v>478.68</v>
      </c>
      <c r="Q318" s="63">
        <v>20</v>
      </c>
      <c r="R318" s="62">
        <v>95.74</v>
      </c>
      <c r="S318" s="61">
        <v>0</v>
      </c>
      <c r="T318" s="62">
        <v>33.5</v>
      </c>
    </row>
    <row r="319" spans="1:20" ht="11.1" customHeight="1" x14ac:dyDescent="0.25">
      <c r="O319" s="59" t="s">
        <v>436</v>
      </c>
      <c r="P319" s="62">
        <v>646.22</v>
      </c>
      <c r="Q319" s="63">
        <v>20</v>
      </c>
      <c r="R319" s="62">
        <v>33.5</v>
      </c>
      <c r="S319" s="61">
        <v>0</v>
      </c>
      <c r="T319" s="62">
        <v>0</v>
      </c>
    </row>
    <row r="320" spans="1:20" ht="11.85" customHeight="1" x14ac:dyDescent="0.25">
      <c r="A320" s="71" t="s">
        <v>620</v>
      </c>
      <c r="B320" s="71"/>
      <c r="C320" s="71"/>
      <c r="D320" s="71"/>
      <c r="E320" s="71"/>
      <c r="F320" s="71"/>
      <c r="G320" s="71"/>
      <c r="H320" s="71"/>
    </row>
    <row r="321" spans="1:20" ht="11.1" customHeight="1" x14ac:dyDescent="0.25">
      <c r="O321" s="59" t="s">
        <v>313</v>
      </c>
      <c r="P321" s="62">
        <v>1775.65</v>
      </c>
      <c r="R321" s="62">
        <v>355.13</v>
      </c>
      <c r="S321" s="61">
        <v>0</v>
      </c>
      <c r="T321" s="62">
        <v>33.5</v>
      </c>
    </row>
    <row r="322" spans="1:20" ht="11.1" customHeight="1" x14ac:dyDescent="0.25">
      <c r="O322" s="59" t="s">
        <v>436</v>
      </c>
      <c r="P322" s="62">
        <v>646.22</v>
      </c>
      <c r="R322" s="62">
        <v>33.5</v>
      </c>
      <c r="S322" s="61">
        <v>0</v>
      </c>
      <c r="T322" s="62">
        <v>0</v>
      </c>
    </row>
    <row r="323" spans="1:20" ht="11.1" customHeight="1" x14ac:dyDescent="0.25">
      <c r="A323" s="56">
        <v>109519</v>
      </c>
      <c r="B323" s="72">
        <v>46049</v>
      </c>
      <c r="C323" s="68">
        <v>46049</v>
      </c>
      <c r="D323" s="58" t="s">
        <v>836</v>
      </c>
      <c r="E323" s="59" t="s">
        <v>352</v>
      </c>
      <c r="F323" s="56">
        <v>36</v>
      </c>
      <c r="G323" s="73">
        <v>667</v>
      </c>
      <c r="H323" s="74" t="s">
        <v>837</v>
      </c>
      <c r="I323" s="59" t="s">
        <v>838</v>
      </c>
      <c r="J323" s="59" t="s">
        <v>839</v>
      </c>
      <c r="K323" s="69">
        <v>5102</v>
      </c>
      <c r="L323" s="56">
        <v>205</v>
      </c>
      <c r="M323" s="59" t="s">
        <v>26</v>
      </c>
      <c r="N323" s="61">
        <v>610.75</v>
      </c>
      <c r="O323" s="59" t="s">
        <v>313</v>
      </c>
      <c r="P323" s="62">
        <v>610.75</v>
      </c>
      <c r="Q323" s="63">
        <v>20</v>
      </c>
      <c r="R323" s="62">
        <v>122.15</v>
      </c>
      <c r="S323" s="61">
        <v>0</v>
      </c>
      <c r="T323" s="62">
        <v>0</v>
      </c>
    </row>
    <row r="324" spans="1:20" ht="11.1" customHeight="1" x14ac:dyDescent="0.25">
      <c r="A324" s="56">
        <v>109520</v>
      </c>
      <c r="B324" s="72">
        <v>46049</v>
      </c>
      <c r="C324" s="68">
        <v>46049</v>
      </c>
      <c r="D324" s="58" t="s">
        <v>836</v>
      </c>
      <c r="E324" s="59" t="s">
        <v>352</v>
      </c>
      <c r="F324" s="56">
        <v>36</v>
      </c>
      <c r="G324" s="73">
        <v>667</v>
      </c>
      <c r="H324" s="74" t="s">
        <v>837</v>
      </c>
      <c r="I324" s="59" t="s">
        <v>838</v>
      </c>
      <c r="J324" s="59" t="s">
        <v>839</v>
      </c>
      <c r="K324" s="69">
        <v>5405</v>
      </c>
      <c r="L324" s="56">
        <v>206</v>
      </c>
      <c r="M324" s="59" t="s">
        <v>26</v>
      </c>
      <c r="N324" s="61">
        <v>206.54</v>
      </c>
      <c r="O324" s="59" t="s">
        <v>313</v>
      </c>
      <c r="P324" s="62">
        <v>0</v>
      </c>
      <c r="Q324" s="63">
        <v>0</v>
      </c>
      <c r="R324" s="62">
        <v>0</v>
      </c>
      <c r="S324" s="61">
        <v>0</v>
      </c>
      <c r="T324" s="62">
        <v>206.54</v>
      </c>
    </row>
    <row r="325" spans="1:20" ht="11.85" customHeight="1" x14ac:dyDescent="0.25">
      <c r="A325" s="71" t="s">
        <v>620</v>
      </c>
      <c r="B325" s="71"/>
      <c r="C325" s="71"/>
      <c r="D325" s="71"/>
      <c r="E325" s="71"/>
      <c r="F325" s="71"/>
      <c r="G325" s="71"/>
      <c r="H325" s="71"/>
    </row>
    <row r="326" spans="1:20" ht="11.1" customHeight="1" x14ac:dyDescent="0.25">
      <c r="O326" s="59" t="s">
        <v>313</v>
      </c>
      <c r="P326" s="62">
        <v>610.75</v>
      </c>
      <c r="R326" s="62">
        <v>122.15</v>
      </c>
      <c r="S326" s="61">
        <v>0</v>
      </c>
      <c r="T326" s="62">
        <v>206.54</v>
      </c>
    </row>
    <row r="327" spans="1:20" ht="11.1" customHeight="1" x14ac:dyDescent="0.25">
      <c r="A327" s="56">
        <v>108494</v>
      </c>
      <c r="B327" s="72">
        <v>46028</v>
      </c>
      <c r="C327" s="68">
        <v>46028</v>
      </c>
      <c r="D327" s="58" t="s">
        <v>840</v>
      </c>
      <c r="E327" s="59" t="s">
        <v>352</v>
      </c>
      <c r="F327" s="56">
        <v>36</v>
      </c>
      <c r="G327" s="73">
        <v>195</v>
      </c>
      <c r="H327" s="74" t="s">
        <v>435</v>
      </c>
      <c r="I327" s="59" t="s">
        <v>841</v>
      </c>
      <c r="J327" s="59" t="s">
        <v>842</v>
      </c>
      <c r="K327" s="69">
        <v>5102</v>
      </c>
      <c r="L327" s="56">
        <v>205</v>
      </c>
      <c r="M327" s="59" t="s">
        <v>26</v>
      </c>
      <c r="N327" s="61">
        <v>316.79000000000002</v>
      </c>
      <c r="O327" s="59" t="s">
        <v>313</v>
      </c>
      <c r="P327" s="62">
        <v>316.79000000000002</v>
      </c>
      <c r="Q327" s="63">
        <v>20</v>
      </c>
      <c r="R327" s="62">
        <v>63.35</v>
      </c>
      <c r="S327" s="61">
        <v>0</v>
      </c>
      <c r="T327" s="62">
        <v>0</v>
      </c>
    </row>
    <row r="328" spans="1:20" ht="11.1" customHeight="1" x14ac:dyDescent="0.25">
      <c r="A328" s="56">
        <v>108495</v>
      </c>
      <c r="B328" s="72">
        <v>46028</v>
      </c>
      <c r="C328" s="68">
        <v>46028</v>
      </c>
      <c r="D328" s="58" t="s">
        <v>840</v>
      </c>
      <c r="E328" s="59" t="s">
        <v>352</v>
      </c>
      <c r="F328" s="56">
        <v>36</v>
      </c>
      <c r="G328" s="73">
        <v>195</v>
      </c>
      <c r="H328" s="74" t="s">
        <v>435</v>
      </c>
      <c r="I328" s="59" t="s">
        <v>841</v>
      </c>
      <c r="J328" s="59" t="s">
        <v>842</v>
      </c>
      <c r="K328" s="69">
        <v>5403</v>
      </c>
      <c r="L328" s="56">
        <v>207</v>
      </c>
      <c r="M328" s="59" t="s">
        <v>26</v>
      </c>
      <c r="N328" s="61">
        <v>1718.43</v>
      </c>
      <c r="O328" s="59" t="s">
        <v>313</v>
      </c>
      <c r="P328" s="62">
        <v>1606</v>
      </c>
      <c r="Q328" s="63">
        <v>20</v>
      </c>
      <c r="R328" s="62">
        <v>321.2</v>
      </c>
      <c r="S328" s="61">
        <v>0</v>
      </c>
      <c r="T328" s="62">
        <v>112.43</v>
      </c>
    </row>
    <row r="329" spans="1:20" ht="11.1" customHeight="1" x14ac:dyDescent="0.25">
      <c r="O329" s="59" t="s">
        <v>436</v>
      </c>
      <c r="P329" s="62">
        <v>2168.1</v>
      </c>
      <c r="Q329" s="63">
        <v>20</v>
      </c>
      <c r="R329" s="62">
        <v>112.43</v>
      </c>
      <c r="S329" s="61">
        <v>0</v>
      </c>
      <c r="T329" s="62">
        <v>0</v>
      </c>
    </row>
    <row r="330" spans="1:20" ht="11.1" customHeight="1" x14ac:dyDescent="0.25">
      <c r="A330" s="56">
        <v>108569</v>
      </c>
      <c r="B330" s="72">
        <v>46029</v>
      </c>
      <c r="C330" s="68">
        <v>46029</v>
      </c>
      <c r="D330" s="58" t="s">
        <v>843</v>
      </c>
      <c r="E330" s="59" t="s">
        <v>352</v>
      </c>
      <c r="F330" s="56">
        <v>36</v>
      </c>
      <c r="G330" s="73">
        <v>195</v>
      </c>
      <c r="H330" s="74" t="s">
        <v>435</v>
      </c>
      <c r="I330" s="59" t="s">
        <v>841</v>
      </c>
      <c r="J330" s="59" t="s">
        <v>842</v>
      </c>
      <c r="K330" s="69">
        <v>5102</v>
      </c>
      <c r="L330" s="56">
        <v>205</v>
      </c>
      <c r="M330" s="59" t="s">
        <v>26</v>
      </c>
      <c r="N330" s="61">
        <v>176.25</v>
      </c>
      <c r="O330" s="59" t="s">
        <v>313</v>
      </c>
      <c r="P330" s="62">
        <v>176.25</v>
      </c>
      <c r="Q330" s="63">
        <v>20</v>
      </c>
      <c r="R330" s="62">
        <v>35.25</v>
      </c>
      <c r="S330" s="61">
        <v>0</v>
      </c>
      <c r="T330" s="62">
        <v>0</v>
      </c>
    </row>
    <row r="331" spans="1:20" ht="11.1" customHeight="1" x14ac:dyDescent="0.25">
      <c r="A331" s="56">
        <v>108570</v>
      </c>
      <c r="B331" s="72">
        <v>46029</v>
      </c>
      <c r="C331" s="68">
        <v>46029</v>
      </c>
      <c r="D331" s="58" t="s">
        <v>844</v>
      </c>
      <c r="E331" s="59" t="s">
        <v>352</v>
      </c>
      <c r="F331" s="56">
        <v>36</v>
      </c>
      <c r="G331" s="73">
        <v>195</v>
      </c>
      <c r="H331" s="74" t="s">
        <v>435</v>
      </c>
      <c r="I331" s="59" t="s">
        <v>841</v>
      </c>
      <c r="J331" s="59" t="s">
        <v>842</v>
      </c>
      <c r="K331" s="69">
        <v>5102</v>
      </c>
      <c r="L331" s="56">
        <v>205</v>
      </c>
      <c r="M331" s="59" t="s">
        <v>26</v>
      </c>
      <c r="N331" s="61">
        <v>1142.24</v>
      </c>
      <c r="O331" s="59" t="s">
        <v>313</v>
      </c>
      <c r="P331" s="62">
        <v>1142.24</v>
      </c>
      <c r="Q331" s="63">
        <v>20</v>
      </c>
      <c r="R331" s="62">
        <v>228.46</v>
      </c>
      <c r="S331" s="61">
        <v>0</v>
      </c>
      <c r="T331" s="62">
        <v>0</v>
      </c>
    </row>
    <row r="332" spans="1:20" ht="11.1" customHeight="1" x14ac:dyDescent="0.25">
      <c r="A332" s="56">
        <v>108571</v>
      </c>
      <c r="B332" s="72">
        <v>46029</v>
      </c>
      <c r="C332" s="68">
        <v>46029</v>
      </c>
      <c r="D332" s="58" t="s">
        <v>844</v>
      </c>
      <c r="E332" s="59" t="s">
        <v>352</v>
      </c>
      <c r="F332" s="56">
        <v>36</v>
      </c>
      <c r="G332" s="73">
        <v>195</v>
      </c>
      <c r="H332" s="74" t="s">
        <v>435</v>
      </c>
      <c r="I332" s="59" t="s">
        <v>841</v>
      </c>
      <c r="J332" s="59" t="s">
        <v>842</v>
      </c>
      <c r="K332" s="69">
        <v>5403</v>
      </c>
      <c r="L332" s="56">
        <v>207</v>
      </c>
      <c r="M332" s="59" t="s">
        <v>26</v>
      </c>
      <c r="N332" s="61">
        <v>475.88</v>
      </c>
      <c r="O332" s="59" t="s">
        <v>313</v>
      </c>
      <c r="P332" s="62">
        <v>444.75</v>
      </c>
      <c r="Q332" s="63">
        <v>20</v>
      </c>
      <c r="R332" s="62">
        <v>88.95</v>
      </c>
      <c r="S332" s="61">
        <v>0</v>
      </c>
      <c r="T332" s="62">
        <v>31.13</v>
      </c>
    </row>
    <row r="333" spans="1:20" ht="11.1" customHeight="1" x14ac:dyDescent="0.25">
      <c r="O333" s="59" t="s">
        <v>436</v>
      </c>
      <c r="P333" s="62">
        <v>600.41999999999996</v>
      </c>
      <c r="Q333" s="63">
        <v>20</v>
      </c>
      <c r="R333" s="62">
        <v>31.13</v>
      </c>
      <c r="S333" s="61">
        <v>0</v>
      </c>
      <c r="T333" s="62">
        <v>0</v>
      </c>
    </row>
    <row r="334" spans="1:20" ht="11.1" customHeight="1" x14ac:dyDescent="0.25">
      <c r="A334" s="56">
        <v>108572</v>
      </c>
      <c r="B334" s="72">
        <v>46029</v>
      </c>
      <c r="C334" s="68">
        <v>46029</v>
      </c>
      <c r="D334" s="58" t="s">
        <v>845</v>
      </c>
      <c r="E334" s="59" t="s">
        <v>352</v>
      </c>
      <c r="F334" s="56">
        <v>36</v>
      </c>
      <c r="G334" s="73">
        <v>195</v>
      </c>
      <c r="H334" s="74" t="s">
        <v>435</v>
      </c>
      <c r="I334" s="59" t="s">
        <v>841</v>
      </c>
      <c r="J334" s="59" t="s">
        <v>842</v>
      </c>
      <c r="K334" s="69">
        <v>5102</v>
      </c>
      <c r="L334" s="56">
        <v>205</v>
      </c>
      <c r="M334" s="59" t="s">
        <v>26</v>
      </c>
      <c r="N334" s="61">
        <v>608.13</v>
      </c>
      <c r="O334" s="59" t="s">
        <v>313</v>
      </c>
      <c r="P334" s="62">
        <v>608.13</v>
      </c>
      <c r="Q334" s="63">
        <v>20</v>
      </c>
      <c r="R334" s="62">
        <v>121.63</v>
      </c>
      <c r="S334" s="61">
        <v>0</v>
      </c>
      <c r="T334" s="62">
        <v>0</v>
      </c>
    </row>
    <row r="335" spans="1:20" ht="11.1" customHeight="1" x14ac:dyDescent="0.25">
      <c r="A335" s="56">
        <v>108573</v>
      </c>
      <c r="B335" s="72">
        <v>46029</v>
      </c>
      <c r="C335" s="68">
        <v>46029</v>
      </c>
      <c r="D335" s="58" t="s">
        <v>845</v>
      </c>
      <c r="E335" s="59" t="s">
        <v>352</v>
      </c>
      <c r="F335" s="56">
        <v>36</v>
      </c>
      <c r="G335" s="73">
        <v>195</v>
      </c>
      <c r="H335" s="74" t="s">
        <v>435</v>
      </c>
      <c r="I335" s="59" t="s">
        <v>841</v>
      </c>
      <c r="J335" s="59" t="s">
        <v>842</v>
      </c>
      <c r="K335" s="69">
        <v>5403</v>
      </c>
      <c r="L335" s="56">
        <v>207</v>
      </c>
      <c r="M335" s="59" t="s">
        <v>26</v>
      </c>
      <c r="N335" s="61">
        <v>387.26</v>
      </c>
      <c r="O335" s="59" t="s">
        <v>313</v>
      </c>
      <c r="P335" s="62">
        <v>361.92</v>
      </c>
      <c r="Q335" s="63">
        <v>20</v>
      </c>
      <c r="R335" s="62">
        <v>72.38</v>
      </c>
      <c r="S335" s="61">
        <v>0</v>
      </c>
      <c r="T335" s="62">
        <v>25.34</v>
      </c>
    </row>
    <row r="336" spans="1:20" ht="11.1" customHeight="1" x14ac:dyDescent="0.25">
      <c r="O336" s="59" t="s">
        <v>436</v>
      </c>
      <c r="P336" s="62">
        <v>488.59</v>
      </c>
      <c r="Q336" s="63">
        <v>20</v>
      </c>
      <c r="R336" s="62">
        <v>25.34</v>
      </c>
      <c r="S336" s="61">
        <v>0</v>
      </c>
      <c r="T336" s="62">
        <v>0</v>
      </c>
    </row>
    <row r="337" spans="1:20" ht="11.1" customHeight="1" x14ac:dyDescent="0.25">
      <c r="A337" s="56">
        <v>108721</v>
      </c>
      <c r="B337" s="72">
        <v>46031</v>
      </c>
      <c r="C337" s="68">
        <v>46031</v>
      </c>
      <c r="D337" s="58" t="s">
        <v>846</v>
      </c>
      <c r="E337" s="59" t="s">
        <v>352</v>
      </c>
      <c r="F337" s="56">
        <v>36</v>
      </c>
      <c r="G337" s="73">
        <v>195</v>
      </c>
      <c r="H337" s="74" t="s">
        <v>435</v>
      </c>
      <c r="I337" s="59" t="s">
        <v>841</v>
      </c>
      <c r="J337" s="59" t="s">
        <v>842</v>
      </c>
      <c r="K337" s="69">
        <v>5102</v>
      </c>
      <c r="L337" s="56">
        <v>205</v>
      </c>
      <c r="M337" s="59" t="s">
        <v>26</v>
      </c>
      <c r="N337" s="61">
        <v>64.88</v>
      </c>
      <c r="O337" s="59" t="s">
        <v>313</v>
      </c>
      <c r="P337" s="62">
        <v>64.88</v>
      </c>
      <c r="Q337" s="63">
        <v>20</v>
      </c>
      <c r="R337" s="62">
        <v>12.98</v>
      </c>
      <c r="S337" s="61">
        <v>0</v>
      </c>
      <c r="T337" s="62">
        <v>0</v>
      </c>
    </row>
    <row r="338" spans="1:20" ht="11.1" customHeight="1" x14ac:dyDescent="0.25">
      <c r="A338" s="56">
        <v>108722</v>
      </c>
      <c r="B338" s="72">
        <v>46031</v>
      </c>
      <c r="C338" s="68">
        <v>46031</v>
      </c>
      <c r="D338" s="58" t="s">
        <v>846</v>
      </c>
      <c r="E338" s="59" t="s">
        <v>352</v>
      </c>
      <c r="F338" s="56">
        <v>36</v>
      </c>
      <c r="G338" s="73">
        <v>195</v>
      </c>
      <c r="H338" s="74" t="s">
        <v>435</v>
      </c>
      <c r="I338" s="59" t="s">
        <v>841</v>
      </c>
      <c r="J338" s="59" t="s">
        <v>842</v>
      </c>
      <c r="K338" s="69">
        <v>5403</v>
      </c>
      <c r="L338" s="56">
        <v>207</v>
      </c>
      <c r="M338" s="59" t="s">
        <v>26</v>
      </c>
      <c r="N338" s="61">
        <v>356.84</v>
      </c>
      <c r="O338" s="59" t="s">
        <v>313</v>
      </c>
      <c r="P338" s="62">
        <v>333.5</v>
      </c>
      <c r="Q338" s="63">
        <v>20</v>
      </c>
      <c r="R338" s="62">
        <v>66.7</v>
      </c>
      <c r="S338" s="61">
        <v>0</v>
      </c>
      <c r="T338" s="62">
        <v>23.34</v>
      </c>
    </row>
    <row r="339" spans="1:20" ht="11.1" customHeight="1" x14ac:dyDescent="0.25">
      <c r="O339" s="59" t="s">
        <v>436</v>
      </c>
      <c r="P339" s="62">
        <v>450.22</v>
      </c>
      <c r="Q339" s="63">
        <v>20</v>
      </c>
      <c r="R339" s="62">
        <v>23.34</v>
      </c>
      <c r="S339" s="61">
        <v>0</v>
      </c>
      <c r="T339" s="62">
        <v>0</v>
      </c>
    </row>
    <row r="340" spans="1:20" ht="11.1" customHeight="1" x14ac:dyDescent="0.25">
      <c r="A340" s="56">
        <v>108723</v>
      </c>
      <c r="B340" s="72">
        <v>46031</v>
      </c>
      <c r="C340" s="68">
        <v>46031</v>
      </c>
      <c r="D340" s="58" t="s">
        <v>847</v>
      </c>
      <c r="E340" s="59" t="s">
        <v>352</v>
      </c>
      <c r="F340" s="56">
        <v>36</v>
      </c>
      <c r="G340" s="73">
        <v>195</v>
      </c>
      <c r="H340" s="74" t="s">
        <v>435</v>
      </c>
      <c r="I340" s="59" t="s">
        <v>841</v>
      </c>
      <c r="J340" s="59" t="s">
        <v>842</v>
      </c>
      <c r="K340" s="69">
        <v>5102</v>
      </c>
      <c r="L340" s="56">
        <v>205</v>
      </c>
      <c r="M340" s="59" t="s">
        <v>26</v>
      </c>
      <c r="N340" s="61">
        <v>76.5</v>
      </c>
      <c r="O340" s="59" t="s">
        <v>313</v>
      </c>
      <c r="P340" s="62">
        <v>76.5</v>
      </c>
      <c r="Q340" s="63">
        <v>20</v>
      </c>
      <c r="R340" s="62">
        <v>15.3</v>
      </c>
      <c r="S340" s="61">
        <v>0</v>
      </c>
      <c r="T340" s="62">
        <v>0</v>
      </c>
    </row>
    <row r="341" spans="1:20" ht="11.1" customHeight="1" x14ac:dyDescent="0.25">
      <c r="A341" s="56">
        <v>108724</v>
      </c>
      <c r="B341" s="72">
        <v>46031</v>
      </c>
      <c r="C341" s="68">
        <v>46031</v>
      </c>
      <c r="D341" s="58" t="s">
        <v>847</v>
      </c>
      <c r="E341" s="59" t="s">
        <v>352</v>
      </c>
      <c r="F341" s="56">
        <v>36</v>
      </c>
      <c r="G341" s="73">
        <v>195</v>
      </c>
      <c r="H341" s="74" t="s">
        <v>435</v>
      </c>
      <c r="I341" s="59" t="s">
        <v>841</v>
      </c>
      <c r="J341" s="59" t="s">
        <v>842</v>
      </c>
      <c r="K341" s="69">
        <v>5403</v>
      </c>
      <c r="L341" s="56">
        <v>207</v>
      </c>
      <c r="M341" s="59" t="s">
        <v>26</v>
      </c>
      <c r="N341" s="61">
        <v>35.94</v>
      </c>
      <c r="O341" s="59" t="s">
        <v>313</v>
      </c>
      <c r="P341" s="62">
        <v>33.590000000000003</v>
      </c>
      <c r="Q341" s="63">
        <v>20</v>
      </c>
      <c r="R341" s="62">
        <v>6.72</v>
      </c>
      <c r="S341" s="61">
        <v>0</v>
      </c>
      <c r="T341" s="62">
        <v>2.35</v>
      </c>
    </row>
    <row r="342" spans="1:20" ht="11.1" customHeight="1" x14ac:dyDescent="0.25">
      <c r="O342" s="59" t="s">
        <v>436</v>
      </c>
      <c r="P342" s="62">
        <v>45.35</v>
      </c>
      <c r="Q342" s="63">
        <v>20</v>
      </c>
      <c r="R342" s="62">
        <v>2.35</v>
      </c>
      <c r="S342" s="61">
        <v>0</v>
      </c>
      <c r="T342" s="62">
        <v>0</v>
      </c>
    </row>
    <row r="343" spans="1:20" ht="11.1" customHeight="1" x14ac:dyDescent="0.25">
      <c r="A343" s="56">
        <v>108740</v>
      </c>
      <c r="B343" s="72">
        <v>46031</v>
      </c>
      <c r="C343" s="68">
        <v>46031</v>
      </c>
      <c r="D343" s="58" t="s">
        <v>848</v>
      </c>
      <c r="E343" s="59" t="s">
        <v>352</v>
      </c>
      <c r="F343" s="56">
        <v>36</v>
      </c>
      <c r="G343" s="73">
        <v>195</v>
      </c>
      <c r="H343" s="74" t="s">
        <v>435</v>
      </c>
      <c r="I343" s="59" t="s">
        <v>841</v>
      </c>
      <c r="J343" s="59" t="s">
        <v>842</v>
      </c>
      <c r="K343" s="69">
        <v>5102</v>
      </c>
      <c r="L343" s="56">
        <v>205</v>
      </c>
      <c r="M343" s="59" t="s">
        <v>26</v>
      </c>
      <c r="N343" s="61">
        <v>5808.7</v>
      </c>
      <c r="O343" s="59" t="s">
        <v>313</v>
      </c>
      <c r="P343" s="62">
        <v>5808.7</v>
      </c>
      <c r="Q343" s="63">
        <v>20</v>
      </c>
      <c r="R343" s="62">
        <v>1161.73</v>
      </c>
      <c r="S343" s="61">
        <v>0</v>
      </c>
      <c r="T343" s="62">
        <v>0</v>
      </c>
    </row>
    <row r="344" spans="1:20" ht="11.1" customHeight="1" x14ac:dyDescent="0.25">
      <c r="A344" s="56">
        <v>108741</v>
      </c>
      <c r="B344" s="72">
        <v>46031</v>
      </c>
      <c r="C344" s="68">
        <v>46031</v>
      </c>
      <c r="D344" s="58" t="s">
        <v>848</v>
      </c>
      <c r="E344" s="59" t="s">
        <v>352</v>
      </c>
      <c r="F344" s="56">
        <v>36</v>
      </c>
      <c r="G344" s="73">
        <v>195</v>
      </c>
      <c r="H344" s="74" t="s">
        <v>435</v>
      </c>
      <c r="I344" s="59" t="s">
        <v>841</v>
      </c>
      <c r="J344" s="59" t="s">
        <v>842</v>
      </c>
      <c r="K344" s="69">
        <v>5403</v>
      </c>
      <c r="L344" s="56">
        <v>207</v>
      </c>
      <c r="M344" s="59" t="s">
        <v>26</v>
      </c>
      <c r="N344" s="61">
        <v>1410.8</v>
      </c>
      <c r="O344" s="59" t="s">
        <v>313</v>
      </c>
      <c r="P344" s="62">
        <v>1318.5</v>
      </c>
      <c r="Q344" s="63">
        <v>20</v>
      </c>
      <c r="R344" s="62">
        <v>263.7</v>
      </c>
      <c r="S344" s="61">
        <v>0</v>
      </c>
      <c r="T344" s="62">
        <v>92.3</v>
      </c>
    </row>
    <row r="345" spans="1:20" ht="11.1" customHeight="1" x14ac:dyDescent="0.25">
      <c r="O345" s="59" t="s">
        <v>436</v>
      </c>
      <c r="P345" s="62">
        <v>1779.98</v>
      </c>
      <c r="Q345" s="63">
        <v>20</v>
      </c>
      <c r="R345" s="62">
        <v>92.3</v>
      </c>
      <c r="S345" s="61">
        <v>0</v>
      </c>
      <c r="T345" s="62">
        <v>0</v>
      </c>
    </row>
    <row r="346" spans="1:20" ht="11.1" customHeight="1" x14ac:dyDescent="0.25">
      <c r="A346" s="56">
        <v>108832</v>
      </c>
      <c r="B346" s="72">
        <v>46035</v>
      </c>
      <c r="C346" s="68">
        <v>46035</v>
      </c>
      <c r="D346" s="58" t="s">
        <v>849</v>
      </c>
      <c r="E346" s="59" t="s">
        <v>352</v>
      </c>
      <c r="F346" s="56">
        <v>36</v>
      </c>
      <c r="G346" s="73">
        <v>195</v>
      </c>
      <c r="H346" s="74" t="s">
        <v>435</v>
      </c>
      <c r="I346" s="59" t="s">
        <v>841</v>
      </c>
      <c r="J346" s="59" t="s">
        <v>842</v>
      </c>
      <c r="K346" s="69">
        <v>5102</v>
      </c>
      <c r="L346" s="56">
        <v>205</v>
      </c>
      <c r="M346" s="59" t="s">
        <v>26</v>
      </c>
      <c r="N346" s="61">
        <v>862.63</v>
      </c>
      <c r="O346" s="59" t="s">
        <v>313</v>
      </c>
      <c r="P346" s="62">
        <v>862.63</v>
      </c>
      <c r="Q346" s="63">
        <v>20</v>
      </c>
      <c r="R346" s="62">
        <v>172.53</v>
      </c>
      <c r="S346" s="61">
        <v>0</v>
      </c>
      <c r="T346" s="62">
        <v>0</v>
      </c>
    </row>
    <row r="347" spans="1:20" ht="11.1" customHeight="1" x14ac:dyDescent="0.25">
      <c r="A347" s="56">
        <v>108833</v>
      </c>
      <c r="B347" s="72">
        <v>46035</v>
      </c>
      <c r="C347" s="68">
        <v>46035</v>
      </c>
      <c r="D347" s="58" t="s">
        <v>849</v>
      </c>
      <c r="E347" s="59" t="s">
        <v>352</v>
      </c>
      <c r="F347" s="56">
        <v>36</v>
      </c>
      <c r="G347" s="73">
        <v>195</v>
      </c>
      <c r="H347" s="74" t="s">
        <v>435</v>
      </c>
      <c r="I347" s="59" t="s">
        <v>841</v>
      </c>
      <c r="J347" s="59" t="s">
        <v>842</v>
      </c>
      <c r="K347" s="69">
        <v>5403</v>
      </c>
      <c r="L347" s="56">
        <v>207</v>
      </c>
      <c r="M347" s="59" t="s">
        <v>26</v>
      </c>
      <c r="N347" s="61">
        <v>1002.27</v>
      </c>
      <c r="O347" s="59" t="s">
        <v>313</v>
      </c>
      <c r="P347" s="62">
        <v>936.71</v>
      </c>
      <c r="Q347" s="63">
        <v>20</v>
      </c>
      <c r="R347" s="62">
        <v>187.35</v>
      </c>
      <c r="S347" s="61">
        <v>0</v>
      </c>
      <c r="T347" s="62">
        <v>65.56</v>
      </c>
    </row>
    <row r="348" spans="1:20" ht="11.1" customHeight="1" x14ac:dyDescent="0.25">
      <c r="O348" s="59" t="s">
        <v>436</v>
      </c>
      <c r="P348" s="62">
        <v>1264.56</v>
      </c>
      <c r="Q348" s="63">
        <v>20</v>
      </c>
      <c r="R348" s="62">
        <v>65.56</v>
      </c>
      <c r="S348" s="61">
        <v>0</v>
      </c>
      <c r="T348" s="62">
        <v>0</v>
      </c>
    </row>
    <row r="349" spans="1:20" ht="11.1" customHeight="1" x14ac:dyDescent="0.25">
      <c r="A349" s="56">
        <v>109014</v>
      </c>
      <c r="B349" s="72">
        <v>46038</v>
      </c>
      <c r="C349" s="68">
        <v>46038</v>
      </c>
      <c r="D349" s="58" t="s">
        <v>850</v>
      </c>
      <c r="E349" s="59" t="s">
        <v>352</v>
      </c>
      <c r="F349" s="56">
        <v>36</v>
      </c>
      <c r="G349" s="73">
        <v>195</v>
      </c>
      <c r="H349" s="74" t="s">
        <v>435</v>
      </c>
      <c r="I349" s="59" t="s">
        <v>841</v>
      </c>
      <c r="J349" s="59" t="s">
        <v>842</v>
      </c>
      <c r="K349" s="69">
        <v>5102</v>
      </c>
      <c r="L349" s="56">
        <v>205</v>
      </c>
      <c r="M349" s="59" t="s">
        <v>26</v>
      </c>
      <c r="N349" s="61">
        <v>399.36</v>
      </c>
      <c r="O349" s="59" t="s">
        <v>313</v>
      </c>
      <c r="P349" s="62">
        <v>399.36</v>
      </c>
      <c r="Q349" s="63">
        <v>20</v>
      </c>
      <c r="R349" s="62">
        <v>79.87</v>
      </c>
      <c r="S349" s="61">
        <v>0</v>
      </c>
      <c r="T349" s="62">
        <v>0</v>
      </c>
    </row>
    <row r="350" spans="1:20" ht="11.1" customHeight="1" x14ac:dyDescent="0.25">
      <c r="A350" s="56">
        <v>109015</v>
      </c>
      <c r="B350" s="72">
        <v>46038</v>
      </c>
      <c r="C350" s="68">
        <v>46038</v>
      </c>
      <c r="D350" s="58" t="s">
        <v>850</v>
      </c>
      <c r="E350" s="59" t="s">
        <v>352</v>
      </c>
      <c r="F350" s="56">
        <v>36</v>
      </c>
      <c r="G350" s="73">
        <v>195</v>
      </c>
      <c r="H350" s="74" t="s">
        <v>435</v>
      </c>
      <c r="I350" s="59" t="s">
        <v>841</v>
      </c>
      <c r="J350" s="59" t="s">
        <v>842</v>
      </c>
      <c r="K350" s="69">
        <v>5403</v>
      </c>
      <c r="L350" s="56">
        <v>207</v>
      </c>
      <c r="M350" s="59" t="s">
        <v>26</v>
      </c>
      <c r="N350" s="61">
        <v>1854.97</v>
      </c>
      <c r="O350" s="59" t="s">
        <v>313</v>
      </c>
      <c r="P350" s="62">
        <v>1733.62</v>
      </c>
      <c r="Q350" s="63">
        <v>20</v>
      </c>
      <c r="R350" s="62">
        <v>346.72</v>
      </c>
      <c r="S350" s="61">
        <v>0</v>
      </c>
      <c r="T350" s="62">
        <v>121.35</v>
      </c>
    </row>
    <row r="351" spans="1:20" ht="11.1" customHeight="1" x14ac:dyDescent="0.25">
      <c r="O351" s="59" t="s">
        <v>436</v>
      </c>
      <c r="P351" s="62">
        <v>2340.4</v>
      </c>
      <c r="Q351" s="63">
        <v>20</v>
      </c>
      <c r="R351" s="62">
        <v>121.35</v>
      </c>
      <c r="S351" s="61">
        <v>0</v>
      </c>
      <c r="T351" s="62">
        <v>0</v>
      </c>
    </row>
    <row r="352" spans="1:20" ht="11.1" customHeight="1" x14ac:dyDescent="0.25">
      <c r="A352" s="56">
        <v>109016</v>
      </c>
      <c r="B352" s="72">
        <v>46038</v>
      </c>
      <c r="C352" s="68">
        <v>46038</v>
      </c>
      <c r="D352" s="58" t="s">
        <v>851</v>
      </c>
      <c r="E352" s="59" t="s">
        <v>352</v>
      </c>
      <c r="F352" s="56">
        <v>36</v>
      </c>
      <c r="G352" s="73">
        <v>195</v>
      </c>
      <c r="H352" s="74" t="s">
        <v>435</v>
      </c>
      <c r="I352" s="59" t="s">
        <v>841</v>
      </c>
      <c r="J352" s="59" t="s">
        <v>842</v>
      </c>
      <c r="K352" s="69">
        <v>5102</v>
      </c>
      <c r="L352" s="56">
        <v>205</v>
      </c>
      <c r="M352" s="59" t="s">
        <v>26</v>
      </c>
      <c r="N352" s="61">
        <v>67.150000000000006</v>
      </c>
      <c r="O352" s="59" t="s">
        <v>313</v>
      </c>
      <c r="P352" s="62">
        <v>67.150000000000006</v>
      </c>
      <c r="Q352" s="63">
        <v>20</v>
      </c>
      <c r="R352" s="62">
        <v>13.43</v>
      </c>
      <c r="S352" s="61">
        <v>0</v>
      </c>
      <c r="T352" s="62">
        <v>0</v>
      </c>
    </row>
    <row r="353" spans="1:20" ht="11.1" customHeight="1" x14ac:dyDescent="0.25">
      <c r="A353" s="56">
        <v>109017</v>
      </c>
      <c r="B353" s="72">
        <v>46038</v>
      </c>
      <c r="C353" s="68">
        <v>46038</v>
      </c>
      <c r="D353" s="58" t="s">
        <v>851</v>
      </c>
      <c r="E353" s="59" t="s">
        <v>352</v>
      </c>
      <c r="F353" s="56">
        <v>36</v>
      </c>
      <c r="G353" s="73">
        <v>195</v>
      </c>
      <c r="H353" s="74" t="s">
        <v>435</v>
      </c>
      <c r="I353" s="59" t="s">
        <v>841</v>
      </c>
      <c r="J353" s="59" t="s">
        <v>842</v>
      </c>
      <c r="K353" s="69">
        <v>5403</v>
      </c>
      <c r="L353" s="56">
        <v>207</v>
      </c>
      <c r="M353" s="59" t="s">
        <v>26</v>
      </c>
      <c r="N353" s="61">
        <v>145.22</v>
      </c>
      <c r="O353" s="59" t="s">
        <v>313</v>
      </c>
      <c r="P353" s="62">
        <v>135.72</v>
      </c>
      <c r="Q353" s="63">
        <v>20</v>
      </c>
      <c r="R353" s="62">
        <v>27.14</v>
      </c>
      <c r="S353" s="61">
        <v>0</v>
      </c>
      <c r="T353" s="62">
        <v>9.5</v>
      </c>
    </row>
    <row r="354" spans="1:20" ht="11.1" customHeight="1" x14ac:dyDescent="0.25">
      <c r="O354" s="59" t="s">
        <v>436</v>
      </c>
      <c r="P354" s="62">
        <v>183.22</v>
      </c>
      <c r="Q354" s="63">
        <v>20</v>
      </c>
      <c r="R354" s="62">
        <v>9.5</v>
      </c>
      <c r="S354" s="61">
        <v>0</v>
      </c>
      <c r="T354" s="62">
        <v>0</v>
      </c>
    </row>
    <row r="355" spans="1:20" ht="11.1" customHeight="1" x14ac:dyDescent="0.25">
      <c r="A355" s="56">
        <v>109034</v>
      </c>
      <c r="B355" s="72">
        <v>46038</v>
      </c>
      <c r="C355" s="68">
        <v>46038</v>
      </c>
      <c r="D355" s="58" t="s">
        <v>852</v>
      </c>
      <c r="E355" s="59" t="s">
        <v>352</v>
      </c>
      <c r="F355" s="56">
        <v>36</v>
      </c>
      <c r="G355" s="73">
        <v>195</v>
      </c>
      <c r="H355" s="74" t="s">
        <v>435</v>
      </c>
      <c r="I355" s="59" t="s">
        <v>841</v>
      </c>
      <c r="J355" s="59" t="s">
        <v>842</v>
      </c>
      <c r="K355" s="69">
        <v>5102</v>
      </c>
      <c r="L355" s="56">
        <v>205</v>
      </c>
      <c r="M355" s="59" t="s">
        <v>26</v>
      </c>
      <c r="N355" s="61">
        <v>313.43</v>
      </c>
      <c r="O355" s="59" t="s">
        <v>313</v>
      </c>
      <c r="P355" s="62">
        <v>313.43</v>
      </c>
      <c r="Q355" s="63">
        <v>20</v>
      </c>
      <c r="R355" s="62">
        <v>62.69</v>
      </c>
      <c r="S355" s="61">
        <v>0</v>
      </c>
      <c r="T355" s="62">
        <v>0</v>
      </c>
    </row>
    <row r="356" spans="1:20" ht="11.1" customHeight="1" x14ac:dyDescent="0.25">
      <c r="A356" s="56">
        <v>109035</v>
      </c>
      <c r="B356" s="72">
        <v>46038</v>
      </c>
      <c r="C356" s="68">
        <v>46038</v>
      </c>
      <c r="D356" s="58" t="s">
        <v>852</v>
      </c>
      <c r="E356" s="59" t="s">
        <v>352</v>
      </c>
      <c r="F356" s="56">
        <v>36</v>
      </c>
      <c r="G356" s="73">
        <v>195</v>
      </c>
      <c r="H356" s="74" t="s">
        <v>435</v>
      </c>
      <c r="I356" s="59" t="s">
        <v>841</v>
      </c>
      <c r="J356" s="59" t="s">
        <v>842</v>
      </c>
      <c r="K356" s="69">
        <v>5403</v>
      </c>
      <c r="L356" s="56">
        <v>207</v>
      </c>
      <c r="M356" s="59" t="s">
        <v>26</v>
      </c>
      <c r="N356" s="61">
        <v>134.16999999999999</v>
      </c>
      <c r="O356" s="59" t="s">
        <v>313</v>
      </c>
      <c r="P356" s="62">
        <v>125.39</v>
      </c>
      <c r="Q356" s="63">
        <v>20</v>
      </c>
      <c r="R356" s="62">
        <v>25.07</v>
      </c>
      <c r="S356" s="61">
        <v>0</v>
      </c>
      <c r="T356" s="62">
        <v>8.7799999999999994</v>
      </c>
    </row>
    <row r="357" spans="1:20" ht="11.1" customHeight="1" x14ac:dyDescent="0.25">
      <c r="O357" s="59" t="s">
        <v>436</v>
      </c>
      <c r="P357" s="62">
        <v>169.28</v>
      </c>
      <c r="Q357" s="63">
        <v>20</v>
      </c>
      <c r="R357" s="62">
        <v>8.7799999999999994</v>
      </c>
      <c r="S357" s="61">
        <v>0</v>
      </c>
      <c r="T357" s="62">
        <v>0</v>
      </c>
    </row>
    <row r="358" spans="1:20" ht="11.1" customHeight="1" x14ac:dyDescent="0.25">
      <c r="A358" s="56">
        <v>109177</v>
      </c>
      <c r="B358" s="72">
        <v>46042</v>
      </c>
      <c r="C358" s="68">
        <v>46042</v>
      </c>
      <c r="D358" s="58" t="s">
        <v>853</v>
      </c>
      <c r="E358" s="59" t="s">
        <v>352</v>
      </c>
      <c r="F358" s="56">
        <v>36</v>
      </c>
      <c r="G358" s="73">
        <v>195</v>
      </c>
      <c r="H358" s="74" t="s">
        <v>435</v>
      </c>
      <c r="I358" s="59" t="s">
        <v>841</v>
      </c>
      <c r="J358" s="59" t="s">
        <v>842</v>
      </c>
      <c r="K358" s="69">
        <v>5102</v>
      </c>
      <c r="L358" s="56">
        <v>205</v>
      </c>
      <c r="M358" s="59" t="s">
        <v>26</v>
      </c>
      <c r="N358" s="61">
        <v>1250.43</v>
      </c>
      <c r="O358" s="59" t="s">
        <v>313</v>
      </c>
      <c r="P358" s="62">
        <v>1250.43</v>
      </c>
      <c r="Q358" s="63">
        <v>20</v>
      </c>
      <c r="R358" s="62">
        <v>250.09</v>
      </c>
      <c r="S358" s="61">
        <v>0</v>
      </c>
      <c r="T358" s="62">
        <v>0</v>
      </c>
    </row>
    <row r="359" spans="1:20" ht="11.1" customHeight="1" x14ac:dyDescent="0.25">
      <c r="A359" s="56">
        <v>109178</v>
      </c>
      <c r="B359" s="72">
        <v>46042</v>
      </c>
      <c r="C359" s="68">
        <v>46042</v>
      </c>
      <c r="D359" s="58" t="s">
        <v>853</v>
      </c>
      <c r="E359" s="59" t="s">
        <v>352</v>
      </c>
      <c r="F359" s="56">
        <v>36</v>
      </c>
      <c r="G359" s="73">
        <v>195</v>
      </c>
      <c r="H359" s="74" t="s">
        <v>435</v>
      </c>
      <c r="I359" s="59" t="s">
        <v>841</v>
      </c>
      <c r="J359" s="59" t="s">
        <v>842</v>
      </c>
      <c r="K359" s="69">
        <v>5403</v>
      </c>
      <c r="L359" s="56">
        <v>207</v>
      </c>
      <c r="M359" s="59" t="s">
        <v>26</v>
      </c>
      <c r="N359" s="61">
        <v>1366.8</v>
      </c>
      <c r="O359" s="59" t="s">
        <v>313</v>
      </c>
      <c r="P359" s="62">
        <v>1277.3900000000001</v>
      </c>
      <c r="Q359" s="63">
        <v>20</v>
      </c>
      <c r="R359" s="62">
        <v>255.47</v>
      </c>
      <c r="S359" s="61">
        <v>0</v>
      </c>
      <c r="T359" s="62">
        <v>89.41</v>
      </c>
    </row>
    <row r="360" spans="1:20" ht="11.1" customHeight="1" x14ac:dyDescent="0.25">
      <c r="O360" s="59" t="s">
        <v>436</v>
      </c>
      <c r="P360" s="62">
        <v>1724.48</v>
      </c>
      <c r="Q360" s="63">
        <v>20</v>
      </c>
      <c r="R360" s="62">
        <v>89.41</v>
      </c>
      <c r="S360" s="61">
        <v>0</v>
      </c>
      <c r="T360" s="62">
        <v>0</v>
      </c>
    </row>
    <row r="361" spans="1:20" ht="11.1" customHeight="1" x14ac:dyDescent="0.25">
      <c r="A361" s="56">
        <v>109258</v>
      </c>
      <c r="B361" s="72">
        <v>46044</v>
      </c>
      <c r="C361" s="68">
        <v>46044</v>
      </c>
      <c r="D361" s="58" t="s">
        <v>854</v>
      </c>
      <c r="E361" s="59" t="s">
        <v>352</v>
      </c>
      <c r="F361" s="56">
        <v>36</v>
      </c>
      <c r="G361" s="73">
        <v>195</v>
      </c>
      <c r="H361" s="74" t="s">
        <v>435</v>
      </c>
      <c r="I361" s="59" t="s">
        <v>841</v>
      </c>
      <c r="J361" s="59" t="s">
        <v>842</v>
      </c>
      <c r="K361" s="69">
        <v>5102</v>
      </c>
      <c r="L361" s="56">
        <v>205</v>
      </c>
      <c r="M361" s="59" t="s">
        <v>26</v>
      </c>
      <c r="N361" s="61">
        <v>872.32</v>
      </c>
      <c r="O361" s="59" t="s">
        <v>313</v>
      </c>
      <c r="P361" s="62">
        <v>872.32</v>
      </c>
      <c r="Q361" s="63">
        <v>20</v>
      </c>
      <c r="R361" s="62">
        <v>174.46</v>
      </c>
      <c r="S361" s="61">
        <v>0</v>
      </c>
      <c r="T361" s="62">
        <v>0</v>
      </c>
    </row>
    <row r="362" spans="1:20" ht="11.1" customHeight="1" x14ac:dyDescent="0.25">
      <c r="A362" s="56">
        <v>109259</v>
      </c>
      <c r="B362" s="72">
        <v>46044</v>
      </c>
      <c r="C362" s="68">
        <v>46044</v>
      </c>
      <c r="D362" s="58" t="s">
        <v>854</v>
      </c>
      <c r="E362" s="59" t="s">
        <v>352</v>
      </c>
      <c r="F362" s="56">
        <v>36</v>
      </c>
      <c r="G362" s="73">
        <v>195</v>
      </c>
      <c r="H362" s="74" t="s">
        <v>435</v>
      </c>
      <c r="I362" s="59" t="s">
        <v>841</v>
      </c>
      <c r="J362" s="59" t="s">
        <v>842</v>
      </c>
      <c r="K362" s="69">
        <v>5403</v>
      </c>
      <c r="L362" s="56">
        <v>207</v>
      </c>
      <c r="M362" s="59" t="s">
        <v>26</v>
      </c>
      <c r="N362" s="61">
        <v>1349.19</v>
      </c>
      <c r="O362" s="59" t="s">
        <v>313</v>
      </c>
      <c r="P362" s="62">
        <v>1260.9100000000001</v>
      </c>
      <c r="Q362" s="63">
        <v>20</v>
      </c>
      <c r="R362" s="62">
        <v>252.18</v>
      </c>
      <c r="S362" s="61">
        <v>0</v>
      </c>
      <c r="T362" s="62">
        <v>88.28</v>
      </c>
    </row>
    <row r="363" spans="1:20" ht="11.1" customHeight="1" x14ac:dyDescent="0.25">
      <c r="O363" s="59" t="s">
        <v>436</v>
      </c>
      <c r="P363" s="62">
        <v>1702.22</v>
      </c>
      <c r="Q363" s="63">
        <v>20</v>
      </c>
      <c r="R363" s="62">
        <v>88.28</v>
      </c>
      <c r="S363" s="61">
        <v>0</v>
      </c>
      <c r="T363" s="62">
        <v>0</v>
      </c>
    </row>
    <row r="364" spans="1:20" ht="11.1" customHeight="1" x14ac:dyDescent="0.25">
      <c r="A364" s="56">
        <v>109358</v>
      </c>
      <c r="B364" s="72">
        <v>46045</v>
      </c>
      <c r="C364" s="68">
        <v>46045</v>
      </c>
      <c r="D364" s="58" t="s">
        <v>855</v>
      </c>
      <c r="E364" s="59" t="s">
        <v>352</v>
      </c>
      <c r="F364" s="56">
        <v>36</v>
      </c>
      <c r="G364" s="73">
        <v>195</v>
      </c>
      <c r="H364" s="74" t="s">
        <v>435</v>
      </c>
      <c r="I364" s="59" t="s">
        <v>841</v>
      </c>
      <c r="J364" s="59" t="s">
        <v>842</v>
      </c>
      <c r="K364" s="69">
        <v>5102</v>
      </c>
      <c r="L364" s="56">
        <v>205</v>
      </c>
      <c r="M364" s="59" t="s">
        <v>26</v>
      </c>
      <c r="N364" s="61">
        <v>191.3</v>
      </c>
      <c r="O364" s="59" t="s">
        <v>313</v>
      </c>
      <c r="P364" s="62">
        <v>191.3</v>
      </c>
      <c r="Q364" s="63">
        <v>20</v>
      </c>
      <c r="R364" s="62">
        <v>38.26</v>
      </c>
      <c r="S364" s="61">
        <v>0</v>
      </c>
      <c r="T364" s="62">
        <v>0</v>
      </c>
    </row>
    <row r="365" spans="1:20" ht="11.1" customHeight="1" x14ac:dyDescent="0.25">
      <c r="A365" s="56">
        <v>109359</v>
      </c>
      <c r="B365" s="72">
        <v>46045</v>
      </c>
      <c r="C365" s="68">
        <v>46045</v>
      </c>
      <c r="D365" s="58" t="s">
        <v>855</v>
      </c>
      <c r="E365" s="59" t="s">
        <v>352</v>
      </c>
      <c r="F365" s="56">
        <v>36</v>
      </c>
      <c r="G365" s="73">
        <v>195</v>
      </c>
      <c r="H365" s="74" t="s">
        <v>435</v>
      </c>
      <c r="I365" s="59" t="s">
        <v>841</v>
      </c>
      <c r="J365" s="59" t="s">
        <v>842</v>
      </c>
      <c r="K365" s="69">
        <v>5405</v>
      </c>
      <c r="L365" s="56">
        <v>206</v>
      </c>
      <c r="M365" s="59" t="s">
        <v>26</v>
      </c>
      <c r="N365" s="61">
        <v>161.69999999999999</v>
      </c>
      <c r="O365" s="59" t="s">
        <v>313</v>
      </c>
      <c r="P365" s="62">
        <v>0</v>
      </c>
      <c r="Q365" s="63">
        <v>0</v>
      </c>
      <c r="R365" s="62">
        <v>0</v>
      </c>
      <c r="S365" s="61">
        <v>0</v>
      </c>
      <c r="T365" s="62">
        <v>161.69999999999999</v>
      </c>
    </row>
    <row r="366" spans="1:20" ht="11.1" customHeight="1" x14ac:dyDescent="0.25">
      <c r="A366" s="56">
        <v>109360</v>
      </c>
      <c r="B366" s="72">
        <v>46045</v>
      </c>
      <c r="C366" s="68">
        <v>46045</v>
      </c>
      <c r="D366" s="58" t="s">
        <v>855</v>
      </c>
      <c r="E366" s="59" t="s">
        <v>352</v>
      </c>
      <c r="F366" s="56">
        <v>36</v>
      </c>
      <c r="G366" s="73">
        <v>195</v>
      </c>
      <c r="H366" s="74" t="s">
        <v>435</v>
      </c>
      <c r="I366" s="59" t="s">
        <v>841</v>
      </c>
      <c r="J366" s="59" t="s">
        <v>842</v>
      </c>
      <c r="K366" s="69">
        <v>5403</v>
      </c>
      <c r="L366" s="56">
        <v>207</v>
      </c>
      <c r="M366" s="59" t="s">
        <v>26</v>
      </c>
      <c r="N366" s="61">
        <v>326.55</v>
      </c>
      <c r="O366" s="59" t="s">
        <v>313</v>
      </c>
      <c r="P366" s="62">
        <v>305.2</v>
      </c>
      <c r="Q366" s="63">
        <v>20</v>
      </c>
      <c r="R366" s="62">
        <v>61.05</v>
      </c>
      <c r="S366" s="61">
        <v>0</v>
      </c>
      <c r="T366" s="62">
        <v>21.35</v>
      </c>
    </row>
    <row r="367" spans="1:20" ht="11.1" customHeight="1" x14ac:dyDescent="0.25">
      <c r="O367" s="59" t="s">
        <v>436</v>
      </c>
      <c r="P367" s="62">
        <v>412.02</v>
      </c>
      <c r="Q367" s="63">
        <v>20</v>
      </c>
      <c r="R367" s="62">
        <v>21.35</v>
      </c>
      <c r="S367" s="61">
        <v>0</v>
      </c>
      <c r="T367" s="62">
        <v>0</v>
      </c>
    </row>
    <row r="368" spans="1:20" ht="11.1" customHeight="1" x14ac:dyDescent="0.25">
      <c r="A368" s="56">
        <v>109447</v>
      </c>
      <c r="B368" s="72">
        <v>46048</v>
      </c>
      <c r="C368" s="68">
        <v>46048</v>
      </c>
      <c r="D368" s="58" t="s">
        <v>856</v>
      </c>
      <c r="E368" s="59" t="s">
        <v>352</v>
      </c>
      <c r="F368" s="56">
        <v>36</v>
      </c>
      <c r="G368" s="73">
        <v>195</v>
      </c>
      <c r="H368" s="74" t="s">
        <v>435</v>
      </c>
      <c r="I368" s="59" t="s">
        <v>841</v>
      </c>
      <c r="J368" s="59" t="s">
        <v>842</v>
      </c>
      <c r="K368" s="69">
        <v>5102</v>
      </c>
      <c r="L368" s="56">
        <v>205</v>
      </c>
      <c r="M368" s="59" t="s">
        <v>26</v>
      </c>
      <c r="N368" s="61">
        <v>19.2</v>
      </c>
      <c r="O368" s="59" t="s">
        <v>313</v>
      </c>
      <c r="P368" s="62">
        <v>19.2</v>
      </c>
      <c r="Q368" s="63">
        <v>20</v>
      </c>
      <c r="R368" s="62">
        <v>3.84</v>
      </c>
      <c r="S368" s="61">
        <v>0</v>
      </c>
      <c r="T368" s="62">
        <v>0</v>
      </c>
    </row>
    <row r="369" spans="1:20" ht="11.1" customHeight="1" x14ac:dyDescent="0.25">
      <c r="A369" s="56">
        <v>109448</v>
      </c>
      <c r="B369" s="72">
        <v>46048</v>
      </c>
      <c r="C369" s="68">
        <v>46048</v>
      </c>
      <c r="D369" s="58" t="s">
        <v>856</v>
      </c>
      <c r="E369" s="59" t="s">
        <v>352</v>
      </c>
      <c r="F369" s="56">
        <v>36</v>
      </c>
      <c r="G369" s="73">
        <v>195</v>
      </c>
      <c r="H369" s="74" t="s">
        <v>435</v>
      </c>
      <c r="I369" s="59" t="s">
        <v>841</v>
      </c>
      <c r="J369" s="59" t="s">
        <v>842</v>
      </c>
      <c r="K369" s="69">
        <v>5403</v>
      </c>
      <c r="L369" s="56">
        <v>207</v>
      </c>
      <c r="M369" s="59" t="s">
        <v>26</v>
      </c>
      <c r="N369" s="61">
        <v>156.13999999999999</v>
      </c>
      <c r="O369" s="59" t="s">
        <v>313</v>
      </c>
      <c r="P369" s="62">
        <v>145.91999999999999</v>
      </c>
      <c r="Q369" s="63">
        <v>20</v>
      </c>
      <c r="R369" s="62">
        <v>29.18</v>
      </c>
      <c r="S369" s="61">
        <v>0</v>
      </c>
      <c r="T369" s="62">
        <v>10.220000000000001</v>
      </c>
    </row>
    <row r="370" spans="1:20" ht="11.1" customHeight="1" x14ac:dyDescent="0.25">
      <c r="O370" s="59" t="s">
        <v>436</v>
      </c>
      <c r="P370" s="62">
        <v>197</v>
      </c>
      <c r="Q370" s="63">
        <v>20</v>
      </c>
      <c r="R370" s="62">
        <v>10.220000000000001</v>
      </c>
      <c r="S370" s="61">
        <v>0</v>
      </c>
      <c r="T370" s="62">
        <v>0</v>
      </c>
    </row>
    <row r="371" spans="1:20" ht="11.1" customHeight="1" x14ac:dyDescent="0.25">
      <c r="A371" s="56">
        <v>109498</v>
      </c>
      <c r="B371" s="72">
        <v>46049</v>
      </c>
      <c r="C371" s="68">
        <v>46049</v>
      </c>
      <c r="D371" s="58" t="s">
        <v>857</v>
      </c>
      <c r="E371" s="59" t="s">
        <v>352</v>
      </c>
      <c r="F371" s="56">
        <v>36</v>
      </c>
      <c r="G371" s="73">
        <v>195</v>
      </c>
      <c r="H371" s="74" t="s">
        <v>435</v>
      </c>
      <c r="I371" s="59" t="s">
        <v>841</v>
      </c>
      <c r="J371" s="59" t="s">
        <v>842</v>
      </c>
      <c r="K371" s="69">
        <v>5102</v>
      </c>
      <c r="L371" s="56">
        <v>205</v>
      </c>
      <c r="M371" s="59" t="s">
        <v>26</v>
      </c>
      <c r="N371" s="61">
        <v>367.25</v>
      </c>
      <c r="O371" s="59" t="s">
        <v>313</v>
      </c>
      <c r="P371" s="62">
        <v>367.25</v>
      </c>
      <c r="Q371" s="63">
        <v>20</v>
      </c>
      <c r="R371" s="62">
        <v>73.45</v>
      </c>
      <c r="S371" s="61">
        <v>0</v>
      </c>
      <c r="T371" s="62">
        <v>0</v>
      </c>
    </row>
    <row r="372" spans="1:20" ht="11.1" customHeight="1" x14ac:dyDescent="0.25">
      <c r="A372" s="56">
        <v>109499</v>
      </c>
      <c r="B372" s="72">
        <v>46049</v>
      </c>
      <c r="C372" s="68">
        <v>46049</v>
      </c>
      <c r="D372" s="58" t="s">
        <v>857</v>
      </c>
      <c r="E372" s="59" t="s">
        <v>352</v>
      </c>
      <c r="F372" s="56">
        <v>36</v>
      </c>
      <c r="G372" s="73">
        <v>195</v>
      </c>
      <c r="H372" s="74" t="s">
        <v>435</v>
      </c>
      <c r="I372" s="59" t="s">
        <v>841</v>
      </c>
      <c r="J372" s="59" t="s">
        <v>842</v>
      </c>
      <c r="K372" s="69">
        <v>5403</v>
      </c>
      <c r="L372" s="56">
        <v>207</v>
      </c>
      <c r="M372" s="59" t="s">
        <v>26</v>
      </c>
      <c r="N372" s="61">
        <v>656.33</v>
      </c>
      <c r="O372" s="59" t="s">
        <v>313</v>
      </c>
      <c r="P372" s="62">
        <v>613.4</v>
      </c>
      <c r="Q372" s="63">
        <v>20</v>
      </c>
      <c r="R372" s="62">
        <v>122.68</v>
      </c>
      <c r="S372" s="61">
        <v>0</v>
      </c>
      <c r="T372" s="62">
        <v>42.93</v>
      </c>
    </row>
    <row r="373" spans="1:20" ht="11.1" customHeight="1" x14ac:dyDescent="0.25">
      <c r="O373" s="59" t="s">
        <v>436</v>
      </c>
      <c r="P373" s="62">
        <v>828.1</v>
      </c>
      <c r="Q373" s="63">
        <v>20</v>
      </c>
      <c r="R373" s="62">
        <v>42.93</v>
      </c>
      <c r="S373" s="61">
        <v>0</v>
      </c>
      <c r="T373" s="62">
        <v>0</v>
      </c>
    </row>
    <row r="374" spans="1:20" ht="11.1" customHeight="1" x14ac:dyDescent="0.25">
      <c r="A374" s="56">
        <v>109501</v>
      </c>
      <c r="B374" s="72">
        <v>46049</v>
      </c>
      <c r="C374" s="68">
        <v>46049</v>
      </c>
      <c r="D374" s="58" t="s">
        <v>858</v>
      </c>
      <c r="E374" s="59" t="s">
        <v>352</v>
      </c>
      <c r="F374" s="56">
        <v>36</v>
      </c>
      <c r="G374" s="73">
        <v>195</v>
      </c>
      <c r="H374" s="74" t="s">
        <v>435</v>
      </c>
      <c r="I374" s="59" t="s">
        <v>841</v>
      </c>
      <c r="J374" s="59" t="s">
        <v>842</v>
      </c>
      <c r="K374" s="69">
        <v>5102</v>
      </c>
      <c r="L374" s="56">
        <v>205</v>
      </c>
      <c r="M374" s="59" t="s">
        <v>26</v>
      </c>
      <c r="N374" s="61">
        <v>695.22</v>
      </c>
      <c r="O374" s="59" t="s">
        <v>313</v>
      </c>
      <c r="P374" s="62">
        <v>695.22</v>
      </c>
      <c r="Q374" s="63">
        <v>20</v>
      </c>
      <c r="R374" s="62">
        <v>139.04</v>
      </c>
      <c r="S374" s="61">
        <v>0</v>
      </c>
      <c r="T374" s="62">
        <v>0</v>
      </c>
    </row>
    <row r="375" spans="1:20" ht="11.1" customHeight="1" x14ac:dyDescent="0.25">
      <c r="A375" s="56">
        <v>109502</v>
      </c>
      <c r="B375" s="72">
        <v>46049</v>
      </c>
      <c r="C375" s="68">
        <v>46049</v>
      </c>
      <c r="D375" s="58" t="s">
        <v>858</v>
      </c>
      <c r="E375" s="59" t="s">
        <v>352</v>
      </c>
      <c r="F375" s="56">
        <v>36</v>
      </c>
      <c r="G375" s="73">
        <v>195</v>
      </c>
      <c r="H375" s="74" t="s">
        <v>435</v>
      </c>
      <c r="I375" s="59" t="s">
        <v>841</v>
      </c>
      <c r="J375" s="59" t="s">
        <v>842</v>
      </c>
      <c r="K375" s="69">
        <v>5403</v>
      </c>
      <c r="L375" s="56">
        <v>207</v>
      </c>
      <c r="M375" s="59" t="s">
        <v>26</v>
      </c>
      <c r="N375" s="61">
        <v>62.09</v>
      </c>
      <c r="O375" s="59" t="s">
        <v>313</v>
      </c>
      <c r="P375" s="62">
        <v>58.02</v>
      </c>
      <c r="Q375" s="63">
        <v>20</v>
      </c>
      <c r="R375" s="62">
        <v>11.6</v>
      </c>
      <c r="S375" s="61">
        <v>0</v>
      </c>
      <c r="T375" s="62">
        <v>4.07</v>
      </c>
    </row>
    <row r="376" spans="1:20" ht="11.1" customHeight="1" x14ac:dyDescent="0.25">
      <c r="O376" s="59" t="s">
        <v>436</v>
      </c>
      <c r="P376" s="62">
        <v>78.33</v>
      </c>
      <c r="Q376" s="63">
        <v>20</v>
      </c>
      <c r="R376" s="62">
        <v>4.07</v>
      </c>
      <c r="S376" s="61">
        <v>0</v>
      </c>
      <c r="T376" s="62">
        <v>0</v>
      </c>
    </row>
    <row r="377" spans="1:20" ht="11.1" customHeight="1" x14ac:dyDescent="0.25">
      <c r="A377" s="56">
        <v>109561</v>
      </c>
      <c r="B377" s="72">
        <v>46050</v>
      </c>
      <c r="C377" s="68">
        <v>46050</v>
      </c>
      <c r="D377" s="58" t="s">
        <v>859</v>
      </c>
      <c r="E377" s="59" t="s">
        <v>352</v>
      </c>
      <c r="F377" s="56">
        <v>36</v>
      </c>
      <c r="G377" s="73">
        <v>195</v>
      </c>
      <c r="H377" s="74" t="s">
        <v>435</v>
      </c>
      <c r="I377" s="59" t="s">
        <v>841</v>
      </c>
      <c r="J377" s="59" t="s">
        <v>842</v>
      </c>
      <c r="K377" s="69">
        <v>5102</v>
      </c>
      <c r="L377" s="56">
        <v>205</v>
      </c>
      <c r="M377" s="59" t="s">
        <v>26</v>
      </c>
      <c r="N377" s="61">
        <v>430.05</v>
      </c>
      <c r="O377" s="59" t="s">
        <v>313</v>
      </c>
      <c r="P377" s="62">
        <v>430.05</v>
      </c>
      <c r="Q377" s="63">
        <v>20</v>
      </c>
      <c r="R377" s="62">
        <v>86.01</v>
      </c>
      <c r="S377" s="61">
        <v>0</v>
      </c>
      <c r="T377" s="62">
        <v>0</v>
      </c>
    </row>
    <row r="378" spans="1:20" ht="11.1" customHeight="1" x14ac:dyDescent="0.25">
      <c r="A378" s="56">
        <v>109562</v>
      </c>
      <c r="B378" s="72">
        <v>46050</v>
      </c>
      <c r="C378" s="68">
        <v>46050</v>
      </c>
      <c r="D378" s="58" t="s">
        <v>859</v>
      </c>
      <c r="E378" s="59" t="s">
        <v>352</v>
      </c>
      <c r="F378" s="56">
        <v>36</v>
      </c>
      <c r="G378" s="73">
        <v>195</v>
      </c>
      <c r="H378" s="74" t="s">
        <v>435</v>
      </c>
      <c r="I378" s="59" t="s">
        <v>841</v>
      </c>
      <c r="J378" s="59" t="s">
        <v>842</v>
      </c>
      <c r="K378" s="69">
        <v>5403</v>
      </c>
      <c r="L378" s="56">
        <v>207</v>
      </c>
      <c r="M378" s="59" t="s">
        <v>26</v>
      </c>
      <c r="N378" s="61">
        <v>795.76</v>
      </c>
      <c r="O378" s="59" t="s">
        <v>313</v>
      </c>
      <c r="P378" s="62">
        <v>743.7</v>
      </c>
      <c r="Q378" s="63">
        <v>20</v>
      </c>
      <c r="R378" s="62">
        <v>148.74</v>
      </c>
      <c r="S378" s="61">
        <v>0</v>
      </c>
      <c r="T378" s="62">
        <v>52.06</v>
      </c>
    </row>
    <row r="379" spans="1:20" ht="11.1" customHeight="1" x14ac:dyDescent="0.25">
      <c r="O379" s="59" t="s">
        <v>436</v>
      </c>
      <c r="P379" s="62">
        <v>1004.01</v>
      </c>
      <c r="Q379" s="63">
        <v>20</v>
      </c>
      <c r="R379" s="62">
        <v>52.06</v>
      </c>
      <c r="S379" s="61">
        <v>0</v>
      </c>
      <c r="T379" s="62">
        <v>0</v>
      </c>
    </row>
    <row r="380" spans="1:20" ht="11.1" customHeight="1" x14ac:dyDescent="0.25">
      <c r="A380" s="56">
        <v>109602</v>
      </c>
      <c r="B380" s="72">
        <v>46051</v>
      </c>
      <c r="C380" s="68">
        <v>46051</v>
      </c>
      <c r="D380" s="58" t="s">
        <v>860</v>
      </c>
      <c r="E380" s="59" t="s">
        <v>352</v>
      </c>
      <c r="F380" s="56">
        <v>36</v>
      </c>
      <c r="G380" s="73">
        <v>195</v>
      </c>
      <c r="H380" s="74" t="s">
        <v>435</v>
      </c>
      <c r="I380" s="59" t="s">
        <v>841</v>
      </c>
      <c r="J380" s="59" t="s">
        <v>842</v>
      </c>
      <c r="K380" s="69">
        <v>5102</v>
      </c>
      <c r="L380" s="56">
        <v>205</v>
      </c>
      <c r="M380" s="59" t="s">
        <v>26</v>
      </c>
      <c r="N380" s="61">
        <v>1323.27</v>
      </c>
      <c r="O380" s="59" t="s">
        <v>313</v>
      </c>
      <c r="P380" s="62">
        <v>1323.27</v>
      </c>
      <c r="Q380" s="63">
        <v>20</v>
      </c>
      <c r="R380" s="62">
        <v>264.66000000000003</v>
      </c>
      <c r="S380" s="61">
        <v>0</v>
      </c>
      <c r="T380" s="62">
        <v>0</v>
      </c>
    </row>
    <row r="381" spans="1:20" ht="11.1" customHeight="1" x14ac:dyDescent="0.25">
      <c r="A381" s="56">
        <v>109603</v>
      </c>
      <c r="B381" s="72">
        <v>46051</v>
      </c>
      <c r="C381" s="68">
        <v>46051</v>
      </c>
      <c r="D381" s="58" t="s">
        <v>860</v>
      </c>
      <c r="E381" s="59" t="s">
        <v>352</v>
      </c>
      <c r="F381" s="56">
        <v>36</v>
      </c>
      <c r="G381" s="73">
        <v>195</v>
      </c>
      <c r="H381" s="74" t="s">
        <v>435</v>
      </c>
      <c r="I381" s="59" t="s">
        <v>841</v>
      </c>
      <c r="J381" s="59" t="s">
        <v>842</v>
      </c>
      <c r="K381" s="69">
        <v>5403</v>
      </c>
      <c r="L381" s="56">
        <v>207</v>
      </c>
      <c r="M381" s="59" t="s">
        <v>26</v>
      </c>
      <c r="N381" s="61">
        <v>1474.82</v>
      </c>
      <c r="O381" s="59" t="s">
        <v>313</v>
      </c>
      <c r="P381" s="62">
        <v>1378.34</v>
      </c>
      <c r="Q381" s="63">
        <v>20</v>
      </c>
      <c r="R381" s="62">
        <v>275.67</v>
      </c>
      <c r="S381" s="61">
        <v>0</v>
      </c>
      <c r="T381" s="62">
        <v>96.48</v>
      </c>
    </row>
    <row r="382" spans="1:20" ht="11.1" customHeight="1" x14ac:dyDescent="0.25">
      <c r="O382" s="59" t="s">
        <v>436</v>
      </c>
      <c r="P382" s="62">
        <v>1860.76</v>
      </c>
      <c r="Q382" s="63">
        <v>20</v>
      </c>
      <c r="R382" s="62">
        <v>96.48</v>
      </c>
      <c r="S382" s="61">
        <v>0</v>
      </c>
      <c r="T382" s="62">
        <v>0</v>
      </c>
    </row>
    <row r="383" spans="1:20" ht="11.1" customHeight="1" x14ac:dyDescent="0.25">
      <c r="A383" s="56">
        <v>109653</v>
      </c>
      <c r="B383" s="72">
        <v>46052</v>
      </c>
      <c r="C383" s="68">
        <v>46052</v>
      </c>
      <c r="D383" s="58" t="s">
        <v>861</v>
      </c>
      <c r="E383" s="59" t="s">
        <v>352</v>
      </c>
      <c r="F383" s="56">
        <v>36</v>
      </c>
      <c r="G383" s="73">
        <v>195</v>
      </c>
      <c r="H383" s="74" t="s">
        <v>435</v>
      </c>
      <c r="I383" s="59" t="s">
        <v>841</v>
      </c>
      <c r="J383" s="59" t="s">
        <v>842</v>
      </c>
      <c r="K383" s="69">
        <v>5403</v>
      </c>
      <c r="L383" s="56">
        <v>207</v>
      </c>
      <c r="M383" s="59" t="s">
        <v>26</v>
      </c>
      <c r="N383" s="61">
        <v>134.43</v>
      </c>
      <c r="O383" s="59" t="s">
        <v>313</v>
      </c>
      <c r="P383" s="62">
        <v>125.64</v>
      </c>
      <c r="Q383" s="63">
        <v>20</v>
      </c>
      <c r="R383" s="62">
        <v>25.13</v>
      </c>
      <c r="S383" s="61">
        <v>0</v>
      </c>
      <c r="T383" s="62">
        <v>8.7899999999999991</v>
      </c>
    </row>
    <row r="384" spans="1:20" ht="11.1" customHeight="1" x14ac:dyDescent="0.25">
      <c r="O384" s="59" t="s">
        <v>436</v>
      </c>
      <c r="P384" s="62">
        <v>169.61</v>
      </c>
      <c r="Q384" s="63">
        <v>20</v>
      </c>
      <c r="R384" s="62">
        <v>8.7899999999999991</v>
      </c>
      <c r="S384" s="61">
        <v>0</v>
      </c>
      <c r="T384" s="62">
        <v>0</v>
      </c>
    </row>
    <row r="385" spans="1:20" ht="11.85" customHeight="1" x14ac:dyDescent="0.25">
      <c r="A385" s="71" t="s">
        <v>620</v>
      </c>
      <c r="B385" s="71"/>
      <c r="C385" s="71"/>
      <c r="D385" s="71"/>
      <c r="E385" s="71"/>
      <c r="F385" s="71"/>
      <c r="G385" s="71"/>
      <c r="H385" s="71"/>
    </row>
    <row r="386" spans="1:20" ht="11.1" customHeight="1" x14ac:dyDescent="0.25">
      <c r="O386" s="59" t="s">
        <v>313</v>
      </c>
      <c r="P386" s="62">
        <v>27923.32</v>
      </c>
      <c r="R386" s="62">
        <v>5584.66</v>
      </c>
      <c r="S386" s="61">
        <v>0</v>
      </c>
      <c r="T386" s="62">
        <v>1067.3699999999999</v>
      </c>
    </row>
    <row r="387" spans="1:20" ht="11.1" customHeight="1" x14ac:dyDescent="0.25">
      <c r="O387" s="59" t="s">
        <v>436</v>
      </c>
      <c r="P387" s="62">
        <v>17466.650000000001</v>
      </c>
      <c r="R387" s="62">
        <v>905.67</v>
      </c>
      <c r="S387" s="61">
        <v>0</v>
      </c>
      <c r="T387" s="62">
        <v>0</v>
      </c>
    </row>
    <row r="388" spans="1:20" ht="11.1" customHeight="1" x14ac:dyDescent="0.25">
      <c r="A388" s="56">
        <v>108465</v>
      </c>
      <c r="B388" s="72">
        <v>46027</v>
      </c>
      <c r="C388" s="68">
        <v>46027</v>
      </c>
      <c r="D388" s="58" t="s">
        <v>862</v>
      </c>
      <c r="E388" s="59" t="s">
        <v>352</v>
      </c>
      <c r="F388" s="56">
        <v>36</v>
      </c>
      <c r="G388" s="73">
        <v>421</v>
      </c>
      <c r="H388" s="74" t="s">
        <v>863</v>
      </c>
      <c r="I388" s="59" t="s">
        <v>864</v>
      </c>
      <c r="J388" s="59" t="s">
        <v>865</v>
      </c>
      <c r="K388" s="69">
        <v>6403</v>
      </c>
      <c r="L388" s="56">
        <v>207</v>
      </c>
      <c r="M388" s="59" t="s">
        <v>31</v>
      </c>
      <c r="N388" s="61">
        <v>491.63</v>
      </c>
      <c r="O388" s="59" t="s">
        <v>313</v>
      </c>
      <c r="P388" s="62">
        <v>416.4</v>
      </c>
      <c r="Q388" s="63">
        <v>12</v>
      </c>
      <c r="R388" s="62">
        <v>49.97</v>
      </c>
      <c r="S388" s="61">
        <v>0</v>
      </c>
      <c r="T388" s="62">
        <v>75.23</v>
      </c>
    </row>
    <row r="389" spans="1:20" ht="11.1" customHeight="1" x14ac:dyDescent="0.25">
      <c r="O389" s="59" t="s">
        <v>436</v>
      </c>
      <c r="P389" s="62">
        <v>610.73</v>
      </c>
      <c r="Q389" s="63">
        <v>20.5</v>
      </c>
      <c r="R389" s="62">
        <v>75.23</v>
      </c>
      <c r="S389" s="61">
        <v>0</v>
      </c>
      <c r="T389" s="62">
        <v>0</v>
      </c>
    </row>
    <row r="390" spans="1:20" ht="11.1" customHeight="1" x14ac:dyDescent="0.25">
      <c r="A390" s="56">
        <v>108466</v>
      </c>
      <c r="B390" s="72">
        <v>46027</v>
      </c>
      <c r="C390" s="68">
        <v>46027</v>
      </c>
      <c r="D390" s="58" t="s">
        <v>862</v>
      </c>
      <c r="E390" s="59" t="s">
        <v>352</v>
      </c>
      <c r="F390" s="56">
        <v>36</v>
      </c>
      <c r="G390" s="73">
        <v>421</v>
      </c>
      <c r="H390" s="74" t="s">
        <v>863</v>
      </c>
      <c r="I390" s="59" t="s">
        <v>864</v>
      </c>
      <c r="J390" s="59" t="s">
        <v>865</v>
      </c>
      <c r="K390" s="69">
        <v>6102</v>
      </c>
      <c r="L390" s="56">
        <v>238</v>
      </c>
      <c r="M390" s="59" t="s">
        <v>31</v>
      </c>
      <c r="N390" s="61">
        <v>1378.78</v>
      </c>
      <c r="O390" s="59" t="s">
        <v>313</v>
      </c>
      <c r="P390" s="62">
        <v>1378.78</v>
      </c>
      <c r="Q390" s="63">
        <v>12</v>
      </c>
      <c r="R390" s="62">
        <v>165.45</v>
      </c>
      <c r="S390" s="61">
        <v>0</v>
      </c>
      <c r="T390" s="62">
        <v>0</v>
      </c>
    </row>
    <row r="391" spans="1:20" ht="11.1" customHeight="1" x14ac:dyDescent="0.25">
      <c r="A391" s="56">
        <v>109077</v>
      </c>
      <c r="B391" s="72">
        <v>46041</v>
      </c>
      <c r="C391" s="68">
        <v>46041</v>
      </c>
      <c r="D391" s="58" t="s">
        <v>866</v>
      </c>
      <c r="E391" s="59" t="s">
        <v>352</v>
      </c>
      <c r="F391" s="56">
        <v>36</v>
      </c>
      <c r="G391" s="73">
        <v>421</v>
      </c>
      <c r="H391" s="74" t="s">
        <v>863</v>
      </c>
      <c r="I391" s="59" t="s">
        <v>864</v>
      </c>
      <c r="J391" s="59" t="s">
        <v>865</v>
      </c>
      <c r="K391" s="69">
        <v>6403</v>
      </c>
      <c r="L391" s="56">
        <v>207</v>
      </c>
      <c r="M391" s="59" t="s">
        <v>31</v>
      </c>
      <c r="N391" s="61">
        <v>499.57</v>
      </c>
      <c r="O391" s="59" t="s">
        <v>313</v>
      </c>
      <c r="P391" s="62">
        <v>423.12</v>
      </c>
      <c r="Q391" s="63">
        <v>12</v>
      </c>
      <c r="R391" s="62">
        <v>50.77</v>
      </c>
      <c r="S391" s="61">
        <v>0</v>
      </c>
      <c r="T391" s="62">
        <v>76.45</v>
      </c>
    </row>
    <row r="392" spans="1:20" ht="11.1" customHeight="1" x14ac:dyDescent="0.25">
      <c r="O392" s="59" t="s">
        <v>436</v>
      </c>
      <c r="P392" s="62">
        <v>620.59</v>
      </c>
      <c r="Q392" s="63">
        <v>20.5</v>
      </c>
      <c r="R392" s="62">
        <v>76.45</v>
      </c>
      <c r="S392" s="61">
        <v>0</v>
      </c>
      <c r="T392" s="62">
        <v>0</v>
      </c>
    </row>
    <row r="393" spans="1:20" ht="11.1" customHeight="1" x14ac:dyDescent="0.25">
      <c r="A393" s="56">
        <v>109078</v>
      </c>
      <c r="B393" s="72">
        <v>46041</v>
      </c>
      <c r="C393" s="68">
        <v>46041</v>
      </c>
      <c r="D393" s="58" t="s">
        <v>866</v>
      </c>
      <c r="E393" s="59" t="s">
        <v>352</v>
      </c>
      <c r="F393" s="56">
        <v>36</v>
      </c>
      <c r="G393" s="73">
        <v>421</v>
      </c>
      <c r="H393" s="74" t="s">
        <v>863</v>
      </c>
      <c r="I393" s="59" t="s">
        <v>864</v>
      </c>
      <c r="J393" s="59" t="s">
        <v>865</v>
      </c>
      <c r="K393" s="69">
        <v>6102</v>
      </c>
      <c r="L393" s="56">
        <v>238</v>
      </c>
      <c r="M393" s="59" t="s">
        <v>31</v>
      </c>
      <c r="N393" s="61">
        <v>3441.7</v>
      </c>
      <c r="O393" s="59" t="s">
        <v>313</v>
      </c>
      <c r="P393" s="62">
        <v>3441.7</v>
      </c>
      <c r="Q393" s="63">
        <v>12</v>
      </c>
      <c r="R393" s="62">
        <v>413</v>
      </c>
      <c r="S393" s="61">
        <v>0</v>
      </c>
      <c r="T393" s="62">
        <v>0</v>
      </c>
    </row>
    <row r="394" spans="1:20" ht="11.85" customHeight="1" x14ac:dyDescent="0.25">
      <c r="A394" s="71" t="s">
        <v>620</v>
      </c>
      <c r="B394" s="71"/>
      <c r="C394" s="71"/>
      <c r="D394" s="71"/>
      <c r="E394" s="71"/>
      <c r="F394" s="71"/>
      <c r="G394" s="71"/>
      <c r="H394" s="71"/>
    </row>
    <row r="395" spans="1:20" ht="11.1" customHeight="1" x14ac:dyDescent="0.25">
      <c r="O395" s="59" t="s">
        <v>313</v>
      </c>
      <c r="P395" s="62">
        <v>5660</v>
      </c>
      <c r="R395" s="62">
        <v>679.19</v>
      </c>
      <c r="S395" s="61">
        <v>0</v>
      </c>
      <c r="T395" s="62">
        <v>151.68</v>
      </c>
    </row>
    <row r="396" spans="1:20" ht="11.1" customHeight="1" x14ac:dyDescent="0.25">
      <c r="O396" s="59" t="s">
        <v>436</v>
      </c>
      <c r="P396" s="62">
        <v>1231.32</v>
      </c>
      <c r="R396" s="62">
        <v>151.68</v>
      </c>
      <c r="S396" s="61">
        <v>0</v>
      </c>
      <c r="T396" s="62">
        <v>0</v>
      </c>
    </row>
    <row r="397" spans="1:20" ht="11.1" customHeight="1" x14ac:dyDescent="0.25">
      <c r="A397" s="56">
        <v>108441</v>
      </c>
      <c r="B397" s="72">
        <v>46027</v>
      </c>
      <c r="C397" s="68">
        <v>46027</v>
      </c>
      <c r="D397" s="58" t="s">
        <v>867</v>
      </c>
      <c r="E397" s="59" t="s">
        <v>352</v>
      </c>
      <c r="F397" s="56">
        <v>36</v>
      </c>
      <c r="G397" s="73">
        <v>551</v>
      </c>
      <c r="H397" s="74" t="s">
        <v>868</v>
      </c>
      <c r="I397" s="59" t="s">
        <v>869</v>
      </c>
      <c r="J397" s="59" t="s">
        <v>870</v>
      </c>
      <c r="K397" s="69">
        <v>5403</v>
      </c>
      <c r="L397" s="56">
        <v>207</v>
      </c>
      <c r="M397" s="59" t="s">
        <v>26</v>
      </c>
      <c r="N397" s="61">
        <v>2965.85</v>
      </c>
      <c r="O397" s="59" t="s">
        <v>313</v>
      </c>
      <c r="P397" s="62">
        <v>2771.82</v>
      </c>
      <c r="Q397" s="63">
        <v>20</v>
      </c>
      <c r="R397" s="62">
        <v>554.36</v>
      </c>
      <c r="S397" s="61">
        <v>0</v>
      </c>
      <c r="T397" s="62">
        <v>194.03</v>
      </c>
    </row>
    <row r="398" spans="1:20" ht="11.1" customHeight="1" x14ac:dyDescent="0.25">
      <c r="O398" s="59" t="s">
        <v>436</v>
      </c>
      <c r="P398" s="62">
        <v>3741.96</v>
      </c>
      <c r="Q398" s="63">
        <v>20</v>
      </c>
      <c r="R398" s="62">
        <v>194.03</v>
      </c>
      <c r="S398" s="61">
        <v>0</v>
      </c>
      <c r="T398" s="62">
        <v>0</v>
      </c>
    </row>
    <row r="399" spans="1:20" ht="11.1" customHeight="1" x14ac:dyDescent="0.25">
      <c r="A399" s="56">
        <v>108482</v>
      </c>
      <c r="B399" s="72">
        <v>46028</v>
      </c>
      <c r="C399" s="68">
        <v>46028</v>
      </c>
      <c r="D399" s="58" t="s">
        <v>871</v>
      </c>
      <c r="E399" s="59" t="s">
        <v>352</v>
      </c>
      <c r="F399" s="56">
        <v>36</v>
      </c>
      <c r="G399" s="73">
        <v>551</v>
      </c>
      <c r="H399" s="74" t="s">
        <v>868</v>
      </c>
      <c r="I399" s="59" t="s">
        <v>869</v>
      </c>
      <c r="J399" s="59" t="s">
        <v>870</v>
      </c>
      <c r="K399" s="69">
        <v>5102</v>
      </c>
      <c r="L399" s="56">
        <v>205</v>
      </c>
      <c r="M399" s="59" t="s">
        <v>26</v>
      </c>
      <c r="N399" s="61">
        <v>1171.5999999999999</v>
      </c>
      <c r="O399" s="59" t="s">
        <v>313</v>
      </c>
      <c r="P399" s="62">
        <v>1171.5999999999999</v>
      </c>
      <c r="Q399" s="63">
        <v>20</v>
      </c>
      <c r="R399" s="62">
        <v>234.32</v>
      </c>
      <c r="S399" s="61">
        <v>0</v>
      </c>
      <c r="T399" s="62">
        <v>0</v>
      </c>
    </row>
    <row r="400" spans="1:20" ht="11.1" customHeight="1" x14ac:dyDescent="0.25">
      <c r="A400" s="56">
        <v>108919</v>
      </c>
      <c r="B400" s="72">
        <v>46036</v>
      </c>
      <c r="C400" s="68">
        <v>46036</v>
      </c>
      <c r="D400" s="58" t="s">
        <v>872</v>
      </c>
      <c r="E400" s="59" t="s">
        <v>352</v>
      </c>
      <c r="F400" s="56">
        <v>36</v>
      </c>
      <c r="G400" s="73">
        <v>551</v>
      </c>
      <c r="H400" s="74" t="s">
        <v>868</v>
      </c>
      <c r="I400" s="59" t="s">
        <v>869</v>
      </c>
      <c r="J400" s="59" t="s">
        <v>870</v>
      </c>
      <c r="K400" s="69">
        <v>5102</v>
      </c>
      <c r="L400" s="56">
        <v>205</v>
      </c>
      <c r="M400" s="59" t="s">
        <v>26</v>
      </c>
      <c r="N400" s="61">
        <v>799.28</v>
      </c>
      <c r="O400" s="59" t="s">
        <v>313</v>
      </c>
      <c r="P400" s="62">
        <v>799.28</v>
      </c>
      <c r="Q400" s="63">
        <v>20</v>
      </c>
      <c r="R400" s="62">
        <v>159.85</v>
      </c>
      <c r="S400" s="61">
        <v>0</v>
      </c>
      <c r="T400" s="62">
        <v>0</v>
      </c>
    </row>
    <row r="401" spans="1:20" ht="11.1" customHeight="1" x14ac:dyDescent="0.25">
      <c r="A401" s="56">
        <v>108920</v>
      </c>
      <c r="B401" s="72">
        <v>46036</v>
      </c>
      <c r="C401" s="68">
        <v>46036</v>
      </c>
      <c r="D401" s="58" t="s">
        <v>872</v>
      </c>
      <c r="E401" s="59" t="s">
        <v>352</v>
      </c>
      <c r="F401" s="56">
        <v>36</v>
      </c>
      <c r="G401" s="73">
        <v>551</v>
      </c>
      <c r="H401" s="74" t="s">
        <v>868</v>
      </c>
      <c r="I401" s="59" t="s">
        <v>869</v>
      </c>
      <c r="J401" s="59" t="s">
        <v>870</v>
      </c>
      <c r="K401" s="69">
        <v>5403</v>
      </c>
      <c r="L401" s="56">
        <v>207</v>
      </c>
      <c r="M401" s="59" t="s">
        <v>26</v>
      </c>
      <c r="N401" s="61">
        <v>659.08</v>
      </c>
      <c r="O401" s="59" t="s">
        <v>313</v>
      </c>
      <c r="P401" s="62">
        <v>615.96</v>
      </c>
      <c r="Q401" s="63">
        <v>20</v>
      </c>
      <c r="R401" s="62">
        <v>123.19</v>
      </c>
      <c r="S401" s="61">
        <v>0</v>
      </c>
      <c r="T401" s="62">
        <v>43.12</v>
      </c>
    </row>
    <row r="402" spans="1:20" ht="11.1" customHeight="1" x14ac:dyDescent="0.25">
      <c r="O402" s="59" t="s">
        <v>436</v>
      </c>
      <c r="P402" s="62">
        <v>831.55</v>
      </c>
      <c r="Q402" s="63">
        <v>20</v>
      </c>
      <c r="R402" s="62">
        <v>43.12</v>
      </c>
      <c r="S402" s="61">
        <v>0</v>
      </c>
      <c r="T402" s="62">
        <v>0</v>
      </c>
    </row>
    <row r="403" spans="1:20" ht="11.1" customHeight="1" x14ac:dyDescent="0.25">
      <c r="A403" s="56">
        <v>108995</v>
      </c>
      <c r="B403" s="72">
        <v>46037</v>
      </c>
      <c r="C403" s="68">
        <v>46037</v>
      </c>
      <c r="D403" s="58" t="s">
        <v>873</v>
      </c>
      <c r="E403" s="59" t="s">
        <v>352</v>
      </c>
      <c r="F403" s="56">
        <v>36</v>
      </c>
      <c r="G403" s="73">
        <v>551</v>
      </c>
      <c r="H403" s="74" t="s">
        <v>868</v>
      </c>
      <c r="I403" s="59" t="s">
        <v>869</v>
      </c>
      <c r="J403" s="59" t="s">
        <v>870</v>
      </c>
      <c r="K403" s="69">
        <v>5102</v>
      </c>
      <c r="L403" s="56">
        <v>205</v>
      </c>
      <c r="M403" s="59" t="s">
        <v>26</v>
      </c>
      <c r="N403" s="61">
        <v>824.04</v>
      </c>
      <c r="O403" s="59" t="s">
        <v>313</v>
      </c>
      <c r="P403" s="62">
        <v>824.04</v>
      </c>
      <c r="Q403" s="63">
        <v>20</v>
      </c>
      <c r="R403" s="62">
        <v>164.81</v>
      </c>
      <c r="S403" s="61">
        <v>0</v>
      </c>
      <c r="T403" s="62">
        <v>0</v>
      </c>
    </row>
    <row r="404" spans="1:20" ht="11.1" customHeight="1" x14ac:dyDescent="0.25">
      <c r="A404" s="56">
        <v>109130</v>
      </c>
      <c r="B404" s="72">
        <v>46041</v>
      </c>
      <c r="C404" s="68">
        <v>46041</v>
      </c>
      <c r="D404" s="58" t="s">
        <v>874</v>
      </c>
      <c r="E404" s="59" t="s">
        <v>352</v>
      </c>
      <c r="F404" s="56">
        <v>36</v>
      </c>
      <c r="G404" s="73">
        <v>551</v>
      </c>
      <c r="H404" s="74" t="s">
        <v>868</v>
      </c>
      <c r="I404" s="59" t="s">
        <v>869</v>
      </c>
      <c r="J404" s="59" t="s">
        <v>870</v>
      </c>
      <c r="K404" s="69">
        <v>5102</v>
      </c>
      <c r="L404" s="56">
        <v>205</v>
      </c>
      <c r="M404" s="59" t="s">
        <v>26</v>
      </c>
      <c r="N404" s="61">
        <v>1149.3599999999999</v>
      </c>
      <c r="O404" s="59" t="s">
        <v>313</v>
      </c>
      <c r="P404" s="62">
        <v>1149.3599999999999</v>
      </c>
      <c r="Q404" s="63">
        <v>20</v>
      </c>
      <c r="R404" s="62">
        <v>229.87</v>
      </c>
      <c r="S404" s="61">
        <v>0</v>
      </c>
      <c r="T404" s="62">
        <v>0</v>
      </c>
    </row>
    <row r="405" spans="1:20" ht="11.1" customHeight="1" x14ac:dyDescent="0.25">
      <c r="A405" s="56">
        <v>109131</v>
      </c>
      <c r="B405" s="72">
        <v>46041</v>
      </c>
      <c r="C405" s="68">
        <v>46041</v>
      </c>
      <c r="D405" s="58" t="s">
        <v>874</v>
      </c>
      <c r="E405" s="59" t="s">
        <v>352</v>
      </c>
      <c r="F405" s="56">
        <v>36</v>
      </c>
      <c r="G405" s="73">
        <v>551</v>
      </c>
      <c r="H405" s="74" t="s">
        <v>868</v>
      </c>
      <c r="I405" s="59" t="s">
        <v>869</v>
      </c>
      <c r="J405" s="59" t="s">
        <v>870</v>
      </c>
      <c r="K405" s="69">
        <v>5403</v>
      </c>
      <c r="L405" s="56">
        <v>207</v>
      </c>
      <c r="M405" s="59" t="s">
        <v>26</v>
      </c>
      <c r="N405" s="61">
        <v>393.08</v>
      </c>
      <c r="O405" s="59" t="s">
        <v>313</v>
      </c>
      <c r="P405" s="62">
        <v>367.36</v>
      </c>
      <c r="Q405" s="63">
        <v>20</v>
      </c>
      <c r="R405" s="62">
        <v>73.47</v>
      </c>
      <c r="S405" s="61">
        <v>0</v>
      </c>
      <c r="T405" s="62">
        <v>25.72</v>
      </c>
    </row>
    <row r="406" spans="1:20" ht="11.1" customHeight="1" x14ac:dyDescent="0.25">
      <c r="O406" s="59" t="s">
        <v>436</v>
      </c>
      <c r="P406" s="62">
        <v>495.94</v>
      </c>
      <c r="Q406" s="63">
        <v>20</v>
      </c>
      <c r="R406" s="62">
        <v>25.72</v>
      </c>
      <c r="S406" s="61">
        <v>0</v>
      </c>
      <c r="T406" s="62">
        <v>0</v>
      </c>
    </row>
    <row r="407" spans="1:20" ht="11.1" customHeight="1" x14ac:dyDescent="0.25">
      <c r="A407" s="56">
        <v>109205</v>
      </c>
      <c r="B407" s="72">
        <v>46043</v>
      </c>
      <c r="C407" s="68">
        <v>46043</v>
      </c>
      <c r="D407" s="58" t="s">
        <v>875</v>
      </c>
      <c r="E407" s="59" t="s">
        <v>352</v>
      </c>
      <c r="F407" s="56">
        <v>36</v>
      </c>
      <c r="G407" s="73">
        <v>551</v>
      </c>
      <c r="H407" s="74" t="s">
        <v>868</v>
      </c>
      <c r="I407" s="59" t="s">
        <v>869</v>
      </c>
      <c r="J407" s="59" t="s">
        <v>870</v>
      </c>
      <c r="K407" s="69">
        <v>5102</v>
      </c>
      <c r="L407" s="56">
        <v>205</v>
      </c>
      <c r="M407" s="59" t="s">
        <v>26</v>
      </c>
      <c r="N407" s="61">
        <v>1149.3599999999999</v>
      </c>
      <c r="O407" s="59" t="s">
        <v>313</v>
      </c>
      <c r="P407" s="62">
        <v>1149.3599999999999</v>
      </c>
      <c r="Q407" s="63">
        <v>20</v>
      </c>
      <c r="R407" s="62">
        <v>229.87</v>
      </c>
      <c r="S407" s="61">
        <v>0</v>
      </c>
      <c r="T407" s="62">
        <v>0</v>
      </c>
    </row>
    <row r="408" spans="1:20" ht="11.1" customHeight="1" x14ac:dyDescent="0.25">
      <c r="A408" s="56">
        <v>109206</v>
      </c>
      <c r="B408" s="72">
        <v>46043</v>
      </c>
      <c r="C408" s="68">
        <v>46043</v>
      </c>
      <c r="D408" s="58" t="s">
        <v>875</v>
      </c>
      <c r="E408" s="59" t="s">
        <v>352</v>
      </c>
      <c r="F408" s="56">
        <v>36</v>
      </c>
      <c r="G408" s="73">
        <v>551</v>
      </c>
      <c r="H408" s="74" t="s">
        <v>868</v>
      </c>
      <c r="I408" s="59" t="s">
        <v>869</v>
      </c>
      <c r="J408" s="59" t="s">
        <v>870</v>
      </c>
      <c r="K408" s="69">
        <v>5403</v>
      </c>
      <c r="L408" s="56">
        <v>207</v>
      </c>
      <c r="M408" s="59" t="s">
        <v>26</v>
      </c>
      <c r="N408" s="61">
        <v>393.08</v>
      </c>
      <c r="O408" s="59" t="s">
        <v>313</v>
      </c>
      <c r="P408" s="62">
        <v>367.36</v>
      </c>
      <c r="Q408" s="63">
        <v>20</v>
      </c>
      <c r="R408" s="62">
        <v>73.47</v>
      </c>
      <c r="S408" s="61">
        <v>0</v>
      </c>
      <c r="T408" s="62">
        <v>25.72</v>
      </c>
    </row>
    <row r="409" spans="1:20" ht="11.1" customHeight="1" x14ac:dyDescent="0.25">
      <c r="O409" s="59" t="s">
        <v>436</v>
      </c>
      <c r="P409" s="62">
        <v>495.94</v>
      </c>
      <c r="Q409" s="63">
        <v>20</v>
      </c>
      <c r="R409" s="62">
        <v>25.72</v>
      </c>
      <c r="S409" s="61">
        <v>0</v>
      </c>
      <c r="T409" s="62">
        <v>0</v>
      </c>
    </row>
    <row r="410" spans="1:20" ht="11.1" customHeight="1" x14ac:dyDescent="0.25">
      <c r="A410" s="56">
        <v>109318</v>
      </c>
      <c r="B410" s="72">
        <v>46044</v>
      </c>
      <c r="C410" s="68">
        <v>46044</v>
      </c>
      <c r="D410" s="58" t="s">
        <v>876</v>
      </c>
      <c r="E410" s="59" t="s">
        <v>352</v>
      </c>
      <c r="F410" s="56">
        <v>36</v>
      </c>
      <c r="G410" s="73">
        <v>551</v>
      </c>
      <c r="H410" s="74" t="s">
        <v>868</v>
      </c>
      <c r="I410" s="59" t="s">
        <v>869</v>
      </c>
      <c r="J410" s="59" t="s">
        <v>870</v>
      </c>
      <c r="K410" s="69">
        <v>5403</v>
      </c>
      <c r="L410" s="56">
        <v>207</v>
      </c>
      <c r="M410" s="59" t="s">
        <v>26</v>
      </c>
      <c r="N410" s="61">
        <v>982.84</v>
      </c>
      <c r="O410" s="59" t="s">
        <v>313</v>
      </c>
      <c r="P410" s="62">
        <v>918.54</v>
      </c>
      <c r="Q410" s="63">
        <v>20</v>
      </c>
      <c r="R410" s="62">
        <v>183.71</v>
      </c>
      <c r="S410" s="61">
        <v>0</v>
      </c>
      <c r="T410" s="62">
        <v>64.3</v>
      </c>
    </row>
    <row r="411" spans="1:20" ht="11.1" customHeight="1" x14ac:dyDescent="0.25">
      <c r="O411" s="59" t="s">
        <v>436</v>
      </c>
      <c r="P411" s="62">
        <v>1240.03</v>
      </c>
      <c r="Q411" s="63">
        <v>20</v>
      </c>
      <c r="R411" s="62">
        <v>64.3</v>
      </c>
      <c r="S411" s="61">
        <v>0</v>
      </c>
      <c r="T411" s="62">
        <v>0</v>
      </c>
    </row>
    <row r="412" spans="1:20" ht="11.85" customHeight="1" x14ac:dyDescent="0.25">
      <c r="A412" s="71" t="s">
        <v>620</v>
      </c>
      <c r="B412" s="71"/>
      <c r="C412" s="71"/>
      <c r="D412" s="71"/>
      <c r="E412" s="71"/>
      <c r="F412" s="71"/>
      <c r="G412" s="71"/>
      <c r="H412" s="71"/>
    </row>
    <row r="413" spans="1:20" ht="11.1" customHeight="1" x14ac:dyDescent="0.25">
      <c r="O413" s="59" t="s">
        <v>313</v>
      </c>
      <c r="P413" s="62">
        <v>10134.68</v>
      </c>
      <c r="R413" s="62">
        <v>2026.92</v>
      </c>
      <c r="S413" s="61">
        <v>0</v>
      </c>
      <c r="T413" s="62">
        <v>352.89</v>
      </c>
    </row>
    <row r="414" spans="1:20" ht="11.1" customHeight="1" x14ac:dyDescent="0.25">
      <c r="O414" s="59" t="s">
        <v>436</v>
      </c>
      <c r="P414" s="62">
        <v>6805.42</v>
      </c>
      <c r="R414" s="62">
        <v>352.89</v>
      </c>
      <c r="S414" s="61">
        <v>0</v>
      </c>
      <c r="T414" s="62">
        <v>0</v>
      </c>
    </row>
    <row r="415" spans="1:20" ht="11.1" customHeight="1" x14ac:dyDescent="0.25">
      <c r="A415" s="56">
        <v>109081</v>
      </c>
      <c r="B415" s="72">
        <v>46041</v>
      </c>
      <c r="C415" s="68">
        <v>46041</v>
      </c>
      <c r="D415" s="58" t="s">
        <v>877</v>
      </c>
      <c r="E415" s="59" t="s">
        <v>352</v>
      </c>
      <c r="F415" s="56">
        <v>36</v>
      </c>
      <c r="G415" s="73">
        <v>227</v>
      </c>
      <c r="H415" s="74" t="s">
        <v>446</v>
      </c>
      <c r="I415" s="59" t="s">
        <v>878</v>
      </c>
      <c r="J415" s="59" t="s">
        <v>879</v>
      </c>
      <c r="K415" s="69">
        <v>5102</v>
      </c>
      <c r="L415" s="56">
        <v>205</v>
      </c>
      <c r="M415" s="59" t="s">
        <v>26</v>
      </c>
      <c r="N415" s="61">
        <v>868.14</v>
      </c>
      <c r="O415" s="59" t="s">
        <v>313</v>
      </c>
      <c r="P415" s="62">
        <v>868.14</v>
      </c>
      <c r="Q415" s="63">
        <v>20</v>
      </c>
      <c r="R415" s="62">
        <v>173.63</v>
      </c>
      <c r="S415" s="61">
        <v>0</v>
      </c>
      <c r="T415" s="62">
        <v>0</v>
      </c>
    </row>
    <row r="416" spans="1:20" ht="11.1" customHeight="1" x14ac:dyDescent="0.25">
      <c r="A416" s="56">
        <v>109082</v>
      </c>
      <c r="B416" s="72">
        <v>46041</v>
      </c>
      <c r="C416" s="68">
        <v>46041</v>
      </c>
      <c r="D416" s="58" t="s">
        <v>877</v>
      </c>
      <c r="E416" s="59" t="s">
        <v>352</v>
      </c>
      <c r="F416" s="56">
        <v>36</v>
      </c>
      <c r="G416" s="73">
        <v>227</v>
      </c>
      <c r="H416" s="74" t="s">
        <v>446</v>
      </c>
      <c r="I416" s="59" t="s">
        <v>878</v>
      </c>
      <c r="J416" s="59" t="s">
        <v>879</v>
      </c>
      <c r="K416" s="69">
        <v>5403</v>
      </c>
      <c r="L416" s="56">
        <v>207</v>
      </c>
      <c r="M416" s="59" t="s">
        <v>26</v>
      </c>
      <c r="N416" s="61">
        <v>256.72000000000003</v>
      </c>
      <c r="O416" s="59" t="s">
        <v>313</v>
      </c>
      <c r="P416" s="62">
        <v>239.92</v>
      </c>
      <c r="Q416" s="63">
        <v>20</v>
      </c>
      <c r="R416" s="62">
        <v>47.98</v>
      </c>
      <c r="S416" s="61">
        <v>0</v>
      </c>
      <c r="T416" s="62">
        <v>16.8</v>
      </c>
    </row>
    <row r="417" spans="1:20" ht="11.1" customHeight="1" x14ac:dyDescent="0.25">
      <c r="O417" s="59" t="s">
        <v>436</v>
      </c>
      <c r="P417" s="62">
        <v>323.89</v>
      </c>
      <c r="Q417" s="63">
        <v>20</v>
      </c>
      <c r="R417" s="62">
        <v>16.8</v>
      </c>
      <c r="S417" s="61">
        <v>0</v>
      </c>
      <c r="T417" s="62">
        <v>0</v>
      </c>
    </row>
    <row r="418" spans="1:20" ht="11.85" customHeight="1" x14ac:dyDescent="0.25">
      <c r="A418" s="71" t="s">
        <v>620</v>
      </c>
      <c r="B418" s="71"/>
      <c r="C418" s="71"/>
      <c r="D418" s="71"/>
      <c r="E418" s="71"/>
      <c r="F418" s="71"/>
      <c r="G418" s="71"/>
      <c r="H418" s="71"/>
    </row>
    <row r="419" spans="1:20" ht="11.1" customHeight="1" x14ac:dyDescent="0.25">
      <c r="O419" s="59" t="s">
        <v>313</v>
      </c>
      <c r="P419" s="62">
        <v>1108.06</v>
      </c>
      <c r="R419" s="62">
        <v>221.61</v>
      </c>
      <c r="S419" s="61">
        <v>0</v>
      </c>
      <c r="T419" s="62">
        <v>16.8</v>
      </c>
    </row>
    <row r="420" spans="1:20" ht="11.1" customHeight="1" x14ac:dyDescent="0.25">
      <c r="O420" s="59" t="s">
        <v>436</v>
      </c>
      <c r="P420" s="62">
        <v>323.89</v>
      </c>
      <c r="R420" s="62">
        <v>16.8</v>
      </c>
      <c r="S420" s="61">
        <v>0</v>
      </c>
      <c r="T420" s="62">
        <v>0</v>
      </c>
    </row>
    <row r="421" spans="1:20" ht="11.1" customHeight="1" x14ac:dyDescent="0.25">
      <c r="A421" s="56">
        <v>109315</v>
      </c>
      <c r="B421" s="72">
        <v>46044</v>
      </c>
      <c r="C421" s="68">
        <v>46044</v>
      </c>
      <c r="D421" s="58" t="s">
        <v>880</v>
      </c>
      <c r="E421" s="59" t="s">
        <v>352</v>
      </c>
      <c r="F421" s="56">
        <v>36</v>
      </c>
      <c r="G421" s="73">
        <v>585</v>
      </c>
      <c r="H421" s="74" t="s">
        <v>881</v>
      </c>
      <c r="I421" s="59" t="s">
        <v>882</v>
      </c>
      <c r="J421" s="59" t="s">
        <v>883</v>
      </c>
      <c r="K421" s="69">
        <v>5102</v>
      </c>
      <c r="L421" s="56">
        <v>205</v>
      </c>
      <c r="M421" s="59" t="s">
        <v>26</v>
      </c>
      <c r="N421" s="61">
        <v>683.96</v>
      </c>
      <c r="O421" s="59" t="s">
        <v>313</v>
      </c>
      <c r="P421" s="62">
        <v>683.96</v>
      </c>
      <c r="Q421" s="63">
        <v>20</v>
      </c>
      <c r="R421" s="62">
        <v>136.80000000000001</v>
      </c>
      <c r="S421" s="61">
        <v>0</v>
      </c>
      <c r="T421" s="62">
        <v>0</v>
      </c>
    </row>
    <row r="422" spans="1:20" ht="11.85" customHeight="1" x14ac:dyDescent="0.25">
      <c r="A422" s="71" t="s">
        <v>620</v>
      </c>
      <c r="B422" s="71"/>
      <c r="C422" s="71"/>
      <c r="D422" s="71"/>
      <c r="E422" s="71"/>
      <c r="F422" s="71"/>
      <c r="G422" s="71"/>
      <c r="H422" s="71"/>
    </row>
    <row r="423" spans="1:20" ht="11.1" customHeight="1" x14ac:dyDescent="0.25">
      <c r="O423" s="59" t="s">
        <v>313</v>
      </c>
      <c r="P423" s="62">
        <v>683.96</v>
      </c>
      <c r="R423" s="62">
        <v>136.80000000000001</v>
      </c>
      <c r="S423" s="61">
        <v>0</v>
      </c>
      <c r="T423" s="62">
        <v>0</v>
      </c>
    </row>
    <row r="424" spans="1:20" ht="11.1" customHeight="1" x14ac:dyDescent="0.25">
      <c r="A424" s="56">
        <v>109179</v>
      </c>
      <c r="B424" s="72">
        <v>46042</v>
      </c>
      <c r="C424" s="68">
        <v>46042</v>
      </c>
      <c r="D424" s="58" t="s">
        <v>884</v>
      </c>
      <c r="E424" s="59" t="s">
        <v>352</v>
      </c>
      <c r="F424" s="56">
        <v>36</v>
      </c>
      <c r="G424" s="73">
        <v>57</v>
      </c>
      <c r="H424" s="74" t="s">
        <v>885</v>
      </c>
      <c r="I424" s="59" t="s">
        <v>886</v>
      </c>
      <c r="J424" s="59" t="s">
        <v>887</v>
      </c>
      <c r="K424" s="69">
        <v>5102</v>
      </c>
      <c r="L424" s="56">
        <v>205</v>
      </c>
      <c r="M424" s="59" t="s">
        <v>26</v>
      </c>
      <c r="N424" s="61">
        <v>700.85</v>
      </c>
      <c r="O424" s="59" t="s">
        <v>313</v>
      </c>
      <c r="P424" s="62">
        <v>700.85</v>
      </c>
      <c r="Q424" s="63">
        <v>20</v>
      </c>
      <c r="R424" s="62">
        <v>140.16999999999999</v>
      </c>
      <c r="S424" s="61">
        <v>0</v>
      </c>
      <c r="T424" s="62">
        <v>0</v>
      </c>
    </row>
    <row r="425" spans="1:20" ht="11.85" customHeight="1" x14ac:dyDescent="0.25">
      <c r="A425" s="71" t="s">
        <v>620</v>
      </c>
      <c r="B425" s="71"/>
      <c r="C425" s="71"/>
      <c r="D425" s="71"/>
      <c r="E425" s="71"/>
      <c r="F425" s="71"/>
      <c r="G425" s="71"/>
      <c r="H425" s="71"/>
    </row>
    <row r="426" spans="1:20" ht="11.1" customHeight="1" x14ac:dyDescent="0.25">
      <c r="O426" s="59" t="s">
        <v>313</v>
      </c>
      <c r="P426" s="62">
        <v>700.85</v>
      </c>
      <c r="R426" s="62">
        <v>140.16999999999999</v>
      </c>
      <c r="S426" s="61">
        <v>0</v>
      </c>
      <c r="T426" s="62">
        <v>0</v>
      </c>
    </row>
    <row r="427" spans="1:20" ht="11.1" customHeight="1" x14ac:dyDescent="0.25">
      <c r="A427" s="56">
        <v>108508</v>
      </c>
      <c r="B427" s="72">
        <v>46028</v>
      </c>
      <c r="C427" s="68">
        <v>46028</v>
      </c>
      <c r="D427" s="58" t="s">
        <v>888</v>
      </c>
      <c r="E427" s="59" t="s">
        <v>352</v>
      </c>
      <c r="F427" s="56">
        <v>36</v>
      </c>
      <c r="G427" s="73">
        <v>860</v>
      </c>
      <c r="H427" s="74" t="s">
        <v>889</v>
      </c>
      <c r="I427" s="59" t="s">
        <v>890</v>
      </c>
      <c r="J427" s="59" t="s">
        <v>891</v>
      </c>
      <c r="K427" s="69">
        <v>5403</v>
      </c>
      <c r="L427" s="56">
        <v>207</v>
      </c>
      <c r="M427" s="59" t="s">
        <v>26</v>
      </c>
      <c r="N427" s="61">
        <v>138.63</v>
      </c>
      <c r="O427" s="59" t="s">
        <v>313</v>
      </c>
      <c r="P427" s="62">
        <v>138.63</v>
      </c>
      <c r="Q427" s="63">
        <v>20</v>
      </c>
      <c r="R427" s="62">
        <v>27.72</v>
      </c>
      <c r="S427" s="61">
        <v>0</v>
      </c>
      <c r="T427" s="62">
        <v>0</v>
      </c>
    </row>
    <row r="428" spans="1:20" ht="11.1" customHeight="1" x14ac:dyDescent="0.25">
      <c r="A428" s="56">
        <v>108602</v>
      </c>
      <c r="B428" s="72">
        <v>46029</v>
      </c>
      <c r="C428" s="68">
        <v>46029</v>
      </c>
      <c r="D428" s="58" t="s">
        <v>892</v>
      </c>
      <c r="E428" s="59" t="s">
        <v>352</v>
      </c>
      <c r="F428" s="56">
        <v>36</v>
      </c>
      <c r="G428" s="73">
        <v>860</v>
      </c>
      <c r="H428" s="74" t="s">
        <v>889</v>
      </c>
      <c r="I428" s="59" t="s">
        <v>890</v>
      </c>
      <c r="J428" s="59" t="s">
        <v>891</v>
      </c>
      <c r="K428" s="69">
        <v>5102</v>
      </c>
      <c r="L428" s="56">
        <v>205</v>
      </c>
      <c r="M428" s="59" t="s">
        <v>26</v>
      </c>
      <c r="N428" s="61">
        <v>190.59</v>
      </c>
      <c r="O428" s="59" t="s">
        <v>313</v>
      </c>
      <c r="P428" s="62">
        <v>190.59</v>
      </c>
      <c r="Q428" s="63">
        <v>20</v>
      </c>
      <c r="R428" s="62">
        <v>38.119999999999997</v>
      </c>
      <c r="S428" s="61">
        <v>0</v>
      </c>
      <c r="T428" s="62">
        <v>0</v>
      </c>
    </row>
    <row r="429" spans="1:20" ht="11.1" customHeight="1" x14ac:dyDescent="0.25">
      <c r="A429" s="56">
        <v>108663</v>
      </c>
      <c r="B429" s="72">
        <v>46030</v>
      </c>
      <c r="C429" s="68">
        <v>46030</v>
      </c>
      <c r="D429" s="58" t="s">
        <v>893</v>
      </c>
      <c r="E429" s="59" t="s">
        <v>352</v>
      </c>
      <c r="F429" s="56">
        <v>36</v>
      </c>
      <c r="G429" s="73">
        <v>860</v>
      </c>
      <c r="H429" s="74" t="s">
        <v>889</v>
      </c>
      <c r="I429" s="59" t="s">
        <v>890</v>
      </c>
      <c r="J429" s="59" t="s">
        <v>891</v>
      </c>
      <c r="K429" s="69">
        <v>5403</v>
      </c>
      <c r="L429" s="56">
        <v>207</v>
      </c>
      <c r="M429" s="59" t="s">
        <v>26</v>
      </c>
      <c r="N429" s="61">
        <v>38.51</v>
      </c>
      <c r="O429" s="59" t="s">
        <v>313</v>
      </c>
      <c r="P429" s="62">
        <v>38.51</v>
      </c>
      <c r="Q429" s="63">
        <v>20</v>
      </c>
      <c r="R429" s="62">
        <v>7.7</v>
      </c>
      <c r="S429" s="61">
        <v>0</v>
      </c>
      <c r="T429" s="62">
        <v>0</v>
      </c>
    </row>
    <row r="430" spans="1:20" ht="11.1" customHeight="1" x14ac:dyDescent="0.25">
      <c r="A430" s="56">
        <v>108776</v>
      </c>
      <c r="B430" s="72">
        <v>46034</v>
      </c>
      <c r="C430" s="68">
        <v>46034</v>
      </c>
      <c r="D430" s="58" t="s">
        <v>894</v>
      </c>
      <c r="E430" s="59" t="s">
        <v>352</v>
      </c>
      <c r="F430" s="56">
        <v>36</v>
      </c>
      <c r="G430" s="73">
        <v>860</v>
      </c>
      <c r="H430" s="74" t="s">
        <v>889</v>
      </c>
      <c r="I430" s="59" t="s">
        <v>890</v>
      </c>
      <c r="J430" s="59" t="s">
        <v>891</v>
      </c>
      <c r="K430" s="69">
        <v>5102</v>
      </c>
      <c r="L430" s="56">
        <v>205</v>
      </c>
      <c r="M430" s="59" t="s">
        <v>26</v>
      </c>
      <c r="N430" s="61">
        <v>258.57</v>
      </c>
      <c r="O430" s="59" t="s">
        <v>313</v>
      </c>
      <c r="P430" s="62">
        <v>258.57</v>
      </c>
      <c r="Q430" s="63">
        <v>20</v>
      </c>
      <c r="R430" s="62">
        <v>51.71</v>
      </c>
      <c r="S430" s="61">
        <v>0</v>
      </c>
      <c r="T430" s="62">
        <v>0</v>
      </c>
    </row>
    <row r="431" spans="1:20" ht="11.1" customHeight="1" x14ac:dyDescent="0.25">
      <c r="A431" s="56">
        <v>108777</v>
      </c>
      <c r="B431" s="72">
        <v>46034</v>
      </c>
      <c r="C431" s="68">
        <v>46034</v>
      </c>
      <c r="D431" s="58" t="s">
        <v>894</v>
      </c>
      <c r="E431" s="59" t="s">
        <v>352</v>
      </c>
      <c r="F431" s="56">
        <v>36</v>
      </c>
      <c r="G431" s="73">
        <v>860</v>
      </c>
      <c r="H431" s="74" t="s">
        <v>889</v>
      </c>
      <c r="I431" s="59" t="s">
        <v>890</v>
      </c>
      <c r="J431" s="59" t="s">
        <v>891</v>
      </c>
      <c r="K431" s="69">
        <v>5403</v>
      </c>
      <c r="L431" s="56">
        <v>207</v>
      </c>
      <c r="M431" s="59" t="s">
        <v>26</v>
      </c>
      <c r="N431" s="61">
        <v>308.86</v>
      </c>
      <c r="O431" s="59" t="s">
        <v>313</v>
      </c>
      <c r="P431" s="62">
        <v>308.86</v>
      </c>
      <c r="Q431" s="63">
        <v>20</v>
      </c>
      <c r="R431" s="62">
        <v>61.77</v>
      </c>
      <c r="S431" s="61">
        <v>0</v>
      </c>
      <c r="T431" s="62">
        <v>0</v>
      </c>
    </row>
    <row r="432" spans="1:20" ht="11.1" customHeight="1" x14ac:dyDescent="0.25">
      <c r="A432" s="56">
        <v>108910</v>
      </c>
      <c r="B432" s="72">
        <v>46036</v>
      </c>
      <c r="C432" s="68">
        <v>46036</v>
      </c>
      <c r="D432" s="58" t="s">
        <v>895</v>
      </c>
      <c r="E432" s="59" t="s">
        <v>352</v>
      </c>
      <c r="F432" s="56">
        <v>36</v>
      </c>
      <c r="G432" s="73">
        <v>860</v>
      </c>
      <c r="H432" s="74" t="s">
        <v>889</v>
      </c>
      <c r="I432" s="59" t="s">
        <v>890</v>
      </c>
      <c r="J432" s="59" t="s">
        <v>891</v>
      </c>
      <c r="K432" s="69">
        <v>5102</v>
      </c>
      <c r="L432" s="56">
        <v>205</v>
      </c>
      <c r="M432" s="59" t="s">
        <v>26</v>
      </c>
      <c r="N432" s="61">
        <v>263.91000000000003</v>
      </c>
      <c r="O432" s="59" t="s">
        <v>313</v>
      </c>
      <c r="P432" s="62">
        <v>263.91000000000003</v>
      </c>
      <c r="Q432" s="63">
        <v>20</v>
      </c>
      <c r="R432" s="62">
        <v>52.79</v>
      </c>
      <c r="S432" s="61">
        <v>0</v>
      </c>
      <c r="T432" s="62">
        <v>0</v>
      </c>
    </row>
    <row r="433" spans="1:20" ht="11.1" customHeight="1" x14ac:dyDescent="0.25">
      <c r="A433" s="56">
        <v>108911</v>
      </c>
      <c r="B433" s="72">
        <v>46036</v>
      </c>
      <c r="C433" s="68">
        <v>46036</v>
      </c>
      <c r="D433" s="58" t="s">
        <v>896</v>
      </c>
      <c r="E433" s="59" t="s">
        <v>352</v>
      </c>
      <c r="F433" s="56">
        <v>36</v>
      </c>
      <c r="G433" s="73">
        <v>860</v>
      </c>
      <c r="H433" s="74" t="s">
        <v>889</v>
      </c>
      <c r="I433" s="59" t="s">
        <v>890</v>
      </c>
      <c r="J433" s="59" t="s">
        <v>891</v>
      </c>
      <c r="K433" s="69">
        <v>5102</v>
      </c>
      <c r="L433" s="56">
        <v>205</v>
      </c>
      <c r="M433" s="59" t="s">
        <v>26</v>
      </c>
      <c r="N433" s="61">
        <v>56.89</v>
      </c>
      <c r="O433" s="59" t="s">
        <v>313</v>
      </c>
      <c r="P433" s="62">
        <v>56.89</v>
      </c>
      <c r="Q433" s="63">
        <v>20</v>
      </c>
      <c r="R433" s="62">
        <v>11.38</v>
      </c>
      <c r="S433" s="61">
        <v>0</v>
      </c>
      <c r="T433" s="62">
        <v>0</v>
      </c>
    </row>
    <row r="434" spans="1:20" ht="11.1" customHeight="1" x14ac:dyDescent="0.25">
      <c r="A434" s="56">
        <v>108912</v>
      </c>
      <c r="B434" s="72">
        <v>46036</v>
      </c>
      <c r="C434" s="68">
        <v>46036</v>
      </c>
      <c r="D434" s="58" t="s">
        <v>896</v>
      </c>
      <c r="E434" s="59" t="s">
        <v>352</v>
      </c>
      <c r="F434" s="56">
        <v>36</v>
      </c>
      <c r="G434" s="73">
        <v>860</v>
      </c>
      <c r="H434" s="74" t="s">
        <v>889</v>
      </c>
      <c r="I434" s="59" t="s">
        <v>890</v>
      </c>
      <c r="J434" s="59" t="s">
        <v>891</v>
      </c>
      <c r="K434" s="69">
        <v>5403</v>
      </c>
      <c r="L434" s="56">
        <v>207</v>
      </c>
      <c r="M434" s="59" t="s">
        <v>26</v>
      </c>
      <c r="N434" s="61">
        <v>75.349999999999994</v>
      </c>
      <c r="O434" s="59" t="s">
        <v>313</v>
      </c>
      <c r="P434" s="62">
        <v>75.349999999999994</v>
      </c>
      <c r="Q434" s="63">
        <v>20</v>
      </c>
      <c r="R434" s="62">
        <v>15.07</v>
      </c>
      <c r="S434" s="61">
        <v>0</v>
      </c>
      <c r="T434" s="62">
        <v>0</v>
      </c>
    </row>
    <row r="435" spans="1:20" ht="11.1" customHeight="1" x14ac:dyDescent="0.25">
      <c r="A435" s="56">
        <v>108956</v>
      </c>
      <c r="B435" s="72">
        <v>46037</v>
      </c>
      <c r="C435" s="68">
        <v>46037</v>
      </c>
      <c r="D435" s="58" t="s">
        <v>897</v>
      </c>
      <c r="E435" s="59" t="s">
        <v>352</v>
      </c>
      <c r="F435" s="56">
        <v>36</v>
      </c>
      <c r="G435" s="73">
        <v>860</v>
      </c>
      <c r="H435" s="74" t="s">
        <v>889</v>
      </c>
      <c r="I435" s="59" t="s">
        <v>890</v>
      </c>
      <c r="J435" s="59" t="s">
        <v>891</v>
      </c>
      <c r="K435" s="69">
        <v>5102</v>
      </c>
      <c r="L435" s="56">
        <v>205</v>
      </c>
      <c r="M435" s="59" t="s">
        <v>26</v>
      </c>
      <c r="N435" s="61">
        <v>134.30000000000001</v>
      </c>
      <c r="O435" s="59" t="s">
        <v>313</v>
      </c>
      <c r="P435" s="62">
        <v>134.30000000000001</v>
      </c>
      <c r="Q435" s="63">
        <v>20</v>
      </c>
      <c r="R435" s="62">
        <v>26.86</v>
      </c>
      <c r="S435" s="61">
        <v>0</v>
      </c>
      <c r="T435" s="62">
        <v>0</v>
      </c>
    </row>
    <row r="436" spans="1:20" ht="11.1" customHeight="1" x14ac:dyDescent="0.25">
      <c r="A436" s="56">
        <v>108957</v>
      </c>
      <c r="B436" s="72">
        <v>46037</v>
      </c>
      <c r="C436" s="68">
        <v>46037</v>
      </c>
      <c r="D436" s="58" t="s">
        <v>897</v>
      </c>
      <c r="E436" s="59" t="s">
        <v>352</v>
      </c>
      <c r="F436" s="56">
        <v>36</v>
      </c>
      <c r="G436" s="73">
        <v>860</v>
      </c>
      <c r="H436" s="74" t="s">
        <v>889</v>
      </c>
      <c r="I436" s="59" t="s">
        <v>890</v>
      </c>
      <c r="J436" s="59" t="s">
        <v>891</v>
      </c>
      <c r="K436" s="69">
        <v>5403</v>
      </c>
      <c r="L436" s="56">
        <v>207</v>
      </c>
      <c r="M436" s="59" t="s">
        <v>26</v>
      </c>
      <c r="N436" s="61">
        <v>289.11</v>
      </c>
      <c r="O436" s="59" t="s">
        <v>313</v>
      </c>
      <c r="P436" s="62">
        <v>289.11</v>
      </c>
      <c r="Q436" s="63">
        <v>20</v>
      </c>
      <c r="R436" s="62">
        <v>57.82</v>
      </c>
      <c r="S436" s="61">
        <v>0</v>
      </c>
      <c r="T436" s="62">
        <v>0</v>
      </c>
    </row>
    <row r="437" spans="1:20" ht="11.1" customHeight="1" x14ac:dyDescent="0.25">
      <c r="A437" s="56">
        <v>109039</v>
      </c>
      <c r="B437" s="72">
        <v>46038</v>
      </c>
      <c r="C437" s="68">
        <v>46038</v>
      </c>
      <c r="D437" s="58" t="s">
        <v>898</v>
      </c>
      <c r="E437" s="59" t="s">
        <v>352</v>
      </c>
      <c r="F437" s="56">
        <v>36</v>
      </c>
      <c r="G437" s="73">
        <v>860</v>
      </c>
      <c r="H437" s="74" t="s">
        <v>889</v>
      </c>
      <c r="I437" s="59" t="s">
        <v>890</v>
      </c>
      <c r="J437" s="59" t="s">
        <v>891</v>
      </c>
      <c r="K437" s="69">
        <v>5403</v>
      </c>
      <c r="L437" s="56">
        <v>207</v>
      </c>
      <c r="M437" s="59" t="s">
        <v>26</v>
      </c>
      <c r="N437" s="61">
        <v>100.14</v>
      </c>
      <c r="O437" s="59" t="s">
        <v>313</v>
      </c>
      <c r="P437" s="62">
        <v>100.14</v>
      </c>
      <c r="Q437" s="63">
        <v>20</v>
      </c>
      <c r="R437" s="62">
        <v>20.03</v>
      </c>
      <c r="S437" s="61">
        <v>0</v>
      </c>
      <c r="T437" s="62">
        <v>0</v>
      </c>
    </row>
    <row r="438" spans="1:20" ht="11.1" customHeight="1" x14ac:dyDescent="0.25">
      <c r="A438" s="56">
        <v>109217</v>
      </c>
      <c r="B438" s="72">
        <v>46043</v>
      </c>
      <c r="C438" s="68">
        <v>46043</v>
      </c>
      <c r="D438" s="58" t="s">
        <v>899</v>
      </c>
      <c r="E438" s="59" t="s">
        <v>352</v>
      </c>
      <c r="F438" s="56">
        <v>36</v>
      </c>
      <c r="G438" s="73">
        <v>860</v>
      </c>
      <c r="H438" s="74" t="s">
        <v>889</v>
      </c>
      <c r="I438" s="59" t="s">
        <v>890</v>
      </c>
      <c r="J438" s="59" t="s">
        <v>891</v>
      </c>
      <c r="K438" s="69">
        <v>5102</v>
      </c>
      <c r="L438" s="56">
        <v>205</v>
      </c>
      <c r="M438" s="59" t="s">
        <v>26</v>
      </c>
      <c r="N438" s="61">
        <v>67.150000000000006</v>
      </c>
      <c r="O438" s="59" t="s">
        <v>313</v>
      </c>
      <c r="P438" s="62">
        <v>67.150000000000006</v>
      </c>
      <c r="Q438" s="63">
        <v>20</v>
      </c>
      <c r="R438" s="62">
        <v>13.43</v>
      </c>
      <c r="S438" s="61">
        <v>0</v>
      </c>
      <c r="T438" s="62">
        <v>0</v>
      </c>
    </row>
    <row r="439" spans="1:20" ht="11.1" customHeight="1" x14ac:dyDescent="0.25">
      <c r="A439" s="56">
        <v>109218</v>
      </c>
      <c r="B439" s="72">
        <v>46043</v>
      </c>
      <c r="C439" s="68">
        <v>46043</v>
      </c>
      <c r="D439" s="58" t="s">
        <v>899</v>
      </c>
      <c r="E439" s="59" t="s">
        <v>352</v>
      </c>
      <c r="F439" s="56">
        <v>36</v>
      </c>
      <c r="G439" s="73">
        <v>860</v>
      </c>
      <c r="H439" s="74" t="s">
        <v>889</v>
      </c>
      <c r="I439" s="59" t="s">
        <v>890</v>
      </c>
      <c r="J439" s="59" t="s">
        <v>891</v>
      </c>
      <c r="K439" s="69">
        <v>5403</v>
      </c>
      <c r="L439" s="56">
        <v>207</v>
      </c>
      <c r="M439" s="59" t="s">
        <v>26</v>
      </c>
      <c r="N439" s="61">
        <v>229.15</v>
      </c>
      <c r="O439" s="59" t="s">
        <v>313</v>
      </c>
      <c r="P439" s="62">
        <v>229.15</v>
      </c>
      <c r="Q439" s="63">
        <v>20</v>
      </c>
      <c r="R439" s="62">
        <v>45.83</v>
      </c>
      <c r="S439" s="61">
        <v>0</v>
      </c>
      <c r="T439" s="62">
        <v>0</v>
      </c>
    </row>
    <row r="440" spans="1:20" ht="11.1" customHeight="1" x14ac:dyDescent="0.25">
      <c r="A440" s="56">
        <v>109294</v>
      </c>
      <c r="B440" s="72">
        <v>46044</v>
      </c>
      <c r="C440" s="68">
        <v>46044</v>
      </c>
      <c r="D440" s="58" t="s">
        <v>900</v>
      </c>
      <c r="E440" s="59" t="s">
        <v>352</v>
      </c>
      <c r="F440" s="56">
        <v>36</v>
      </c>
      <c r="G440" s="73">
        <v>860</v>
      </c>
      <c r="H440" s="74" t="s">
        <v>889</v>
      </c>
      <c r="I440" s="59" t="s">
        <v>890</v>
      </c>
      <c r="J440" s="59" t="s">
        <v>891</v>
      </c>
      <c r="K440" s="69">
        <v>5403</v>
      </c>
      <c r="L440" s="56">
        <v>207</v>
      </c>
      <c r="M440" s="59" t="s">
        <v>26</v>
      </c>
      <c r="N440" s="61">
        <v>35.1</v>
      </c>
      <c r="O440" s="59" t="s">
        <v>313</v>
      </c>
      <c r="P440" s="62">
        <v>35.1</v>
      </c>
      <c r="Q440" s="63">
        <v>20</v>
      </c>
      <c r="R440" s="62">
        <v>7.02</v>
      </c>
      <c r="S440" s="61">
        <v>0</v>
      </c>
      <c r="T440" s="62">
        <v>0</v>
      </c>
    </row>
    <row r="441" spans="1:20" ht="11.1" customHeight="1" x14ac:dyDescent="0.25">
      <c r="A441" s="56">
        <v>109304</v>
      </c>
      <c r="B441" s="72">
        <v>46044</v>
      </c>
      <c r="C441" s="68">
        <v>46044</v>
      </c>
      <c r="D441" s="58" t="s">
        <v>901</v>
      </c>
      <c r="E441" s="59" t="s">
        <v>352</v>
      </c>
      <c r="F441" s="56">
        <v>36</v>
      </c>
      <c r="G441" s="73">
        <v>860</v>
      </c>
      <c r="H441" s="74" t="s">
        <v>889</v>
      </c>
      <c r="I441" s="59" t="s">
        <v>890</v>
      </c>
      <c r="J441" s="59" t="s">
        <v>891</v>
      </c>
      <c r="K441" s="69">
        <v>5102</v>
      </c>
      <c r="L441" s="56">
        <v>205</v>
      </c>
      <c r="M441" s="59" t="s">
        <v>26</v>
      </c>
      <c r="N441" s="61">
        <v>134.30000000000001</v>
      </c>
      <c r="O441" s="59" t="s">
        <v>313</v>
      </c>
      <c r="P441" s="62">
        <v>134.30000000000001</v>
      </c>
      <c r="Q441" s="63">
        <v>20</v>
      </c>
      <c r="R441" s="62">
        <v>26.86</v>
      </c>
      <c r="S441" s="61">
        <v>0</v>
      </c>
      <c r="T441" s="62">
        <v>0</v>
      </c>
    </row>
    <row r="442" spans="1:20" ht="11.1" customHeight="1" x14ac:dyDescent="0.25">
      <c r="A442" s="56">
        <v>109305</v>
      </c>
      <c r="B442" s="72">
        <v>46044</v>
      </c>
      <c r="C442" s="68">
        <v>46044</v>
      </c>
      <c r="D442" s="58" t="s">
        <v>901</v>
      </c>
      <c r="E442" s="59" t="s">
        <v>352</v>
      </c>
      <c r="F442" s="56">
        <v>36</v>
      </c>
      <c r="G442" s="73">
        <v>860</v>
      </c>
      <c r="H442" s="74" t="s">
        <v>889</v>
      </c>
      <c r="I442" s="59" t="s">
        <v>890</v>
      </c>
      <c r="J442" s="59" t="s">
        <v>891</v>
      </c>
      <c r="K442" s="69">
        <v>5403</v>
      </c>
      <c r="L442" s="56">
        <v>207</v>
      </c>
      <c r="M442" s="59" t="s">
        <v>26</v>
      </c>
      <c r="N442" s="61">
        <v>288.70999999999998</v>
      </c>
      <c r="O442" s="59" t="s">
        <v>313</v>
      </c>
      <c r="P442" s="62">
        <v>288.70999999999998</v>
      </c>
      <c r="Q442" s="63">
        <v>20</v>
      </c>
      <c r="R442" s="62">
        <v>57.74</v>
      </c>
      <c r="S442" s="61">
        <v>0</v>
      </c>
      <c r="T442" s="62">
        <v>0</v>
      </c>
    </row>
    <row r="443" spans="1:20" ht="11.1" customHeight="1" x14ac:dyDescent="0.25">
      <c r="A443" s="56">
        <v>109434</v>
      </c>
      <c r="B443" s="72">
        <v>46048</v>
      </c>
      <c r="C443" s="68">
        <v>46048</v>
      </c>
      <c r="D443" s="58" t="s">
        <v>902</v>
      </c>
      <c r="E443" s="59" t="s">
        <v>352</v>
      </c>
      <c r="F443" s="56">
        <v>36</v>
      </c>
      <c r="G443" s="73">
        <v>860</v>
      </c>
      <c r="H443" s="74" t="s">
        <v>889</v>
      </c>
      <c r="I443" s="59" t="s">
        <v>890</v>
      </c>
      <c r="J443" s="59" t="s">
        <v>891</v>
      </c>
      <c r="K443" s="69">
        <v>5102</v>
      </c>
      <c r="L443" s="56">
        <v>205</v>
      </c>
      <c r="M443" s="59" t="s">
        <v>26</v>
      </c>
      <c r="N443" s="61">
        <v>286.70999999999998</v>
      </c>
      <c r="O443" s="59" t="s">
        <v>313</v>
      </c>
      <c r="P443" s="62">
        <v>286.70999999999998</v>
      </c>
      <c r="Q443" s="63">
        <v>20</v>
      </c>
      <c r="R443" s="62">
        <v>57.35</v>
      </c>
      <c r="S443" s="61">
        <v>0</v>
      </c>
      <c r="T443" s="62">
        <v>0</v>
      </c>
    </row>
    <row r="444" spans="1:20" ht="11.1" customHeight="1" x14ac:dyDescent="0.25">
      <c r="A444" s="56">
        <v>109435</v>
      </c>
      <c r="B444" s="72">
        <v>46048</v>
      </c>
      <c r="C444" s="68">
        <v>46048</v>
      </c>
      <c r="D444" s="58" t="s">
        <v>902</v>
      </c>
      <c r="E444" s="59" t="s">
        <v>352</v>
      </c>
      <c r="F444" s="56">
        <v>36</v>
      </c>
      <c r="G444" s="73">
        <v>860</v>
      </c>
      <c r="H444" s="74" t="s">
        <v>889</v>
      </c>
      <c r="I444" s="59" t="s">
        <v>890</v>
      </c>
      <c r="J444" s="59" t="s">
        <v>891</v>
      </c>
      <c r="K444" s="69">
        <v>5403</v>
      </c>
      <c r="L444" s="56">
        <v>207</v>
      </c>
      <c r="M444" s="59" t="s">
        <v>26</v>
      </c>
      <c r="N444" s="61">
        <v>27.29</v>
      </c>
      <c r="O444" s="59" t="s">
        <v>313</v>
      </c>
      <c r="P444" s="62">
        <v>27.29</v>
      </c>
      <c r="Q444" s="63">
        <v>20</v>
      </c>
      <c r="R444" s="62">
        <v>5.46</v>
      </c>
      <c r="S444" s="61">
        <v>0</v>
      </c>
      <c r="T444" s="62">
        <v>0</v>
      </c>
    </row>
    <row r="445" spans="1:20" ht="11.1" customHeight="1" x14ac:dyDescent="0.25">
      <c r="A445" s="56">
        <v>109483</v>
      </c>
      <c r="B445" s="72">
        <v>46049</v>
      </c>
      <c r="C445" s="68">
        <v>46049</v>
      </c>
      <c r="D445" s="58" t="s">
        <v>903</v>
      </c>
      <c r="E445" s="59" t="s">
        <v>352</v>
      </c>
      <c r="F445" s="56">
        <v>36</v>
      </c>
      <c r="G445" s="73">
        <v>860</v>
      </c>
      <c r="H445" s="74" t="s">
        <v>889</v>
      </c>
      <c r="I445" s="59" t="s">
        <v>890</v>
      </c>
      <c r="J445" s="59" t="s">
        <v>891</v>
      </c>
      <c r="K445" s="69">
        <v>5102</v>
      </c>
      <c r="L445" s="56">
        <v>205</v>
      </c>
      <c r="M445" s="59" t="s">
        <v>26</v>
      </c>
      <c r="N445" s="61">
        <v>66.239999999999995</v>
      </c>
      <c r="O445" s="59" t="s">
        <v>313</v>
      </c>
      <c r="P445" s="62">
        <v>66.239999999999995</v>
      </c>
      <c r="Q445" s="63">
        <v>20</v>
      </c>
      <c r="R445" s="62">
        <v>13.25</v>
      </c>
      <c r="S445" s="61">
        <v>0</v>
      </c>
      <c r="T445" s="62">
        <v>0</v>
      </c>
    </row>
    <row r="446" spans="1:20" ht="11.1" customHeight="1" x14ac:dyDescent="0.25">
      <c r="A446" s="56">
        <v>109533</v>
      </c>
      <c r="B446" s="72">
        <v>46050</v>
      </c>
      <c r="C446" s="68">
        <v>46050</v>
      </c>
      <c r="D446" s="58" t="s">
        <v>904</v>
      </c>
      <c r="E446" s="59" t="s">
        <v>352</v>
      </c>
      <c r="F446" s="56">
        <v>36</v>
      </c>
      <c r="G446" s="73">
        <v>860</v>
      </c>
      <c r="H446" s="74" t="s">
        <v>889</v>
      </c>
      <c r="I446" s="59" t="s">
        <v>890</v>
      </c>
      <c r="J446" s="59" t="s">
        <v>891</v>
      </c>
      <c r="K446" s="69">
        <v>5102</v>
      </c>
      <c r="L446" s="56">
        <v>205</v>
      </c>
      <c r="M446" s="59" t="s">
        <v>26</v>
      </c>
      <c r="N446" s="61">
        <v>201.45</v>
      </c>
      <c r="O446" s="59" t="s">
        <v>313</v>
      </c>
      <c r="P446" s="62">
        <v>201.45</v>
      </c>
      <c r="Q446" s="63">
        <v>20</v>
      </c>
      <c r="R446" s="62">
        <v>40.29</v>
      </c>
      <c r="S446" s="61">
        <v>0</v>
      </c>
      <c r="T446" s="62">
        <v>0</v>
      </c>
    </row>
    <row r="447" spans="1:20" ht="11.1" customHeight="1" x14ac:dyDescent="0.25">
      <c r="A447" s="56">
        <v>109534</v>
      </c>
      <c r="B447" s="72">
        <v>46050</v>
      </c>
      <c r="C447" s="68">
        <v>46050</v>
      </c>
      <c r="D447" s="58" t="s">
        <v>904</v>
      </c>
      <c r="E447" s="59" t="s">
        <v>352</v>
      </c>
      <c r="F447" s="56">
        <v>36</v>
      </c>
      <c r="G447" s="73">
        <v>860</v>
      </c>
      <c r="H447" s="74" t="s">
        <v>889</v>
      </c>
      <c r="I447" s="59" t="s">
        <v>890</v>
      </c>
      <c r="J447" s="59" t="s">
        <v>891</v>
      </c>
      <c r="K447" s="69">
        <v>5403</v>
      </c>
      <c r="L447" s="56">
        <v>207</v>
      </c>
      <c r="M447" s="59" t="s">
        <v>26</v>
      </c>
      <c r="N447" s="61">
        <v>435.81</v>
      </c>
      <c r="O447" s="59" t="s">
        <v>313</v>
      </c>
      <c r="P447" s="62">
        <v>435.81</v>
      </c>
      <c r="Q447" s="63">
        <v>20</v>
      </c>
      <c r="R447" s="62">
        <v>87.16</v>
      </c>
      <c r="S447" s="61">
        <v>0</v>
      </c>
      <c r="T447" s="62">
        <v>0</v>
      </c>
    </row>
    <row r="448" spans="1:20" ht="11.1" customHeight="1" x14ac:dyDescent="0.25">
      <c r="A448" s="56">
        <v>109631</v>
      </c>
      <c r="B448" s="72">
        <v>46051</v>
      </c>
      <c r="C448" s="68">
        <v>46051</v>
      </c>
      <c r="D448" s="58" t="s">
        <v>905</v>
      </c>
      <c r="E448" s="59" t="s">
        <v>352</v>
      </c>
      <c r="F448" s="56">
        <v>36</v>
      </c>
      <c r="G448" s="73">
        <v>860</v>
      </c>
      <c r="H448" s="74" t="s">
        <v>889</v>
      </c>
      <c r="I448" s="59" t="s">
        <v>890</v>
      </c>
      <c r="J448" s="59" t="s">
        <v>891</v>
      </c>
      <c r="K448" s="69">
        <v>5102</v>
      </c>
      <c r="L448" s="56">
        <v>205</v>
      </c>
      <c r="M448" s="59" t="s">
        <v>26</v>
      </c>
      <c r="N448" s="61">
        <v>25.52</v>
      </c>
      <c r="O448" s="59" t="s">
        <v>313</v>
      </c>
      <c r="P448" s="62">
        <v>25.52</v>
      </c>
      <c r="Q448" s="63">
        <v>20</v>
      </c>
      <c r="R448" s="62">
        <v>5.0999999999999996</v>
      </c>
      <c r="S448" s="61">
        <v>0</v>
      </c>
      <c r="T448" s="62">
        <v>0</v>
      </c>
    </row>
    <row r="449" spans="1:20" ht="11.1" customHeight="1" x14ac:dyDescent="0.25">
      <c r="A449" s="56">
        <v>109632</v>
      </c>
      <c r="B449" s="72">
        <v>46051</v>
      </c>
      <c r="C449" s="68">
        <v>46051</v>
      </c>
      <c r="D449" s="58" t="s">
        <v>905</v>
      </c>
      <c r="E449" s="59" t="s">
        <v>352</v>
      </c>
      <c r="F449" s="56">
        <v>36</v>
      </c>
      <c r="G449" s="73">
        <v>860</v>
      </c>
      <c r="H449" s="74" t="s">
        <v>889</v>
      </c>
      <c r="I449" s="59" t="s">
        <v>890</v>
      </c>
      <c r="J449" s="59" t="s">
        <v>891</v>
      </c>
      <c r="K449" s="69">
        <v>5403</v>
      </c>
      <c r="L449" s="56">
        <v>207</v>
      </c>
      <c r="M449" s="59" t="s">
        <v>26</v>
      </c>
      <c r="N449" s="61">
        <v>32.159999999999997</v>
      </c>
      <c r="O449" s="59" t="s">
        <v>313</v>
      </c>
      <c r="P449" s="62">
        <v>32.159999999999997</v>
      </c>
      <c r="Q449" s="63">
        <v>20</v>
      </c>
      <c r="R449" s="62">
        <v>6.43</v>
      </c>
      <c r="S449" s="61">
        <v>0</v>
      </c>
      <c r="T449" s="62">
        <v>0</v>
      </c>
    </row>
    <row r="450" spans="1:20" ht="11.85" customHeight="1" x14ac:dyDescent="0.25">
      <c r="A450" s="71" t="s">
        <v>620</v>
      </c>
      <c r="B450" s="71"/>
      <c r="C450" s="71"/>
      <c r="D450" s="71"/>
      <c r="E450" s="71"/>
      <c r="F450" s="71"/>
      <c r="G450" s="71"/>
      <c r="H450" s="71"/>
    </row>
    <row r="451" spans="1:20" ht="11.1" customHeight="1" x14ac:dyDescent="0.25">
      <c r="O451" s="59" t="s">
        <v>313</v>
      </c>
      <c r="P451" s="62">
        <v>3684.45</v>
      </c>
      <c r="R451" s="62">
        <v>736.89</v>
      </c>
      <c r="S451" s="61">
        <v>0</v>
      </c>
      <c r="T451" s="62">
        <v>0</v>
      </c>
    </row>
    <row r="452" spans="1:20" ht="11.1" customHeight="1" x14ac:dyDescent="0.25">
      <c r="A452" s="56">
        <v>108841</v>
      </c>
      <c r="B452" s="72">
        <v>46035</v>
      </c>
      <c r="C452" s="68">
        <v>46035</v>
      </c>
      <c r="D452" s="58" t="s">
        <v>906</v>
      </c>
      <c r="E452" s="59" t="s">
        <v>352</v>
      </c>
      <c r="F452" s="56">
        <v>36</v>
      </c>
      <c r="G452" s="73">
        <v>481</v>
      </c>
      <c r="H452" s="74" t="s">
        <v>907</v>
      </c>
      <c r="I452" s="59" t="s">
        <v>908</v>
      </c>
      <c r="J452" s="59" t="s">
        <v>909</v>
      </c>
      <c r="K452" s="69">
        <v>6403</v>
      </c>
      <c r="L452" s="56">
        <v>207</v>
      </c>
      <c r="M452" s="59" t="s">
        <v>34</v>
      </c>
      <c r="N452" s="61">
        <v>237.7</v>
      </c>
      <c r="O452" s="59" t="s">
        <v>313</v>
      </c>
      <c r="P452" s="62">
        <v>206.34</v>
      </c>
      <c r="Q452" s="63">
        <v>12</v>
      </c>
      <c r="R452" s="62">
        <v>24.76</v>
      </c>
      <c r="S452" s="61">
        <v>0</v>
      </c>
      <c r="T452" s="62">
        <v>31.36</v>
      </c>
    </row>
    <row r="453" spans="1:20" ht="11.1" customHeight="1" x14ac:dyDescent="0.25">
      <c r="O453" s="59" t="s">
        <v>436</v>
      </c>
      <c r="P453" s="62">
        <v>295.36</v>
      </c>
      <c r="Q453" s="63">
        <v>19</v>
      </c>
      <c r="R453" s="62">
        <v>31.36</v>
      </c>
      <c r="S453" s="61">
        <v>0</v>
      </c>
      <c r="T453" s="62">
        <v>0</v>
      </c>
    </row>
    <row r="454" spans="1:20" ht="11.1" customHeight="1" x14ac:dyDescent="0.25">
      <c r="A454" s="56">
        <v>108842</v>
      </c>
      <c r="B454" s="72">
        <v>46035</v>
      </c>
      <c r="C454" s="68">
        <v>46035</v>
      </c>
      <c r="D454" s="58" t="s">
        <v>906</v>
      </c>
      <c r="E454" s="59" t="s">
        <v>352</v>
      </c>
      <c r="F454" s="56">
        <v>36</v>
      </c>
      <c r="G454" s="73">
        <v>481</v>
      </c>
      <c r="H454" s="74" t="s">
        <v>907</v>
      </c>
      <c r="I454" s="59" t="s">
        <v>908</v>
      </c>
      <c r="J454" s="59" t="s">
        <v>909</v>
      </c>
      <c r="K454" s="69">
        <v>6102</v>
      </c>
      <c r="L454" s="56">
        <v>238</v>
      </c>
      <c r="M454" s="59" t="s">
        <v>34</v>
      </c>
      <c r="N454" s="61">
        <v>1358.55</v>
      </c>
      <c r="O454" s="59" t="s">
        <v>313</v>
      </c>
      <c r="P454" s="62">
        <v>1358.55</v>
      </c>
      <c r="Q454" s="63">
        <v>12</v>
      </c>
      <c r="R454" s="62">
        <v>163.02000000000001</v>
      </c>
      <c r="S454" s="61">
        <v>0</v>
      </c>
      <c r="T454" s="62">
        <v>0</v>
      </c>
    </row>
    <row r="455" spans="1:20" ht="11.1" customHeight="1" x14ac:dyDescent="0.25">
      <c r="A455" s="56">
        <v>109162</v>
      </c>
      <c r="B455" s="72">
        <v>46042</v>
      </c>
      <c r="C455" s="68">
        <v>46042</v>
      </c>
      <c r="D455" s="58" t="s">
        <v>910</v>
      </c>
      <c r="E455" s="59" t="s">
        <v>352</v>
      </c>
      <c r="F455" s="56">
        <v>36</v>
      </c>
      <c r="G455" s="73">
        <v>481</v>
      </c>
      <c r="H455" s="74" t="s">
        <v>907</v>
      </c>
      <c r="I455" s="59" t="s">
        <v>908</v>
      </c>
      <c r="J455" s="59" t="s">
        <v>909</v>
      </c>
      <c r="K455" s="69">
        <v>6403</v>
      </c>
      <c r="L455" s="56">
        <v>207</v>
      </c>
      <c r="M455" s="59" t="s">
        <v>34</v>
      </c>
      <c r="N455" s="61">
        <v>1199.71</v>
      </c>
      <c r="O455" s="59" t="s">
        <v>313</v>
      </c>
      <c r="P455" s="62">
        <v>1041.44</v>
      </c>
      <c r="Q455" s="63">
        <v>12</v>
      </c>
      <c r="R455" s="62">
        <v>124.97</v>
      </c>
      <c r="S455" s="61">
        <v>0</v>
      </c>
      <c r="T455" s="62">
        <v>158.27000000000001</v>
      </c>
    </row>
    <row r="456" spans="1:20" ht="11.1" customHeight="1" x14ac:dyDescent="0.25">
      <c r="O456" s="59" t="s">
        <v>436</v>
      </c>
      <c r="P456" s="62">
        <v>1490.72</v>
      </c>
      <c r="Q456" s="63">
        <v>19</v>
      </c>
      <c r="R456" s="62">
        <v>158.27000000000001</v>
      </c>
      <c r="S456" s="61">
        <v>0</v>
      </c>
      <c r="T456" s="62">
        <v>0</v>
      </c>
    </row>
    <row r="457" spans="1:20" ht="11.85" customHeight="1" x14ac:dyDescent="0.25">
      <c r="A457" s="71" t="s">
        <v>620</v>
      </c>
      <c r="B457" s="71"/>
      <c r="C457" s="71"/>
      <c r="D457" s="71"/>
      <c r="E457" s="71"/>
      <c r="F457" s="71"/>
      <c r="G457" s="71"/>
      <c r="H457" s="71"/>
    </row>
    <row r="458" spans="1:20" ht="11.1" customHeight="1" x14ac:dyDescent="0.25">
      <c r="O458" s="59" t="s">
        <v>313</v>
      </c>
      <c r="P458" s="62">
        <v>2606.33</v>
      </c>
      <c r="R458" s="62">
        <v>312.75</v>
      </c>
      <c r="S458" s="61">
        <v>0</v>
      </c>
      <c r="T458" s="62">
        <v>189.63</v>
      </c>
    </row>
    <row r="459" spans="1:20" ht="11.1" customHeight="1" x14ac:dyDescent="0.25">
      <c r="O459" s="59" t="s">
        <v>436</v>
      </c>
      <c r="P459" s="62">
        <v>1786.08</v>
      </c>
      <c r="R459" s="62">
        <v>189.63</v>
      </c>
      <c r="S459" s="61">
        <v>0</v>
      </c>
      <c r="T459" s="62">
        <v>0</v>
      </c>
    </row>
    <row r="460" spans="1:20" ht="11.1" customHeight="1" x14ac:dyDescent="0.25">
      <c r="A460" s="56">
        <v>109176</v>
      </c>
      <c r="B460" s="72">
        <v>46042</v>
      </c>
      <c r="C460" s="68">
        <v>46042</v>
      </c>
      <c r="D460" s="58" t="s">
        <v>911</v>
      </c>
      <c r="E460" s="59" t="s">
        <v>352</v>
      </c>
      <c r="F460" s="56">
        <v>36</v>
      </c>
      <c r="G460" s="73">
        <v>587</v>
      </c>
      <c r="H460" s="74" t="s">
        <v>912</v>
      </c>
      <c r="I460" s="59" t="s">
        <v>913</v>
      </c>
      <c r="J460" s="59" t="s">
        <v>914</v>
      </c>
      <c r="K460" s="69">
        <v>5102</v>
      </c>
      <c r="L460" s="56">
        <v>205</v>
      </c>
      <c r="M460" s="59" t="s">
        <v>26</v>
      </c>
      <c r="N460" s="61">
        <v>784.08</v>
      </c>
      <c r="O460" s="59" t="s">
        <v>313</v>
      </c>
      <c r="P460" s="62">
        <v>784.08</v>
      </c>
      <c r="Q460" s="63">
        <v>20</v>
      </c>
      <c r="R460" s="62">
        <v>156.82</v>
      </c>
      <c r="S460" s="61">
        <v>0</v>
      </c>
      <c r="T460" s="62">
        <v>0</v>
      </c>
    </row>
    <row r="461" spans="1:20" ht="11.85" customHeight="1" x14ac:dyDescent="0.25">
      <c r="A461" s="71" t="s">
        <v>620</v>
      </c>
      <c r="B461" s="71"/>
      <c r="C461" s="71"/>
      <c r="D461" s="71"/>
      <c r="E461" s="71"/>
      <c r="F461" s="71"/>
      <c r="G461" s="71"/>
      <c r="H461" s="71"/>
    </row>
    <row r="462" spans="1:20" ht="11.1" customHeight="1" x14ac:dyDescent="0.25">
      <c r="O462" s="59" t="s">
        <v>313</v>
      </c>
      <c r="P462" s="62">
        <v>784.08</v>
      </c>
      <c r="R462" s="62">
        <v>156.82</v>
      </c>
      <c r="S462" s="61">
        <v>0</v>
      </c>
      <c r="T462" s="62">
        <v>0</v>
      </c>
    </row>
    <row r="463" spans="1:20" ht="11.1" customHeight="1" x14ac:dyDescent="0.25">
      <c r="A463" s="56">
        <v>108894</v>
      </c>
      <c r="B463" s="72">
        <v>46036</v>
      </c>
      <c r="C463" s="68">
        <v>46036</v>
      </c>
      <c r="D463" s="58" t="s">
        <v>915</v>
      </c>
      <c r="E463" s="59" t="s">
        <v>352</v>
      </c>
      <c r="F463" s="56">
        <v>36</v>
      </c>
      <c r="G463" s="73">
        <v>570</v>
      </c>
      <c r="H463" s="74" t="s">
        <v>916</v>
      </c>
      <c r="I463" s="59" t="s">
        <v>917</v>
      </c>
      <c r="J463" s="59" t="s">
        <v>918</v>
      </c>
      <c r="K463" s="69">
        <v>5403</v>
      </c>
      <c r="L463" s="56">
        <v>207</v>
      </c>
      <c r="M463" s="59" t="s">
        <v>26</v>
      </c>
      <c r="N463" s="61">
        <v>1026.56</v>
      </c>
      <c r="O463" s="59" t="s">
        <v>313</v>
      </c>
      <c r="P463" s="62">
        <v>959.4</v>
      </c>
      <c r="Q463" s="63">
        <v>20</v>
      </c>
      <c r="R463" s="62">
        <v>191.88</v>
      </c>
      <c r="S463" s="61">
        <v>0</v>
      </c>
      <c r="T463" s="62">
        <v>67.16</v>
      </c>
    </row>
    <row r="464" spans="1:20" ht="11.1" customHeight="1" x14ac:dyDescent="0.25">
      <c r="O464" s="59" t="s">
        <v>436</v>
      </c>
      <c r="P464" s="62">
        <v>1295.19</v>
      </c>
      <c r="Q464" s="63">
        <v>20</v>
      </c>
      <c r="R464" s="62">
        <v>67.16</v>
      </c>
      <c r="S464" s="61">
        <v>0</v>
      </c>
      <c r="T464" s="62">
        <v>0</v>
      </c>
    </row>
    <row r="465" spans="1:20" ht="11.1" customHeight="1" x14ac:dyDescent="0.25">
      <c r="A465" s="56">
        <v>109338</v>
      </c>
      <c r="B465" s="72">
        <v>46045</v>
      </c>
      <c r="C465" s="68">
        <v>46045</v>
      </c>
      <c r="D465" s="58" t="s">
        <v>919</v>
      </c>
      <c r="E465" s="59" t="s">
        <v>352</v>
      </c>
      <c r="F465" s="56">
        <v>36</v>
      </c>
      <c r="G465" s="73">
        <v>570</v>
      </c>
      <c r="H465" s="74" t="s">
        <v>916</v>
      </c>
      <c r="I465" s="59" t="s">
        <v>917</v>
      </c>
      <c r="J465" s="59" t="s">
        <v>918</v>
      </c>
      <c r="K465" s="69">
        <v>5403</v>
      </c>
      <c r="L465" s="56">
        <v>207</v>
      </c>
      <c r="M465" s="59" t="s">
        <v>26</v>
      </c>
      <c r="N465" s="61">
        <v>1197.6500000000001</v>
      </c>
      <c r="O465" s="59" t="s">
        <v>313</v>
      </c>
      <c r="P465" s="62">
        <v>1119.3</v>
      </c>
      <c r="Q465" s="63">
        <v>20</v>
      </c>
      <c r="R465" s="62">
        <v>223.86</v>
      </c>
      <c r="S465" s="61">
        <v>0</v>
      </c>
      <c r="T465" s="62">
        <v>78.349999999999994</v>
      </c>
    </row>
    <row r="466" spans="1:20" ht="11.1" customHeight="1" x14ac:dyDescent="0.25">
      <c r="O466" s="59" t="s">
        <v>436</v>
      </c>
      <c r="P466" s="62">
        <v>1511.07</v>
      </c>
      <c r="Q466" s="63">
        <v>20</v>
      </c>
      <c r="R466" s="62">
        <v>78.349999999999994</v>
      </c>
      <c r="S466" s="61">
        <v>0</v>
      </c>
      <c r="T466" s="62">
        <v>0</v>
      </c>
    </row>
    <row r="467" spans="1:20" ht="11.1" customHeight="1" x14ac:dyDescent="0.25">
      <c r="A467" s="56">
        <v>109453</v>
      </c>
      <c r="B467" s="72">
        <v>46048</v>
      </c>
      <c r="C467" s="68">
        <v>46048</v>
      </c>
      <c r="D467" s="58" t="s">
        <v>920</v>
      </c>
      <c r="E467" s="59" t="s">
        <v>352</v>
      </c>
      <c r="F467" s="56">
        <v>36</v>
      </c>
      <c r="G467" s="73">
        <v>570</v>
      </c>
      <c r="H467" s="74" t="s">
        <v>916</v>
      </c>
      <c r="I467" s="59" t="s">
        <v>917</v>
      </c>
      <c r="J467" s="59" t="s">
        <v>918</v>
      </c>
      <c r="K467" s="69">
        <v>5102</v>
      </c>
      <c r="L467" s="56">
        <v>205</v>
      </c>
      <c r="M467" s="59" t="s">
        <v>26</v>
      </c>
      <c r="N467" s="61">
        <v>536.1</v>
      </c>
      <c r="O467" s="59" t="s">
        <v>313</v>
      </c>
      <c r="P467" s="62">
        <v>536.1</v>
      </c>
      <c r="Q467" s="63">
        <v>20</v>
      </c>
      <c r="R467" s="62">
        <v>107.22</v>
      </c>
      <c r="S467" s="61">
        <v>0</v>
      </c>
      <c r="T467" s="62">
        <v>0</v>
      </c>
    </row>
    <row r="468" spans="1:20" ht="11.85" customHeight="1" x14ac:dyDescent="0.25">
      <c r="A468" s="71" t="s">
        <v>620</v>
      </c>
      <c r="B468" s="71"/>
      <c r="C468" s="71"/>
      <c r="D468" s="71"/>
      <c r="E468" s="71"/>
      <c r="F468" s="71"/>
      <c r="G468" s="71"/>
      <c r="H468" s="71"/>
    </row>
    <row r="469" spans="1:20" ht="11.1" customHeight="1" x14ac:dyDescent="0.25">
      <c r="O469" s="59" t="s">
        <v>313</v>
      </c>
      <c r="P469" s="62">
        <v>2614.8000000000002</v>
      </c>
      <c r="R469" s="62">
        <v>522.96</v>
      </c>
      <c r="S469" s="61">
        <v>0</v>
      </c>
      <c r="T469" s="62">
        <v>145.51</v>
      </c>
    </row>
    <row r="470" spans="1:20" ht="11.1" customHeight="1" x14ac:dyDescent="0.25">
      <c r="O470" s="59" t="s">
        <v>436</v>
      </c>
      <c r="P470" s="62">
        <v>2806.26</v>
      </c>
      <c r="R470" s="62">
        <v>145.51</v>
      </c>
      <c r="S470" s="61">
        <v>0</v>
      </c>
      <c r="T470" s="62">
        <v>0</v>
      </c>
    </row>
    <row r="471" spans="1:20" ht="11.1" customHeight="1" x14ac:dyDescent="0.25">
      <c r="A471" s="56">
        <v>109241</v>
      </c>
      <c r="B471" s="72">
        <v>46043</v>
      </c>
      <c r="C471" s="68">
        <v>46043</v>
      </c>
      <c r="D471" s="58" t="s">
        <v>921</v>
      </c>
      <c r="E471" s="59" t="s">
        <v>352</v>
      </c>
      <c r="F471" s="56">
        <v>36</v>
      </c>
      <c r="G471" s="73">
        <v>586</v>
      </c>
      <c r="H471" s="74" t="s">
        <v>922</v>
      </c>
      <c r="I471" s="59" t="s">
        <v>923</v>
      </c>
      <c r="J471" s="59" t="s">
        <v>924</v>
      </c>
      <c r="K471" s="69">
        <v>5102</v>
      </c>
      <c r="L471" s="56">
        <v>205</v>
      </c>
      <c r="M471" s="59" t="s">
        <v>26</v>
      </c>
      <c r="N471" s="61">
        <v>4070.96</v>
      </c>
      <c r="O471" s="59" t="s">
        <v>313</v>
      </c>
      <c r="P471" s="62">
        <v>4070.96</v>
      </c>
      <c r="Q471" s="63">
        <v>20</v>
      </c>
      <c r="R471" s="62">
        <v>814.19</v>
      </c>
      <c r="S471" s="61">
        <v>0</v>
      </c>
      <c r="T471" s="62">
        <v>0</v>
      </c>
    </row>
    <row r="472" spans="1:20" ht="11.1" customHeight="1" x14ac:dyDescent="0.25">
      <c r="A472" s="56">
        <v>109693</v>
      </c>
      <c r="B472" s="72">
        <v>46052</v>
      </c>
      <c r="C472" s="68">
        <v>46052</v>
      </c>
      <c r="D472" s="58" t="s">
        <v>925</v>
      </c>
      <c r="E472" s="59" t="s">
        <v>352</v>
      </c>
      <c r="F472" s="56">
        <v>36</v>
      </c>
      <c r="G472" s="73">
        <v>586</v>
      </c>
      <c r="H472" s="74" t="s">
        <v>922</v>
      </c>
      <c r="I472" s="59" t="s">
        <v>923</v>
      </c>
      <c r="J472" s="59" t="s">
        <v>924</v>
      </c>
      <c r="K472" s="69">
        <v>5102</v>
      </c>
      <c r="L472" s="56">
        <v>205</v>
      </c>
      <c r="M472" s="59" t="s">
        <v>26</v>
      </c>
      <c r="N472" s="61">
        <v>674.43</v>
      </c>
      <c r="O472" s="59" t="s">
        <v>313</v>
      </c>
      <c r="P472" s="62">
        <v>674.43</v>
      </c>
      <c r="Q472" s="63">
        <v>20</v>
      </c>
      <c r="R472" s="62">
        <v>134.88999999999999</v>
      </c>
      <c r="S472" s="61">
        <v>0</v>
      </c>
      <c r="T472" s="62">
        <v>0</v>
      </c>
    </row>
    <row r="473" spans="1:20" ht="11.85" customHeight="1" x14ac:dyDescent="0.25">
      <c r="A473" s="71" t="s">
        <v>620</v>
      </c>
      <c r="B473" s="71"/>
      <c r="C473" s="71"/>
      <c r="D473" s="71"/>
      <c r="E473" s="71"/>
      <c r="F473" s="71"/>
      <c r="G473" s="71"/>
      <c r="H473" s="71"/>
    </row>
    <row r="474" spans="1:20" ht="11.1" customHeight="1" x14ac:dyDescent="0.25">
      <c r="O474" s="59" t="s">
        <v>313</v>
      </c>
      <c r="P474" s="62">
        <v>4745.3900000000003</v>
      </c>
      <c r="R474" s="62">
        <v>949.08</v>
      </c>
      <c r="S474" s="61">
        <v>0</v>
      </c>
      <c r="T474" s="62">
        <v>0</v>
      </c>
    </row>
    <row r="475" spans="1:20" ht="11.1" customHeight="1" x14ac:dyDescent="0.25">
      <c r="A475" s="56">
        <v>109098</v>
      </c>
      <c r="B475" s="72">
        <v>46041</v>
      </c>
      <c r="C475" s="68">
        <v>46041</v>
      </c>
      <c r="D475" s="58" t="s">
        <v>926</v>
      </c>
      <c r="E475" s="59" t="s">
        <v>352</v>
      </c>
      <c r="F475" s="56">
        <v>36</v>
      </c>
      <c r="G475" s="73">
        <v>764</v>
      </c>
      <c r="H475" s="74" t="s">
        <v>453</v>
      </c>
      <c r="I475" s="59" t="s">
        <v>927</v>
      </c>
      <c r="J475" s="59" t="s">
        <v>928</v>
      </c>
      <c r="K475" s="69">
        <v>5102</v>
      </c>
      <c r="L475" s="56">
        <v>205</v>
      </c>
      <c r="M475" s="59" t="s">
        <v>26</v>
      </c>
      <c r="N475" s="61">
        <v>1533.56</v>
      </c>
      <c r="O475" s="59" t="s">
        <v>313</v>
      </c>
      <c r="P475" s="62">
        <v>1533.56</v>
      </c>
      <c r="Q475" s="63">
        <v>20</v>
      </c>
      <c r="R475" s="62">
        <v>306.70999999999998</v>
      </c>
      <c r="S475" s="61">
        <v>0</v>
      </c>
      <c r="T475" s="62">
        <v>0</v>
      </c>
    </row>
    <row r="476" spans="1:20" ht="11.1" customHeight="1" x14ac:dyDescent="0.25">
      <c r="A476" s="56">
        <v>109099</v>
      </c>
      <c r="B476" s="72">
        <v>46041</v>
      </c>
      <c r="C476" s="68">
        <v>46041</v>
      </c>
      <c r="D476" s="58" t="s">
        <v>926</v>
      </c>
      <c r="E476" s="59" t="s">
        <v>352</v>
      </c>
      <c r="F476" s="56">
        <v>36</v>
      </c>
      <c r="G476" s="73">
        <v>764</v>
      </c>
      <c r="H476" s="74" t="s">
        <v>453</v>
      </c>
      <c r="I476" s="59" t="s">
        <v>927</v>
      </c>
      <c r="J476" s="59" t="s">
        <v>928</v>
      </c>
      <c r="K476" s="69">
        <v>5403</v>
      </c>
      <c r="L476" s="56">
        <v>207</v>
      </c>
      <c r="M476" s="59" t="s">
        <v>26</v>
      </c>
      <c r="N476" s="61">
        <v>8009.01</v>
      </c>
      <c r="O476" s="59" t="s">
        <v>313</v>
      </c>
      <c r="P476" s="62">
        <v>7485.05</v>
      </c>
      <c r="Q476" s="63">
        <v>20</v>
      </c>
      <c r="R476" s="62">
        <v>1497.01</v>
      </c>
      <c r="S476" s="61">
        <v>0</v>
      </c>
      <c r="T476" s="62">
        <v>523.96</v>
      </c>
    </row>
    <row r="477" spans="1:20" ht="11.1" customHeight="1" x14ac:dyDescent="0.25">
      <c r="O477" s="59" t="s">
        <v>436</v>
      </c>
      <c r="P477" s="62">
        <v>10104.82</v>
      </c>
      <c r="Q477" s="63">
        <v>20</v>
      </c>
      <c r="R477" s="62">
        <v>523.96</v>
      </c>
      <c r="S477" s="61">
        <v>0</v>
      </c>
      <c r="T477" s="62">
        <v>0</v>
      </c>
    </row>
    <row r="478" spans="1:20" ht="11.1" customHeight="1" x14ac:dyDescent="0.25">
      <c r="A478" s="56">
        <v>109350</v>
      </c>
      <c r="B478" s="72">
        <v>46045</v>
      </c>
      <c r="C478" s="68">
        <v>46045</v>
      </c>
      <c r="D478" s="58" t="s">
        <v>929</v>
      </c>
      <c r="E478" s="59" t="s">
        <v>352</v>
      </c>
      <c r="F478" s="56">
        <v>36</v>
      </c>
      <c r="G478" s="73">
        <v>764</v>
      </c>
      <c r="H478" s="74" t="s">
        <v>453</v>
      </c>
      <c r="I478" s="59" t="s">
        <v>927</v>
      </c>
      <c r="J478" s="59" t="s">
        <v>928</v>
      </c>
      <c r="K478" s="69">
        <v>5102</v>
      </c>
      <c r="L478" s="56">
        <v>205</v>
      </c>
      <c r="M478" s="59" t="s">
        <v>26</v>
      </c>
      <c r="N478" s="61">
        <v>475.77</v>
      </c>
      <c r="O478" s="59" t="s">
        <v>313</v>
      </c>
      <c r="P478" s="62">
        <v>475.77</v>
      </c>
      <c r="Q478" s="63">
        <v>20</v>
      </c>
      <c r="R478" s="62">
        <v>95.15</v>
      </c>
      <c r="S478" s="61">
        <v>0</v>
      </c>
      <c r="T478" s="62">
        <v>0</v>
      </c>
    </row>
    <row r="479" spans="1:20" ht="11.1" customHeight="1" x14ac:dyDescent="0.25">
      <c r="A479" s="56">
        <v>109351</v>
      </c>
      <c r="B479" s="72">
        <v>46045</v>
      </c>
      <c r="C479" s="68">
        <v>46045</v>
      </c>
      <c r="D479" s="58" t="s">
        <v>929</v>
      </c>
      <c r="E479" s="59" t="s">
        <v>352</v>
      </c>
      <c r="F479" s="56">
        <v>36</v>
      </c>
      <c r="G479" s="73">
        <v>764</v>
      </c>
      <c r="H479" s="74" t="s">
        <v>453</v>
      </c>
      <c r="I479" s="59" t="s">
        <v>927</v>
      </c>
      <c r="J479" s="59" t="s">
        <v>928</v>
      </c>
      <c r="K479" s="69">
        <v>5403</v>
      </c>
      <c r="L479" s="56">
        <v>207</v>
      </c>
      <c r="M479" s="59" t="s">
        <v>26</v>
      </c>
      <c r="N479" s="61">
        <v>1055.58</v>
      </c>
      <c r="O479" s="59" t="s">
        <v>313</v>
      </c>
      <c r="P479" s="62">
        <v>986.53</v>
      </c>
      <c r="Q479" s="63">
        <v>20</v>
      </c>
      <c r="R479" s="62">
        <v>197.31</v>
      </c>
      <c r="S479" s="61">
        <v>0</v>
      </c>
      <c r="T479" s="62">
        <v>69.05</v>
      </c>
    </row>
    <row r="480" spans="1:20" ht="11.1" customHeight="1" x14ac:dyDescent="0.25">
      <c r="O480" s="59" t="s">
        <v>436</v>
      </c>
      <c r="P480" s="62">
        <v>1331.81</v>
      </c>
      <c r="Q480" s="63">
        <v>20</v>
      </c>
      <c r="R480" s="62">
        <v>69.05</v>
      </c>
      <c r="S480" s="61">
        <v>0</v>
      </c>
      <c r="T480" s="62">
        <v>0</v>
      </c>
    </row>
    <row r="481" spans="1:20" ht="11.1" customHeight="1" x14ac:dyDescent="0.25">
      <c r="A481" s="56">
        <v>109352</v>
      </c>
      <c r="B481" s="72">
        <v>46045</v>
      </c>
      <c r="C481" s="68">
        <v>46045</v>
      </c>
      <c r="D481" s="58" t="s">
        <v>930</v>
      </c>
      <c r="E481" s="59" t="s">
        <v>352</v>
      </c>
      <c r="F481" s="56">
        <v>36</v>
      </c>
      <c r="G481" s="73">
        <v>764</v>
      </c>
      <c r="H481" s="74" t="s">
        <v>453</v>
      </c>
      <c r="I481" s="59" t="s">
        <v>927</v>
      </c>
      <c r="J481" s="59" t="s">
        <v>928</v>
      </c>
      <c r="K481" s="69">
        <v>5102</v>
      </c>
      <c r="L481" s="56">
        <v>205</v>
      </c>
      <c r="M481" s="59" t="s">
        <v>26</v>
      </c>
      <c r="N481" s="61">
        <v>574.65</v>
      </c>
      <c r="O481" s="59" t="s">
        <v>313</v>
      </c>
      <c r="P481" s="62">
        <v>574.65</v>
      </c>
      <c r="Q481" s="63">
        <v>20</v>
      </c>
      <c r="R481" s="62">
        <v>114.93</v>
      </c>
      <c r="S481" s="61">
        <v>0</v>
      </c>
      <c r="T481" s="62">
        <v>0</v>
      </c>
    </row>
    <row r="482" spans="1:20" ht="11.1" customHeight="1" x14ac:dyDescent="0.25">
      <c r="A482" s="56">
        <v>109607</v>
      </c>
      <c r="B482" s="72">
        <v>46051</v>
      </c>
      <c r="C482" s="68">
        <v>46051</v>
      </c>
      <c r="D482" s="58" t="s">
        <v>931</v>
      </c>
      <c r="E482" s="59" t="s">
        <v>352</v>
      </c>
      <c r="F482" s="56">
        <v>36</v>
      </c>
      <c r="G482" s="73">
        <v>764</v>
      </c>
      <c r="H482" s="74" t="s">
        <v>453</v>
      </c>
      <c r="I482" s="59" t="s">
        <v>927</v>
      </c>
      <c r="J482" s="59" t="s">
        <v>928</v>
      </c>
      <c r="K482" s="69">
        <v>5102</v>
      </c>
      <c r="L482" s="56">
        <v>205</v>
      </c>
      <c r="M482" s="59" t="s">
        <v>26</v>
      </c>
      <c r="N482" s="61">
        <v>191.56</v>
      </c>
      <c r="O482" s="59" t="s">
        <v>313</v>
      </c>
      <c r="P482" s="62">
        <v>191.56</v>
      </c>
      <c r="Q482" s="63">
        <v>20</v>
      </c>
      <c r="R482" s="62">
        <v>38.31</v>
      </c>
      <c r="S482" s="61">
        <v>0</v>
      </c>
      <c r="T482" s="62">
        <v>0</v>
      </c>
    </row>
    <row r="483" spans="1:20" ht="11.1" customHeight="1" x14ac:dyDescent="0.25">
      <c r="A483" s="56">
        <v>109608</v>
      </c>
      <c r="B483" s="72">
        <v>46051</v>
      </c>
      <c r="C483" s="68">
        <v>46051</v>
      </c>
      <c r="D483" s="58" t="s">
        <v>931</v>
      </c>
      <c r="E483" s="59" t="s">
        <v>352</v>
      </c>
      <c r="F483" s="56">
        <v>36</v>
      </c>
      <c r="G483" s="73">
        <v>764</v>
      </c>
      <c r="H483" s="74" t="s">
        <v>453</v>
      </c>
      <c r="I483" s="59" t="s">
        <v>927</v>
      </c>
      <c r="J483" s="59" t="s">
        <v>928</v>
      </c>
      <c r="K483" s="69">
        <v>5403</v>
      </c>
      <c r="L483" s="56">
        <v>207</v>
      </c>
      <c r="M483" s="59" t="s">
        <v>26</v>
      </c>
      <c r="N483" s="61">
        <v>449.25</v>
      </c>
      <c r="O483" s="59" t="s">
        <v>313</v>
      </c>
      <c r="P483" s="62">
        <v>419.86</v>
      </c>
      <c r="Q483" s="63">
        <v>20</v>
      </c>
      <c r="R483" s="62">
        <v>83.97</v>
      </c>
      <c r="S483" s="61">
        <v>0</v>
      </c>
      <c r="T483" s="62">
        <v>29.39</v>
      </c>
    </row>
    <row r="484" spans="1:20" ht="11.1" customHeight="1" x14ac:dyDescent="0.25">
      <c r="O484" s="59" t="s">
        <v>436</v>
      </c>
      <c r="P484" s="62">
        <v>566.80999999999995</v>
      </c>
      <c r="Q484" s="63">
        <v>20</v>
      </c>
      <c r="R484" s="62">
        <v>29.39</v>
      </c>
      <c r="S484" s="61">
        <v>0</v>
      </c>
      <c r="T484" s="62">
        <v>0</v>
      </c>
    </row>
    <row r="485" spans="1:20" ht="11.1" customHeight="1" x14ac:dyDescent="0.25">
      <c r="A485" s="56">
        <v>109684</v>
      </c>
      <c r="B485" s="72">
        <v>46052</v>
      </c>
      <c r="C485" s="68">
        <v>46052</v>
      </c>
      <c r="D485" s="58" t="s">
        <v>932</v>
      </c>
      <c r="E485" s="59" t="s">
        <v>352</v>
      </c>
      <c r="F485" s="56">
        <v>36</v>
      </c>
      <c r="G485" s="73">
        <v>764</v>
      </c>
      <c r="H485" s="74" t="s">
        <v>453</v>
      </c>
      <c r="I485" s="59" t="s">
        <v>927</v>
      </c>
      <c r="J485" s="59" t="s">
        <v>928</v>
      </c>
      <c r="K485" s="69">
        <v>5102</v>
      </c>
      <c r="L485" s="56">
        <v>205</v>
      </c>
      <c r="M485" s="59" t="s">
        <v>26</v>
      </c>
      <c r="N485" s="61">
        <v>1975.72</v>
      </c>
      <c r="O485" s="59" t="s">
        <v>313</v>
      </c>
      <c r="P485" s="62">
        <v>1975.72</v>
      </c>
      <c r="Q485" s="63">
        <v>20</v>
      </c>
      <c r="R485" s="62">
        <v>395.15</v>
      </c>
      <c r="S485" s="61">
        <v>0</v>
      </c>
      <c r="T485" s="62">
        <v>0</v>
      </c>
    </row>
    <row r="486" spans="1:20" ht="11.1" customHeight="1" x14ac:dyDescent="0.25">
      <c r="A486" s="56">
        <v>109685</v>
      </c>
      <c r="B486" s="72">
        <v>46052</v>
      </c>
      <c r="C486" s="68">
        <v>46052</v>
      </c>
      <c r="D486" s="58" t="s">
        <v>932</v>
      </c>
      <c r="E486" s="59" t="s">
        <v>352</v>
      </c>
      <c r="F486" s="56">
        <v>36</v>
      </c>
      <c r="G486" s="73">
        <v>764</v>
      </c>
      <c r="H486" s="74" t="s">
        <v>453</v>
      </c>
      <c r="I486" s="59" t="s">
        <v>927</v>
      </c>
      <c r="J486" s="59" t="s">
        <v>928</v>
      </c>
      <c r="K486" s="69">
        <v>5403</v>
      </c>
      <c r="L486" s="56">
        <v>207</v>
      </c>
      <c r="M486" s="59" t="s">
        <v>26</v>
      </c>
      <c r="N486" s="61">
        <v>12285.79</v>
      </c>
      <c r="O486" s="59" t="s">
        <v>313</v>
      </c>
      <c r="P486" s="62">
        <v>11482.06</v>
      </c>
      <c r="Q486" s="63">
        <v>20</v>
      </c>
      <c r="R486" s="62">
        <v>2296.42</v>
      </c>
      <c r="S486" s="61">
        <v>0</v>
      </c>
      <c r="T486" s="62">
        <v>803.73</v>
      </c>
    </row>
    <row r="487" spans="1:20" ht="11.1" customHeight="1" x14ac:dyDescent="0.25">
      <c r="O487" s="59" t="s">
        <v>436</v>
      </c>
      <c r="P487" s="62">
        <v>15500.78</v>
      </c>
      <c r="Q487" s="63">
        <v>20</v>
      </c>
      <c r="R487" s="62">
        <v>803.73</v>
      </c>
      <c r="S487" s="61">
        <v>0</v>
      </c>
      <c r="T487" s="62">
        <v>0</v>
      </c>
    </row>
    <row r="488" spans="1:20" ht="11.85" customHeight="1" x14ac:dyDescent="0.25">
      <c r="A488" s="71" t="s">
        <v>620</v>
      </c>
      <c r="B488" s="71"/>
      <c r="C488" s="71"/>
      <c r="D488" s="71"/>
      <c r="E488" s="71"/>
      <c r="F488" s="71"/>
      <c r="G488" s="71"/>
      <c r="H488" s="71"/>
    </row>
    <row r="489" spans="1:20" ht="11.1" customHeight="1" x14ac:dyDescent="0.25">
      <c r="O489" s="59" t="s">
        <v>313</v>
      </c>
      <c r="P489" s="62">
        <v>25124.76</v>
      </c>
      <c r="R489" s="62">
        <v>5024.96</v>
      </c>
      <c r="S489" s="61">
        <v>0</v>
      </c>
      <c r="T489" s="62">
        <v>1426.13</v>
      </c>
    </row>
    <row r="490" spans="1:20" ht="11.1" customHeight="1" x14ac:dyDescent="0.25">
      <c r="O490" s="59" t="s">
        <v>436</v>
      </c>
      <c r="P490" s="62">
        <v>27504.22</v>
      </c>
      <c r="R490" s="62">
        <v>1426.13</v>
      </c>
      <c r="S490" s="61">
        <v>0</v>
      </c>
      <c r="T490" s="62">
        <v>0</v>
      </c>
    </row>
    <row r="491" spans="1:20" ht="11.1" customHeight="1" x14ac:dyDescent="0.25">
      <c r="A491" s="56">
        <v>108615</v>
      </c>
      <c r="B491" s="72">
        <v>46029</v>
      </c>
      <c r="C491" s="68">
        <v>46029</v>
      </c>
      <c r="D491" s="58" t="s">
        <v>933</v>
      </c>
      <c r="E491" s="59" t="s">
        <v>352</v>
      </c>
      <c r="F491" s="56">
        <v>36</v>
      </c>
      <c r="G491" s="73">
        <v>275</v>
      </c>
      <c r="H491" s="74" t="s">
        <v>934</v>
      </c>
      <c r="I491" s="59" t="s">
        <v>935</v>
      </c>
      <c r="J491" s="59" t="s">
        <v>936</v>
      </c>
      <c r="K491" s="69">
        <v>5102</v>
      </c>
      <c r="L491" s="56">
        <v>205</v>
      </c>
      <c r="M491" s="59" t="s">
        <v>26</v>
      </c>
      <c r="N491" s="61">
        <v>2196</v>
      </c>
      <c r="O491" s="59" t="s">
        <v>313</v>
      </c>
      <c r="P491" s="62">
        <v>2196</v>
      </c>
      <c r="Q491" s="63">
        <v>20</v>
      </c>
      <c r="R491" s="62">
        <v>439.2</v>
      </c>
      <c r="S491" s="61">
        <v>0</v>
      </c>
      <c r="T491" s="62">
        <v>0</v>
      </c>
    </row>
    <row r="492" spans="1:20" ht="11.1" customHeight="1" x14ac:dyDescent="0.25">
      <c r="A492" s="56">
        <v>108733</v>
      </c>
      <c r="B492" s="72">
        <v>46031</v>
      </c>
      <c r="C492" s="68">
        <v>46031</v>
      </c>
      <c r="D492" s="58" t="s">
        <v>937</v>
      </c>
      <c r="E492" s="59" t="s">
        <v>352</v>
      </c>
      <c r="F492" s="56">
        <v>36</v>
      </c>
      <c r="G492" s="73">
        <v>275</v>
      </c>
      <c r="H492" s="74" t="s">
        <v>934</v>
      </c>
      <c r="I492" s="59" t="s">
        <v>935</v>
      </c>
      <c r="J492" s="59" t="s">
        <v>936</v>
      </c>
      <c r="K492" s="69">
        <v>5102</v>
      </c>
      <c r="L492" s="56">
        <v>205</v>
      </c>
      <c r="M492" s="59" t="s">
        <v>26</v>
      </c>
      <c r="N492" s="61">
        <v>217.07</v>
      </c>
      <c r="O492" s="59" t="s">
        <v>313</v>
      </c>
      <c r="P492" s="62">
        <v>217.07</v>
      </c>
      <c r="Q492" s="63">
        <v>20</v>
      </c>
      <c r="R492" s="62">
        <v>43.41</v>
      </c>
      <c r="S492" s="61">
        <v>0</v>
      </c>
      <c r="T492" s="62">
        <v>0</v>
      </c>
    </row>
    <row r="493" spans="1:20" ht="11.1" customHeight="1" x14ac:dyDescent="0.25">
      <c r="A493" s="56">
        <v>108734</v>
      </c>
      <c r="B493" s="72">
        <v>46031</v>
      </c>
      <c r="C493" s="68">
        <v>46031</v>
      </c>
      <c r="D493" s="58" t="s">
        <v>937</v>
      </c>
      <c r="E493" s="59" t="s">
        <v>352</v>
      </c>
      <c r="F493" s="56">
        <v>36</v>
      </c>
      <c r="G493" s="73">
        <v>275</v>
      </c>
      <c r="H493" s="74" t="s">
        <v>934</v>
      </c>
      <c r="I493" s="59" t="s">
        <v>935</v>
      </c>
      <c r="J493" s="59" t="s">
        <v>936</v>
      </c>
      <c r="K493" s="69">
        <v>5403</v>
      </c>
      <c r="L493" s="56">
        <v>207</v>
      </c>
      <c r="M493" s="59" t="s">
        <v>26</v>
      </c>
      <c r="N493" s="61">
        <v>122.62</v>
      </c>
      <c r="O493" s="59" t="s">
        <v>313</v>
      </c>
      <c r="P493" s="62">
        <v>114.6</v>
      </c>
      <c r="Q493" s="63">
        <v>20</v>
      </c>
      <c r="R493" s="62">
        <v>22.92</v>
      </c>
      <c r="S493" s="61">
        <v>0</v>
      </c>
      <c r="T493" s="62">
        <v>8.02</v>
      </c>
    </row>
    <row r="494" spans="1:20" ht="11.1" customHeight="1" x14ac:dyDescent="0.25">
      <c r="O494" s="59" t="s">
        <v>436</v>
      </c>
      <c r="P494" s="62">
        <v>154.71</v>
      </c>
      <c r="Q494" s="63">
        <v>20</v>
      </c>
      <c r="R494" s="62">
        <v>8.02</v>
      </c>
      <c r="S494" s="61">
        <v>0</v>
      </c>
      <c r="T494" s="62">
        <v>0</v>
      </c>
    </row>
    <row r="495" spans="1:20" ht="11.1" customHeight="1" x14ac:dyDescent="0.25">
      <c r="A495" s="56">
        <v>108815</v>
      </c>
      <c r="B495" s="72">
        <v>46035</v>
      </c>
      <c r="C495" s="68">
        <v>46035</v>
      </c>
      <c r="D495" s="58" t="s">
        <v>938</v>
      </c>
      <c r="E495" s="59" t="s">
        <v>352</v>
      </c>
      <c r="F495" s="56">
        <v>36</v>
      </c>
      <c r="G495" s="73">
        <v>275</v>
      </c>
      <c r="H495" s="74" t="s">
        <v>934</v>
      </c>
      <c r="I495" s="59" t="s">
        <v>935</v>
      </c>
      <c r="J495" s="59" t="s">
        <v>936</v>
      </c>
      <c r="K495" s="69">
        <v>5102</v>
      </c>
      <c r="L495" s="56">
        <v>205</v>
      </c>
      <c r="M495" s="59" t="s">
        <v>26</v>
      </c>
      <c r="N495" s="61">
        <v>381.36</v>
      </c>
      <c r="O495" s="59" t="s">
        <v>313</v>
      </c>
      <c r="P495" s="62">
        <v>381.36</v>
      </c>
      <c r="Q495" s="63">
        <v>20</v>
      </c>
      <c r="R495" s="62">
        <v>76.27</v>
      </c>
      <c r="S495" s="61">
        <v>0</v>
      </c>
      <c r="T495" s="62">
        <v>0</v>
      </c>
    </row>
    <row r="496" spans="1:20" ht="11.1" customHeight="1" x14ac:dyDescent="0.25">
      <c r="A496" s="56">
        <v>108816</v>
      </c>
      <c r="B496" s="72">
        <v>46035</v>
      </c>
      <c r="C496" s="68">
        <v>46035</v>
      </c>
      <c r="D496" s="58" t="s">
        <v>938</v>
      </c>
      <c r="E496" s="59" t="s">
        <v>352</v>
      </c>
      <c r="F496" s="56">
        <v>36</v>
      </c>
      <c r="G496" s="73">
        <v>275</v>
      </c>
      <c r="H496" s="74" t="s">
        <v>934</v>
      </c>
      <c r="I496" s="59" t="s">
        <v>935</v>
      </c>
      <c r="J496" s="59" t="s">
        <v>936</v>
      </c>
      <c r="K496" s="69">
        <v>5403</v>
      </c>
      <c r="L496" s="56">
        <v>207</v>
      </c>
      <c r="M496" s="59" t="s">
        <v>26</v>
      </c>
      <c r="N496" s="61">
        <v>296.16000000000003</v>
      </c>
      <c r="O496" s="59" t="s">
        <v>313</v>
      </c>
      <c r="P496" s="62">
        <v>276.79000000000002</v>
      </c>
      <c r="Q496" s="63">
        <v>20</v>
      </c>
      <c r="R496" s="62">
        <v>55.36</v>
      </c>
      <c r="S496" s="61">
        <v>0</v>
      </c>
      <c r="T496" s="62">
        <v>19.37</v>
      </c>
    </row>
    <row r="497" spans="1:20" ht="11.1" customHeight="1" x14ac:dyDescent="0.25">
      <c r="O497" s="59" t="s">
        <v>436</v>
      </c>
      <c r="P497" s="62">
        <v>373.67</v>
      </c>
      <c r="Q497" s="63">
        <v>20</v>
      </c>
      <c r="R497" s="62">
        <v>19.37</v>
      </c>
      <c r="S497" s="61">
        <v>0</v>
      </c>
      <c r="T497" s="62">
        <v>0</v>
      </c>
    </row>
    <row r="498" spans="1:20" ht="11.1" customHeight="1" x14ac:dyDescent="0.25">
      <c r="A498" s="56">
        <v>109048</v>
      </c>
      <c r="B498" s="72">
        <v>46038</v>
      </c>
      <c r="C498" s="68">
        <v>46038</v>
      </c>
      <c r="D498" s="58" t="s">
        <v>939</v>
      </c>
      <c r="E498" s="59" t="s">
        <v>352</v>
      </c>
      <c r="F498" s="56">
        <v>36</v>
      </c>
      <c r="G498" s="73">
        <v>275</v>
      </c>
      <c r="H498" s="74" t="s">
        <v>934</v>
      </c>
      <c r="I498" s="59" t="s">
        <v>935</v>
      </c>
      <c r="J498" s="59" t="s">
        <v>936</v>
      </c>
      <c r="K498" s="69">
        <v>5102</v>
      </c>
      <c r="L498" s="56">
        <v>205</v>
      </c>
      <c r="M498" s="59" t="s">
        <v>26</v>
      </c>
      <c r="N498" s="61">
        <v>155.35</v>
      </c>
      <c r="O498" s="59" t="s">
        <v>313</v>
      </c>
      <c r="P498" s="62">
        <v>155.35</v>
      </c>
      <c r="Q498" s="63">
        <v>20</v>
      </c>
      <c r="R498" s="62">
        <v>31.07</v>
      </c>
      <c r="S498" s="61">
        <v>0</v>
      </c>
      <c r="T498" s="62">
        <v>0</v>
      </c>
    </row>
    <row r="499" spans="1:20" ht="11.1" customHeight="1" x14ac:dyDescent="0.25">
      <c r="A499" s="56">
        <v>109049</v>
      </c>
      <c r="B499" s="72">
        <v>46038</v>
      </c>
      <c r="C499" s="68">
        <v>46038</v>
      </c>
      <c r="D499" s="58" t="s">
        <v>939</v>
      </c>
      <c r="E499" s="59" t="s">
        <v>352</v>
      </c>
      <c r="F499" s="56">
        <v>36</v>
      </c>
      <c r="G499" s="73">
        <v>275</v>
      </c>
      <c r="H499" s="74" t="s">
        <v>934</v>
      </c>
      <c r="I499" s="59" t="s">
        <v>935</v>
      </c>
      <c r="J499" s="59" t="s">
        <v>936</v>
      </c>
      <c r="K499" s="69">
        <v>5403</v>
      </c>
      <c r="L499" s="56">
        <v>207</v>
      </c>
      <c r="M499" s="59" t="s">
        <v>26</v>
      </c>
      <c r="N499" s="61">
        <v>109.49</v>
      </c>
      <c r="O499" s="59" t="s">
        <v>313</v>
      </c>
      <c r="P499" s="62">
        <v>102.32</v>
      </c>
      <c r="Q499" s="63">
        <v>20</v>
      </c>
      <c r="R499" s="62">
        <v>20.46</v>
      </c>
      <c r="S499" s="61">
        <v>0</v>
      </c>
      <c r="T499" s="62">
        <v>7.17</v>
      </c>
    </row>
    <row r="500" spans="1:20" ht="11.1" customHeight="1" x14ac:dyDescent="0.25">
      <c r="O500" s="59" t="s">
        <v>436</v>
      </c>
      <c r="P500" s="62">
        <v>138.13</v>
      </c>
      <c r="Q500" s="63">
        <v>20</v>
      </c>
      <c r="R500" s="62">
        <v>7.17</v>
      </c>
      <c r="S500" s="61">
        <v>0</v>
      </c>
      <c r="T500" s="62">
        <v>0</v>
      </c>
    </row>
    <row r="501" spans="1:20" ht="11.1" customHeight="1" x14ac:dyDescent="0.25">
      <c r="A501" s="56">
        <v>109128</v>
      </c>
      <c r="B501" s="72">
        <v>46041</v>
      </c>
      <c r="C501" s="68">
        <v>46041</v>
      </c>
      <c r="D501" s="58" t="s">
        <v>940</v>
      </c>
      <c r="E501" s="59" t="s">
        <v>352</v>
      </c>
      <c r="F501" s="56">
        <v>36</v>
      </c>
      <c r="G501" s="73">
        <v>275</v>
      </c>
      <c r="H501" s="74" t="s">
        <v>934</v>
      </c>
      <c r="I501" s="59" t="s">
        <v>935</v>
      </c>
      <c r="J501" s="59" t="s">
        <v>936</v>
      </c>
      <c r="K501" s="69">
        <v>5403</v>
      </c>
      <c r="L501" s="56">
        <v>207</v>
      </c>
      <c r="M501" s="59" t="s">
        <v>26</v>
      </c>
      <c r="N501" s="61">
        <v>523.35</v>
      </c>
      <c r="O501" s="59" t="s">
        <v>313</v>
      </c>
      <c r="P501" s="62">
        <v>489.12</v>
      </c>
      <c r="Q501" s="63">
        <v>20</v>
      </c>
      <c r="R501" s="62">
        <v>97.83</v>
      </c>
      <c r="S501" s="61">
        <v>0</v>
      </c>
      <c r="T501" s="62">
        <v>34.229999999999997</v>
      </c>
    </row>
    <row r="502" spans="1:20" ht="11.1" customHeight="1" x14ac:dyDescent="0.25">
      <c r="O502" s="59" t="s">
        <v>436</v>
      </c>
      <c r="P502" s="62">
        <v>660.31</v>
      </c>
      <c r="Q502" s="63">
        <v>20</v>
      </c>
      <c r="R502" s="62">
        <v>34.229999999999997</v>
      </c>
      <c r="S502" s="61">
        <v>0</v>
      </c>
      <c r="T502" s="62">
        <v>0</v>
      </c>
    </row>
    <row r="503" spans="1:20" ht="11.1" customHeight="1" x14ac:dyDescent="0.25">
      <c r="A503" s="56">
        <v>109230</v>
      </c>
      <c r="B503" s="72">
        <v>46043</v>
      </c>
      <c r="C503" s="68">
        <v>46043</v>
      </c>
      <c r="D503" s="58" t="s">
        <v>941</v>
      </c>
      <c r="E503" s="59" t="s">
        <v>352</v>
      </c>
      <c r="F503" s="56">
        <v>36</v>
      </c>
      <c r="G503" s="73">
        <v>275</v>
      </c>
      <c r="H503" s="74" t="s">
        <v>934</v>
      </c>
      <c r="I503" s="59" t="s">
        <v>935</v>
      </c>
      <c r="J503" s="59" t="s">
        <v>936</v>
      </c>
      <c r="K503" s="69">
        <v>5102</v>
      </c>
      <c r="L503" s="56">
        <v>205</v>
      </c>
      <c r="M503" s="59" t="s">
        <v>26</v>
      </c>
      <c r="N503" s="61">
        <v>350.55</v>
      </c>
      <c r="O503" s="59" t="s">
        <v>313</v>
      </c>
      <c r="P503" s="62">
        <v>350.55</v>
      </c>
      <c r="Q503" s="63">
        <v>20</v>
      </c>
      <c r="R503" s="62">
        <v>70.11</v>
      </c>
      <c r="S503" s="61">
        <v>0</v>
      </c>
      <c r="T503" s="62">
        <v>0</v>
      </c>
    </row>
    <row r="504" spans="1:20" ht="11.1" customHeight="1" x14ac:dyDescent="0.25">
      <c r="A504" s="56">
        <v>109231</v>
      </c>
      <c r="B504" s="72">
        <v>46043</v>
      </c>
      <c r="C504" s="68">
        <v>46043</v>
      </c>
      <c r="D504" s="58" t="s">
        <v>941</v>
      </c>
      <c r="E504" s="59" t="s">
        <v>352</v>
      </c>
      <c r="F504" s="56">
        <v>36</v>
      </c>
      <c r="G504" s="73">
        <v>275</v>
      </c>
      <c r="H504" s="74" t="s">
        <v>934</v>
      </c>
      <c r="I504" s="59" t="s">
        <v>935</v>
      </c>
      <c r="J504" s="59" t="s">
        <v>936</v>
      </c>
      <c r="K504" s="69">
        <v>5403</v>
      </c>
      <c r="L504" s="56">
        <v>207</v>
      </c>
      <c r="M504" s="59" t="s">
        <v>26</v>
      </c>
      <c r="N504" s="61">
        <v>73.19</v>
      </c>
      <c r="O504" s="59" t="s">
        <v>313</v>
      </c>
      <c r="P504" s="62">
        <v>68.400000000000006</v>
      </c>
      <c r="Q504" s="63">
        <v>20</v>
      </c>
      <c r="R504" s="62">
        <v>13.68</v>
      </c>
      <c r="S504" s="61">
        <v>0</v>
      </c>
      <c r="T504" s="62">
        <v>4.79</v>
      </c>
    </row>
    <row r="505" spans="1:20" ht="11.1" customHeight="1" x14ac:dyDescent="0.25">
      <c r="O505" s="59" t="s">
        <v>436</v>
      </c>
      <c r="P505" s="62">
        <v>92.34</v>
      </c>
      <c r="Q505" s="63">
        <v>20</v>
      </c>
      <c r="R505" s="62">
        <v>4.79</v>
      </c>
      <c r="S505" s="61">
        <v>0</v>
      </c>
      <c r="T505" s="62">
        <v>0</v>
      </c>
    </row>
    <row r="506" spans="1:20" ht="11.1" customHeight="1" x14ac:dyDescent="0.25">
      <c r="A506" s="56">
        <v>109563</v>
      </c>
      <c r="B506" s="72">
        <v>46050</v>
      </c>
      <c r="C506" s="68">
        <v>46050</v>
      </c>
      <c r="D506" s="58" t="s">
        <v>942</v>
      </c>
      <c r="E506" s="59" t="s">
        <v>352</v>
      </c>
      <c r="F506" s="56">
        <v>36</v>
      </c>
      <c r="G506" s="73">
        <v>275</v>
      </c>
      <c r="H506" s="74" t="s">
        <v>934</v>
      </c>
      <c r="I506" s="59" t="s">
        <v>935</v>
      </c>
      <c r="J506" s="59" t="s">
        <v>936</v>
      </c>
      <c r="K506" s="69">
        <v>5403</v>
      </c>
      <c r="L506" s="56">
        <v>207</v>
      </c>
      <c r="M506" s="59" t="s">
        <v>26</v>
      </c>
      <c r="N506" s="61">
        <v>1283.57</v>
      </c>
      <c r="O506" s="59" t="s">
        <v>313</v>
      </c>
      <c r="P506" s="62">
        <v>1199.5999999999999</v>
      </c>
      <c r="Q506" s="63">
        <v>20</v>
      </c>
      <c r="R506" s="62">
        <v>239.92</v>
      </c>
      <c r="S506" s="61">
        <v>0</v>
      </c>
      <c r="T506" s="62">
        <v>83.97</v>
      </c>
    </row>
    <row r="507" spans="1:20" ht="11.1" customHeight="1" x14ac:dyDescent="0.25">
      <c r="O507" s="59" t="s">
        <v>436</v>
      </c>
      <c r="P507" s="62">
        <v>1619.46</v>
      </c>
      <c r="Q507" s="63">
        <v>20</v>
      </c>
      <c r="R507" s="62">
        <v>83.97</v>
      </c>
      <c r="S507" s="61">
        <v>0</v>
      </c>
      <c r="T507" s="62">
        <v>0</v>
      </c>
    </row>
    <row r="508" spans="1:20" ht="11.1" customHeight="1" x14ac:dyDescent="0.25">
      <c r="A508" s="56">
        <v>109618</v>
      </c>
      <c r="B508" s="72">
        <v>46051</v>
      </c>
      <c r="C508" s="68">
        <v>46051</v>
      </c>
      <c r="D508" s="58" t="s">
        <v>943</v>
      </c>
      <c r="E508" s="59" t="s">
        <v>352</v>
      </c>
      <c r="F508" s="56">
        <v>36</v>
      </c>
      <c r="G508" s="73">
        <v>275</v>
      </c>
      <c r="H508" s="74" t="s">
        <v>934</v>
      </c>
      <c r="I508" s="59" t="s">
        <v>935</v>
      </c>
      <c r="J508" s="59" t="s">
        <v>936</v>
      </c>
      <c r="K508" s="69">
        <v>5403</v>
      </c>
      <c r="L508" s="56">
        <v>207</v>
      </c>
      <c r="M508" s="59" t="s">
        <v>26</v>
      </c>
      <c r="N508" s="61">
        <v>770.15</v>
      </c>
      <c r="O508" s="59" t="s">
        <v>313</v>
      </c>
      <c r="P508" s="62">
        <v>719.76</v>
      </c>
      <c r="Q508" s="63">
        <v>20</v>
      </c>
      <c r="R508" s="62">
        <v>143.94999999999999</v>
      </c>
      <c r="S508" s="61">
        <v>0</v>
      </c>
      <c r="T508" s="62">
        <v>50.39</v>
      </c>
    </row>
    <row r="509" spans="1:20" ht="11.1" customHeight="1" x14ac:dyDescent="0.25">
      <c r="O509" s="59" t="s">
        <v>436</v>
      </c>
      <c r="P509" s="62">
        <v>971.67</v>
      </c>
      <c r="Q509" s="63">
        <v>20</v>
      </c>
      <c r="R509" s="62">
        <v>50.39</v>
      </c>
      <c r="S509" s="61">
        <v>0</v>
      </c>
      <c r="T509" s="62">
        <v>0</v>
      </c>
    </row>
    <row r="510" spans="1:20" ht="11.1" customHeight="1" x14ac:dyDescent="0.25">
      <c r="A510" s="56">
        <v>109696</v>
      </c>
      <c r="B510" s="72">
        <v>46052</v>
      </c>
      <c r="C510" s="68">
        <v>46052</v>
      </c>
      <c r="D510" s="58" t="s">
        <v>944</v>
      </c>
      <c r="E510" s="59" t="s">
        <v>352</v>
      </c>
      <c r="F510" s="56">
        <v>36</v>
      </c>
      <c r="G510" s="73">
        <v>275</v>
      </c>
      <c r="H510" s="74" t="s">
        <v>934</v>
      </c>
      <c r="I510" s="59" t="s">
        <v>935</v>
      </c>
      <c r="J510" s="59" t="s">
        <v>936</v>
      </c>
      <c r="K510" s="69">
        <v>5403</v>
      </c>
      <c r="L510" s="56">
        <v>207</v>
      </c>
      <c r="M510" s="59" t="s">
        <v>26</v>
      </c>
      <c r="N510" s="61">
        <v>962.68</v>
      </c>
      <c r="O510" s="59" t="s">
        <v>313</v>
      </c>
      <c r="P510" s="62">
        <v>899.7</v>
      </c>
      <c r="Q510" s="63">
        <v>20</v>
      </c>
      <c r="R510" s="62">
        <v>179.94</v>
      </c>
      <c r="S510" s="61">
        <v>0</v>
      </c>
      <c r="T510" s="62">
        <v>62.98</v>
      </c>
    </row>
    <row r="511" spans="1:20" ht="11.1" customHeight="1" x14ac:dyDescent="0.25">
      <c r="O511" s="59" t="s">
        <v>436</v>
      </c>
      <c r="P511" s="62">
        <v>1214.5999999999999</v>
      </c>
      <c r="Q511" s="63">
        <v>20</v>
      </c>
      <c r="R511" s="62">
        <v>62.98</v>
      </c>
      <c r="S511" s="61">
        <v>0</v>
      </c>
      <c r="T511" s="62">
        <v>0</v>
      </c>
    </row>
    <row r="512" spans="1:20" ht="11.1" customHeight="1" x14ac:dyDescent="0.25">
      <c r="A512" s="56">
        <v>109717</v>
      </c>
      <c r="B512" s="72">
        <v>46043</v>
      </c>
      <c r="C512" s="68">
        <v>46043</v>
      </c>
      <c r="D512" s="58" t="s">
        <v>945</v>
      </c>
      <c r="E512" s="59" t="s">
        <v>352</v>
      </c>
      <c r="F512" s="56">
        <v>36</v>
      </c>
      <c r="G512" s="73">
        <v>275</v>
      </c>
      <c r="H512" s="74" t="s">
        <v>934</v>
      </c>
      <c r="I512" s="59" t="s">
        <v>935</v>
      </c>
      <c r="J512" s="59" t="s">
        <v>936</v>
      </c>
      <c r="K512" s="69">
        <v>5102</v>
      </c>
      <c r="L512" s="56">
        <v>205</v>
      </c>
      <c r="M512" s="59" t="s">
        <v>26</v>
      </c>
      <c r="N512" s="61">
        <v>0</v>
      </c>
      <c r="O512" s="59" t="s">
        <v>313</v>
      </c>
      <c r="P512" s="62">
        <v>0</v>
      </c>
      <c r="Q512" s="63">
        <v>0</v>
      </c>
      <c r="R512" s="62">
        <v>0</v>
      </c>
      <c r="S512" s="61">
        <v>0</v>
      </c>
      <c r="T512" s="62">
        <v>0</v>
      </c>
    </row>
    <row r="513" spans="1:20" ht="11.1" customHeight="1" x14ac:dyDescent="0.25">
      <c r="A513" s="56">
        <v>109718</v>
      </c>
      <c r="B513" s="72">
        <v>46043</v>
      </c>
      <c r="C513" s="68">
        <v>46043</v>
      </c>
      <c r="D513" s="58" t="s">
        <v>945</v>
      </c>
      <c r="E513" s="59" t="s">
        <v>352</v>
      </c>
      <c r="F513" s="56">
        <v>36</v>
      </c>
      <c r="G513" s="73">
        <v>275</v>
      </c>
      <c r="H513" s="74" t="s">
        <v>934</v>
      </c>
      <c r="I513" s="59" t="s">
        <v>935</v>
      </c>
      <c r="J513" s="59" t="s">
        <v>936</v>
      </c>
      <c r="K513" s="69">
        <v>5403</v>
      </c>
      <c r="L513" s="56">
        <v>207</v>
      </c>
      <c r="M513" s="59" t="s">
        <v>26</v>
      </c>
      <c r="N513" s="61">
        <v>0</v>
      </c>
      <c r="O513" s="59" t="s">
        <v>313</v>
      </c>
      <c r="P513" s="62">
        <v>0</v>
      </c>
      <c r="Q513" s="63">
        <v>0</v>
      </c>
      <c r="R513" s="62">
        <v>0</v>
      </c>
      <c r="S513" s="61">
        <v>0</v>
      </c>
      <c r="T513" s="62">
        <v>0</v>
      </c>
    </row>
    <row r="514" spans="1:20" ht="11.1" customHeight="1" x14ac:dyDescent="0.25">
      <c r="O514" s="59" t="s">
        <v>436</v>
      </c>
      <c r="P514" s="62">
        <v>0</v>
      </c>
      <c r="Q514" s="63">
        <v>0</v>
      </c>
      <c r="R514" s="62">
        <v>0</v>
      </c>
      <c r="S514" s="61">
        <v>0</v>
      </c>
      <c r="T514" s="62">
        <v>0</v>
      </c>
    </row>
    <row r="515" spans="1:20" ht="11.85" customHeight="1" x14ac:dyDescent="0.25">
      <c r="A515" s="71" t="s">
        <v>620</v>
      </c>
      <c r="B515" s="71"/>
      <c r="C515" s="71"/>
      <c r="D515" s="71"/>
      <c r="E515" s="71"/>
      <c r="F515" s="71"/>
      <c r="G515" s="71"/>
      <c r="H515" s="71"/>
    </row>
    <row r="516" spans="1:20" ht="11.1" customHeight="1" x14ac:dyDescent="0.25">
      <c r="O516" s="59" t="s">
        <v>313</v>
      </c>
      <c r="P516" s="62">
        <v>7170.62</v>
      </c>
      <c r="R516" s="62">
        <v>1434.12</v>
      </c>
      <c r="S516" s="61">
        <v>0</v>
      </c>
      <c r="T516" s="62">
        <v>270.92</v>
      </c>
    </row>
    <row r="517" spans="1:20" ht="11.1" customHeight="1" x14ac:dyDescent="0.25">
      <c r="O517" s="59" t="s">
        <v>436</v>
      </c>
      <c r="P517" s="62">
        <v>5224.8900000000003</v>
      </c>
      <c r="R517" s="62">
        <v>270.92</v>
      </c>
      <c r="S517" s="61">
        <v>0</v>
      </c>
      <c r="T517" s="62">
        <v>0</v>
      </c>
    </row>
    <row r="518" spans="1:20" ht="11.1" customHeight="1" x14ac:dyDescent="0.25">
      <c r="A518" s="56">
        <v>108557</v>
      </c>
      <c r="B518" s="72">
        <v>46028</v>
      </c>
      <c r="C518" s="68">
        <v>46028</v>
      </c>
      <c r="D518" s="58" t="s">
        <v>946</v>
      </c>
      <c r="E518" s="59" t="s">
        <v>352</v>
      </c>
      <c r="F518" s="56">
        <v>36</v>
      </c>
      <c r="G518" s="73">
        <v>127</v>
      </c>
      <c r="H518" s="74" t="s">
        <v>947</v>
      </c>
      <c r="I518" s="59" t="s">
        <v>948</v>
      </c>
      <c r="J518" s="59" t="s">
        <v>949</v>
      </c>
      <c r="K518" s="69">
        <v>6403</v>
      </c>
      <c r="L518" s="56">
        <v>207</v>
      </c>
      <c r="M518" s="59" t="s">
        <v>34</v>
      </c>
      <c r="N518" s="61">
        <v>2368.81</v>
      </c>
      <c r="O518" s="59" t="s">
        <v>313</v>
      </c>
      <c r="P518" s="62">
        <v>2056.3200000000002</v>
      </c>
      <c r="Q518" s="63">
        <v>12</v>
      </c>
      <c r="R518" s="62">
        <v>246.76</v>
      </c>
      <c r="S518" s="61">
        <v>0</v>
      </c>
      <c r="T518" s="62">
        <v>312.49</v>
      </c>
    </row>
    <row r="519" spans="1:20" ht="11.1" customHeight="1" x14ac:dyDescent="0.25">
      <c r="O519" s="59" t="s">
        <v>436</v>
      </c>
      <c r="P519" s="62">
        <v>2943.42</v>
      </c>
      <c r="Q519" s="63">
        <v>19</v>
      </c>
      <c r="R519" s="62">
        <v>312.49</v>
      </c>
      <c r="S519" s="61">
        <v>0</v>
      </c>
      <c r="T519" s="62">
        <v>0</v>
      </c>
    </row>
    <row r="520" spans="1:20" ht="11.1" customHeight="1" x14ac:dyDescent="0.25">
      <c r="A520" s="56">
        <v>108558</v>
      </c>
      <c r="B520" s="72">
        <v>46028</v>
      </c>
      <c r="C520" s="68">
        <v>46028</v>
      </c>
      <c r="D520" s="58" t="s">
        <v>946</v>
      </c>
      <c r="E520" s="59" t="s">
        <v>352</v>
      </c>
      <c r="F520" s="56">
        <v>36</v>
      </c>
      <c r="G520" s="73">
        <v>127</v>
      </c>
      <c r="H520" s="74" t="s">
        <v>947</v>
      </c>
      <c r="I520" s="59" t="s">
        <v>948</v>
      </c>
      <c r="J520" s="59" t="s">
        <v>949</v>
      </c>
      <c r="K520" s="69">
        <v>6102</v>
      </c>
      <c r="L520" s="56">
        <v>238</v>
      </c>
      <c r="M520" s="59" t="s">
        <v>34</v>
      </c>
      <c r="N520" s="61">
        <v>1260</v>
      </c>
      <c r="O520" s="59" t="s">
        <v>313</v>
      </c>
      <c r="P520" s="62">
        <v>1260</v>
      </c>
      <c r="Q520" s="63">
        <v>12</v>
      </c>
      <c r="R520" s="62">
        <v>151.19999999999999</v>
      </c>
      <c r="S520" s="61">
        <v>0</v>
      </c>
      <c r="T520" s="62">
        <v>0</v>
      </c>
    </row>
    <row r="521" spans="1:20" ht="11.1" customHeight="1" x14ac:dyDescent="0.25">
      <c r="A521" s="56">
        <v>108613</v>
      </c>
      <c r="B521" s="72">
        <v>46029</v>
      </c>
      <c r="C521" s="68">
        <v>46029</v>
      </c>
      <c r="D521" s="58" t="s">
        <v>950</v>
      </c>
      <c r="E521" s="59" t="s">
        <v>352</v>
      </c>
      <c r="F521" s="56">
        <v>36</v>
      </c>
      <c r="G521" s="73">
        <v>127</v>
      </c>
      <c r="H521" s="74" t="s">
        <v>947</v>
      </c>
      <c r="I521" s="59" t="s">
        <v>948</v>
      </c>
      <c r="J521" s="59" t="s">
        <v>949</v>
      </c>
      <c r="K521" s="69">
        <v>6403</v>
      </c>
      <c r="L521" s="56">
        <v>207</v>
      </c>
      <c r="M521" s="59" t="s">
        <v>34</v>
      </c>
      <c r="N521" s="61">
        <v>2908</v>
      </c>
      <c r="O521" s="59" t="s">
        <v>313</v>
      </c>
      <c r="P521" s="62">
        <v>2524.37</v>
      </c>
      <c r="Q521" s="63">
        <v>12</v>
      </c>
      <c r="R521" s="62">
        <v>302.92</v>
      </c>
      <c r="S521" s="61">
        <v>0</v>
      </c>
      <c r="T521" s="62">
        <v>383.63</v>
      </c>
    </row>
    <row r="522" spans="1:20" ht="11.1" customHeight="1" x14ac:dyDescent="0.25">
      <c r="O522" s="59" t="s">
        <v>436</v>
      </c>
      <c r="P522" s="62">
        <v>3613.38</v>
      </c>
      <c r="Q522" s="63">
        <v>19</v>
      </c>
      <c r="R522" s="62">
        <v>383.63</v>
      </c>
      <c r="S522" s="61">
        <v>0</v>
      </c>
      <c r="T522" s="62">
        <v>0</v>
      </c>
    </row>
    <row r="523" spans="1:20" ht="11.1" customHeight="1" x14ac:dyDescent="0.25">
      <c r="A523" s="56">
        <v>108614</v>
      </c>
      <c r="B523" s="72">
        <v>46029</v>
      </c>
      <c r="C523" s="68">
        <v>46029</v>
      </c>
      <c r="D523" s="58" t="s">
        <v>950</v>
      </c>
      <c r="E523" s="59" t="s">
        <v>352</v>
      </c>
      <c r="F523" s="56">
        <v>36</v>
      </c>
      <c r="G523" s="73">
        <v>127</v>
      </c>
      <c r="H523" s="74" t="s">
        <v>947</v>
      </c>
      <c r="I523" s="59" t="s">
        <v>948</v>
      </c>
      <c r="J523" s="59" t="s">
        <v>949</v>
      </c>
      <c r="K523" s="69">
        <v>6102</v>
      </c>
      <c r="L523" s="56">
        <v>238</v>
      </c>
      <c r="M523" s="59" t="s">
        <v>34</v>
      </c>
      <c r="N523" s="61">
        <v>44.08</v>
      </c>
      <c r="O523" s="59" t="s">
        <v>313</v>
      </c>
      <c r="P523" s="62">
        <v>44.08</v>
      </c>
      <c r="Q523" s="63">
        <v>12</v>
      </c>
      <c r="R523" s="62">
        <v>5.29</v>
      </c>
      <c r="S523" s="61">
        <v>0</v>
      </c>
      <c r="T523" s="62">
        <v>0</v>
      </c>
    </row>
    <row r="524" spans="1:20" ht="11.1" customHeight="1" x14ac:dyDescent="0.25">
      <c r="A524" s="56">
        <v>108952</v>
      </c>
      <c r="B524" s="72">
        <v>46037</v>
      </c>
      <c r="C524" s="68">
        <v>46037</v>
      </c>
      <c r="D524" s="58" t="s">
        <v>951</v>
      </c>
      <c r="E524" s="59" t="s">
        <v>352</v>
      </c>
      <c r="F524" s="56">
        <v>36</v>
      </c>
      <c r="G524" s="73">
        <v>127</v>
      </c>
      <c r="H524" s="74" t="s">
        <v>947</v>
      </c>
      <c r="I524" s="59" t="s">
        <v>948</v>
      </c>
      <c r="J524" s="59" t="s">
        <v>949</v>
      </c>
      <c r="K524" s="69">
        <v>6910</v>
      </c>
      <c r="L524" s="56">
        <v>208</v>
      </c>
      <c r="M524" s="59" t="s">
        <v>34</v>
      </c>
      <c r="N524" s="61">
        <v>935.44</v>
      </c>
      <c r="O524" s="59" t="s">
        <v>313</v>
      </c>
      <c r="P524" s="62">
        <v>0</v>
      </c>
      <c r="Q524" s="63">
        <v>12</v>
      </c>
      <c r="R524" s="62">
        <v>0</v>
      </c>
      <c r="S524" s="61">
        <v>0</v>
      </c>
      <c r="T524" s="62">
        <v>935.44</v>
      </c>
    </row>
    <row r="525" spans="1:20" ht="11.1" customHeight="1" x14ac:dyDescent="0.25">
      <c r="A525" s="56">
        <v>109288</v>
      </c>
      <c r="B525" s="72">
        <v>46044</v>
      </c>
      <c r="C525" s="68">
        <v>46044</v>
      </c>
      <c r="D525" s="58" t="s">
        <v>952</v>
      </c>
      <c r="E525" s="59" t="s">
        <v>352</v>
      </c>
      <c r="F525" s="56">
        <v>36</v>
      </c>
      <c r="G525" s="73">
        <v>127</v>
      </c>
      <c r="H525" s="74" t="s">
        <v>947</v>
      </c>
      <c r="I525" s="59" t="s">
        <v>948</v>
      </c>
      <c r="J525" s="59" t="s">
        <v>949</v>
      </c>
      <c r="K525" s="69">
        <v>6102</v>
      </c>
      <c r="L525" s="56">
        <v>238</v>
      </c>
      <c r="M525" s="59" t="s">
        <v>34</v>
      </c>
      <c r="N525" s="61">
        <v>797.8</v>
      </c>
      <c r="O525" s="59" t="s">
        <v>313</v>
      </c>
      <c r="P525" s="62">
        <v>797.8</v>
      </c>
      <c r="Q525" s="63">
        <v>12</v>
      </c>
      <c r="R525" s="62">
        <v>95.74</v>
      </c>
      <c r="S525" s="61">
        <v>0</v>
      </c>
      <c r="T525" s="62">
        <v>0</v>
      </c>
    </row>
    <row r="526" spans="1:20" ht="11.1" customHeight="1" x14ac:dyDescent="0.25">
      <c r="A526" s="56">
        <v>109681</v>
      </c>
      <c r="B526" s="72">
        <v>46052</v>
      </c>
      <c r="C526" s="68">
        <v>46052</v>
      </c>
      <c r="D526" s="58" t="s">
        <v>953</v>
      </c>
      <c r="E526" s="59" t="s">
        <v>352</v>
      </c>
      <c r="F526" s="56">
        <v>36</v>
      </c>
      <c r="G526" s="73">
        <v>127</v>
      </c>
      <c r="H526" s="74" t="s">
        <v>947</v>
      </c>
      <c r="I526" s="59" t="s">
        <v>948</v>
      </c>
      <c r="J526" s="59" t="s">
        <v>949</v>
      </c>
      <c r="K526" s="69">
        <v>6102</v>
      </c>
      <c r="L526" s="56">
        <v>238</v>
      </c>
      <c r="M526" s="59" t="s">
        <v>34</v>
      </c>
      <c r="N526" s="61">
        <v>868.68</v>
      </c>
      <c r="O526" s="59" t="s">
        <v>313</v>
      </c>
      <c r="P526" s="62">
        <v>868.68</v>
      </c>
      <c r="Q526" s="63">
        <v>12</v>
      </c>
      <c r="R526" s="62">
        <v>104.24</v>
      </c>
      <c r="S526" s="61">
        <v>0</v>
      </c>
      <c r="T526" s="62">
        <v>0</v>
      </c>
    </row>
    <row r="527" spans="1:20" ht="11.85" customHeight="1" x14ac:dyDescent="0.25">
      <c r="A527" s="71" t="s">
        <v>620</v>
      </c>
      <c r="B527" s="71"/>
      <c r="C527" s="71"/>
      <c r="D527" s="71"/>
      <c r="E527" s="71"/>
      <c r="F527" s="71"/>
      <c r="G527" s="71"/>
      <c r="H527" s="71"/>
    </row>
    <row r="528" spans="1:20" ht="11.1" customHeight="1" x14ac:dyDescent="0.25">
      <c r="O528" s="59" t="s">
        <v>313</v>
      </c>
      <c r="P528" s="62">
        <v>7551.25</v>
      </c>
      <c r="R528" s="62">
        <v>906.15</v>
      </c>
      <c r="S528" s="61">
        <v>0</v>
      </c>
      <c r="T528" s="62">
        <v>1631.56</v>
      </c>
    </row>
    <row r="529" spans="1:20" ht="11.1" customHeight="1" x14ac:dyDescent="0.25">
      <c r="O529" s="59" t="s">
        <v>436</v>
      </c>
      <c r="P529" s="62">
        <v>6556.8</v>
      </c>
      <c r="R529" s="62">
        <v>696.12</v>
      </c>
      <c r="S529" s="61">
        <v>0</v>
      </c>
      <c r="T529" s="62">
        <v>0</v>
      </c>
    </row>
    <row r="530" spans="1:20" ht="11.1" customHeight="1" x14ac:dyDescent="0.25">
      <c r="A530" s="56">
        <v>108391</v>
      </c>
      <c r="B530" s="72">
        <v>46024</v>
      </c>
      <c r="C530" s="68">
        <v>46024</v>
      </c>
      <c r="D530" s="58" t="s">
        <v>954</v>
      </c>
      <c r="E530" s="59" t="s">
        <v>352</v>
      </c>
      <c r="F530" s="56">
        <v>36</v>
      </c>
      <c r="G530" s="73">
        <v>60</v>
      </c>
      <c r="H530" s="74" t="s">
        <v>955</v>
      </c>
      <c r="I530" s="59" t="s">
        <v>956</v>
      </c>
      <c r="J530" s="59" t="s">
        <v>957</v>
      </c>
      <c r="K530" s="69">
        <v>5102</v>
      </c>
      <c r="L530" s="56">
        <v>205</v>
      </c>
      <c r="M530" s="59" t="s">
        <v>26</v>
      </c>
      <c r="N530" s="61">
        <v>9737.25</v>
      </c>
      <c r="O530" s="59" t="s">
        <v>313</v>
      </c>
      <c r="P530" s="62">
        <v>236.4</v>
      </c>
      <c r="Q530" s="63">
        <v>12</v>
      </c>
      <c r="R530" s="62">
        <v>28.37</v>
      </c>
      <c r="S530" s="61">
        <v>0</v>
      </c>
      <c r="T530" s="62">
        <v>0</v>
      </c>
    </row>
    <row r="531" spans="1:20" ht="11.1" customHeight="1" x14ac:dyDescent="0.25">
      <c r="O531" s="59" t="s">
        <v>313</v>
      </c>
      <c r="P531" s="62">
        <v>9500.85</v>
      </c>
      <c r="Q531" s="63">
        <v>20</v>
      </c>
      <c r="R531" s="62">
        <v>1900.19</v>
      </c>
      <c r="S531" s="61">
        <v>0</v>
      </c>
      <c r="T531" s="62">
        <v>0</v>
      </c>
    </row>
    <row r="532" spans="1:20" ht="11.1" customHeight="1" x14ac:dyDescent="0.25">
      <c r="A532" s="56">
        <v>108392</v>
      </c>
      <c r="B532" s="72">
        <v>46024</v>
      </c>
      <c r="C532" s="68">
        <v>46024</v>
      </c>
      <c r="D532" s="58" t="s">
        <v>954</v>
      </c>
      <c r="E532" s="59" t="s">
        <v>352</v>
      </c>
      <c r="F532" s="56">
        <v>36</v>
      </c>
      <c r="G532" s="73">
        <v>60</v>
      </c>
      <c r="H532" s="74" t="s">
        <v>955</v>
      </c>
      <c r="I532" s="59" t="s">
        <v>956</v>
      </c>
      <c r="J532" s="59" t="s">
        <v>957</v>
      </c>
      <c r="K532" s="69">
        <v>5403</v>
      </c>
      <c r="L532" s="56">
        <v>207</v>
      </c>
      <c r="M532" s="59" t="s">
        <v>26</v>
      </c>
      <c r="N532" s="61">
        <v>6394.02</v>
      </c>
      <c r="O532" s="59" t="s">
        <v>313</v>
      </c>
      <c r="P532" s="62">
        <v>5975.73</v>
      </c>
      <c r="Q532" s="63">
        <v>20</v>
      </c>
      <c r="R532" s="62">
        <v>1195.1500000000001</v>
      </c>
      <c r="S532" s="61">
        <v>0</v>
      </c>
      <c r="T532" s="62">
        <v>418.29</v>
      </c>
    </row>
    <row r="533" spans="1:20" ht="11.1" customHeight="1" x14ac:dyDescent="0.25">
      <c r="O533" s="59" t="s">
        <v>436</v>
      </c>
      <c r="P533" s="62">
        <v>8067.23</v>
      </c>
      <c r="Q533" s="63">
        <v>20</v>
      </c>
      <c r="R533" s="62">
        <v>418.29</v>
      </c>
      <c r="S533" s="61">
        <v>0</v>
      </c>
      <c r="T533" s="62">
        <v>0</v>
      </c>
    </row>
    <row r="534" spans="1:20" ht="11.85" customHeight="1" x14ac:dyDescent="0.25">
      <c r="A534" s="71" t="s">
        <v>620</v>
      </c>
      <c r="B534" s="71"/>
      <c r="C534" s="71"/>
      <c r="D534" s="71"/>
      <c r="E534" s="71"/>
      <c r="F534" s="71"/>
      <c r="G534" s="71"/>
      <c r="H534" s="71"/>
    </row>
    <row r="535" spans="1:20" ht="11.1" customHeight="1" x14ac:dyDescent="0.25">
      <c r="O535" s="59" t="s">
        <v>313</v>
      </c>
      <c r="P535" s="62">
        <v>15712.98</v>
      </c>
      <c r="R535" s="62">
        <v>3123.71</v>
      </c>
      <c r="S535" s="61">
        <v>0</v>
      </c>
      <c r="T535" s="62">
        <v>418.29</v>
      </c>
    </row>
    <row r="536" spans="1:20" ht="11.1" customHeight="1" x14ac:dyDescent="0.25">
      <c r="O536" s="59" t="s">
        <v>436</v>
      </c>
      <c r="P536" s="62">
        <v>8067.23</v>
      </c>
      <c r="R536" s="62">
        <v>418.29</v>
      </c>
      <c r="S536" s="61">
        <v>0</v>
      </c>
      <c r="T536" s="62">
        <v>0</v>
      </c>
    </row>
    <row r="537" spans="1:20" ht="11.1" customHeight="1" x14ac:dyDescent="0.25">
      <c r="A537" s="56">
        <v>108402</v>
      </c>
      <c r="B537" s="72">
        <v>46024</v>
      </c>
      <c r="C537" s="68">
        <v>46024</v>
      </c>
      <c r="D537" s="58" t="s">
        <v>958</v>
      </c>
      <c r="E537" s="59" t="s">
        <v>352</v>
      </c>
      <c r="F537" s="56">
        <v>36</v>
      </c>
      <c r="G537" s="73">
        <v>90</v>
      </c>
      <c r="H537" s="74" t="s">
        <v>959</v>
      </c>
      <c r="I537" s="59" t="s">
        <v>960</v>
      </c>
      <c r="J537" s="59" t="s">
        <v>961</v>
      </c>
      <c r="K537" s="69">
        <v>5102</v>
      </c>
      <c r="L537" s="56">
        <v>205</v>
      </c>
      <c r="M537" s="59" t="s">
        <v>26</v>
      </c>
      <c r="N537" s="61">
        <v>19537.03</v>
      </c>
      <c r="O537" s="59" t="s">
        <v>313</v>
      </c>
      <c r="P537" s="62">
        <v>19537.03</v>
      </c>
      <c r="Q537" s="63">
        <v>20</v>
      </c>
      <c r="R537" s="62">
        <v>3907.44</v>
      </c>
      <c r="S537" s="61">
        <v>0</v>
      </c>
      <c r="T537" s="62">
        <v>0</v>
      </c>
    </row>
    <row r="538" spans="1:20" ht="11.1" customHeight="1" x14ac:dyDescent="0.25">
      <c r="A538" s="56">
        <v>108403</v>
      </c>
      <c r="B538" s="72">
        <v>46024</v>
      </c>
      <c r="C538" s="68">
        <v>46024</v>
      </c>
      <c r="D538" s="58" t="s">
        <v>958</v>
      </c>
      <c r="E538" s="59" t="s">
        <v>352</v>
      </c>
      <c r="F538" s="56">
        <v>36</v>
      </c>
      <c r="G538" s="73">
        <v>90</v>
      </c>
      <c r="H538" s="74" t="s">
        <v>959</v>
      </c>
      <c r="I538" s="59" t="s">
        <v>960</v>
      </c>
      <c r="J538" s="59" t="s">
        <v>961</v>
      </c>
      <c r="K538" s="69">
        <v>5405</v>
      </c>
      <c r="L538" s="56">
        <v>206</v>
      </c>
      <c r="M538" s="59" t="s">
        <v>26</v>
      </c>
      <c r="N538" s="61">
        <v>437.43</v>
      </c>
      <c r="O538" s="59" t="s">
        <v>313</v>
      </c>
      <c r="P538" s="62">
        <v>0</v>
      </c>
      <c r="Q538" s="63">
        <v>0</v>
      </c>
      <c r="R538" s="62">
        <v>0</v>
      </c>
      <c r="S538" s="61">
        <v>0</v>
      </c>
      <c r="T538" s="62">
        <v>437.43</v>
      </c>
    </row>
    <row r="539" spans="1:20" ht="11.1" customHeight="1" x14ac:dyDescent="0.25">
      <c r="A539" s="56">
        <v>108404</v>
      </c>
      <c r="B539" s="72">
        <v>46024</v>
      </c>
      <c r="C539" s="68">
        <v>46024</v>
      </c>
      <c r="D539" s="58" t="s">
        <v>958</v>
      </c>
      <c r="E539" s="59" t="s">
        <v>352</v>
      </c>
      <c r="F539" s="56">
        <v>36</v>
      </c>
      <c r="G539" s="73">
        <v>90</v>
      </c>
      <c r="H539" s="74" t="s">
        <v>959</v>
      </c>
      <c r="I539" s="59" t="s">
        <v>960</v>
      </c>
      <c r="J539" s="59" t="s">
        <v>961</v>
      </c>
      <c r="K539" s="69">
        <v>5403</v>
      </c>
      <c r="L539" s="56">
        <v>207</v>
      </c>
      <c r="M539" s="59" t="s">
        <v>26</v>
      </c>
      <c r="N539" s="61">
        <v>19765.05</v>
      </c>
      <c r="O539" s="59" t="s">
        <v>313</v>
      </c>
      <c r="P539" s="62">
        <v>18472.02</v>
      </c>
      <c r="Q539" s="63">
        <v>20</v>
      </c>
      <c r="R539" s="62">
        <v>3694.4</v>
      </c>
      <c r="S539" s="61">
        <v>0</v>
      </c>
      <c r="T539" s="62">
        <v>1293.03</v>
      </c>
    </row>
    <row r="540" spans="1:20" ht="11.1" customHeight="1" x14ac:dyDescent="0.25">
      <c r="O540" s="59" t="s">
        <v>436</v>
      </c>
      <c r="P540" s="62">
        <v>24937.23</v>
      </c>
      <c r="Q540" s="63">
        <v>20</v>
      </c>
      <c r="R540" s="62">
        <v>1293.03</v>
      </c>
      <c r="S540" s="61">
        <v>0</v>
      </c>
      <c r="T540" s="62">
        <v>0</v>
      </c>
    </row>
    <row r="541" spans="1:20" ht="11.1" customHeight="1" x14ac:dyDescent="0.25">
      <c r="A541" s="56">
        <v>109699</v>
      </c>
      <c r="B541" s="72">
        <v>46024</v>
      </c>
      <c r="C541" s="68">
        <v>46024</v>
      </c>
      <c r="D541" s="58" t="s">
        <v>962</v>
      </c>
      <c r="E541" s="59" t="s">
        <v>352</v>
      </c>
      <c r="F541" s="56">
        <v>36</v>
      </c>
      <c r="G541" s="73">
        <v>90</v>
      </c>
      <c r="H541" s="74" t="s">
        <v>959</v>
      </c>
      <c r="I541" s="59" t="s">
        <v>960</v>
      </c>
      <c r="J541" s="59" t="s">
        <v>961</v>
      </c>
      <c r="K541" s="69">
        <v>5102</v>
      </c>
      <c r="L541" s="56">
        <v>205</v>
      </c>
      <c r="M541" s="59" t="s">
        <v>26</v>
      </c>
      <c r="N541" s="61">
        <v>0</v>
      </c>
      <c r="O541" s="59" t="s">
        <v>313</v>
      </c>
      <c r="P541" s="62">
        <v>0</v>
      </c>
      <c r="Q541" s="63">
        <v>0</v>
      </c>
      <c r="R541" s="62">
        <v>0</v>
      </c>
      <c r="S541" s="61">
        <v>0</v>
      </c>
      <c r="T541" s="62">
        <v>0</v>
      </c>
    </row>
    <row r="542" spans="1:20" ht="11.1" customHeight="1" x14ac:dyDescent="0.25">
      <c r="A542" s="56">
        <v>109700</v>
      </c>
      <c r="B542" s="72">
        <v>46024</v>
      </c>
      <c r="C542" s="68">
        <v>46024</v>
      </c>
      <c r="D542" s="58" t="s">
        <v>962</v>
      </c>
      <c r="E542" s="59" t="s">
        <v>352</v>
      </c>
      <c r="F542" s="56">
        <v>36</v>
      </c>
      <c r="G542" s="73">
        <v>90</v>
      </c>
      <c r="H542" s="74" t="s">
        <v>959</v>
      </c>
      <c r="I542" s="59" t="s">
        <v>960</v>
      </c>
      <c r="J542" s="59" t="s">
        <v>961</v>
      </c>
      <c r="K542" s="69">
        <v>5405</v>
      </c>
      <c r="L542" s="56">
        <v>206</v>
      </c>
      <c r="M542" s="59" t="s">
        <v>26</v>
      </c>
      <c r="N542" s="61">
        <v>0</v>
      </c>
      <c r="O542" s="59" t="s">
        <v>313</v>
      </c>
      <c r="P542" s="62">
        <v>0</v>
      </c>
      <c r="Q542" s="63">
        <v>0</v>
      </c>
      <c r="R542" s="62">
        <v>0</v>
      </c>
      <c r="S542" s="61">
        <v>0</v>
      </c>
      <c r="T542" s="62">
        <v>0</v>
      </c>
    </row>
    <row r="543" spans="1:20" ht="11.1" customHeight="1" x14ac:dyDescent="0.25">
      <c r="A543" s="56">
        <v>109701</v>
      </c>
      <c r="B543" s="72">
        <v>46024</v>
      </c>
      <c r="C543" s="68">
        <v>46024</v>
      </c>
      <c r="D543" s="58" t="s">
        <v>962</v>
      </c>
      <c r="E543" s="59" t="s">
        <v>352</v>
      </c>
      <c r="F543" s="56">
        <v>36</v>
      </c>
      <c r="G543" s="73">
        <v>90</v>
      </c>
      <c r="H543" s="74" t="s">
        <v>959</v>
      </c>
      <c r="I543" s="59" t="s">
        <v>960</v>
      </c>
      <c r="J543" s="59" t="s">
        <v>961</v>
      </c>
      <c r="K543" s="69">
        <v>5403</v>
      </c>
      <c r="L543" s="56">
        <v>207</v>
      </c>
      <c r="M543" s="59" t="s">
        <v>26</v>
      </c>
      <c r="N543" s="61">
        <v>0</v>
      </c>
      <c r="O543" s="59" t="s">
        <v>313</v>
      </c>
      <c r="P543" s="62">
        <v>0</v>
      </c>
      <c r="Q543" s="63">
        <v>0</v>
      </c>
      <c r="R543" s="62">
        <v>0</v>
      </c>
      <c r="S543" s="61">
        <v>0</v>
      </c>
      <c r="T543" s="62">
        <v>0</v>
      </c>
    </row>
    <row r="544" spans="1:20" ht="11.1" customHeight="1" x14ac:dyDescent="0.25">
      <c r="O544" s="59" t="s">
        <v>436</v>
      </c>
      <c r="P544" s="62">
        <v>0</v>
      </c>
      <c r="Q544" s="63">
        <v>0</v>
      </c>
      <c r="R544" s="62">
        <v>0</v>
      </c>
      <c r="S544" s="61">
        <v>0</v>
      </c>
      <c r="T544" s="62">
        <v>0</v>
      </c>
    </row>
    <row r="545" spans="1:20" ht="11.1" customHeight="1" x14ac:dyDescent="0.25">
      <c r="A545" s="56">
        <v>109713</v>
      </c>
      <c r="B545" s="72">
        <v>46042</v>
      </c>
      <c r="C545" s="68">
        <v>46042</v>
      </c>
      <c r="D545" s="58" t="s">
        <v>963</v>
      </c>
      <c r="E545" s="59" t="s">
        <v>352</v>
      </c>
      <c r="F545" s="56">
        <v>36</v>
      </c>
      <c r="G545" s="73">
        <v>90</v>
      </c>
      <c r="H545" s="74" t="s">
        <v>959</v>
      </c>
      <c r="I545" s="59" t="s">
        <v>960</v>
      </c>
      <c r="J545" s="59" t="s">
        <v>961</v>
      </c>
      <c r="K545" s="69">
        <v>5403</v>
      </c>
      <c r="L545" s="56">
        <v>207</v>
      </c>
      <c r="M545" s="59" t="s">
        <v>26</v>
      </c>
      <c r="N545" s="61">
        <v>0</v>
      </c>
      <c r="O545" s="59" t="s">
        <v>313</v>
      </c>
      <c r="P545" s="62">
        <v>0</v>
      </c>
      <c r="Q545" s="63">
        <v>0</v>
      </c>
      <c r="R545" s="62">
        <v>0</v>
      </c>
      <c r="S545" s="61">
        <v>0</v>
      </c>
      <c r="T545" s="62">
        <v>0</v>
      </c>
    </row>
    <row r="546" spans="1:20" ht="11.1" customHeight="1" x14ac:dyDescent="0.25">
      <c r="O546" s="59" t="s">
        <v>436</v>
      </c>
      <c r="P546" s="62">
        <v>0</v>
      </c>
      <c r="Q546" s="63">
        <v>0</v>
      </c>
      <c r="R546" s="62">
        <v>0</v>
      </c>
      <c r="S546" s="61">
        <v>0</v>
      </c>
      <c r="T546" s="62">
        <v>0</v>
      </c>
    </row>
    <row r="547" spans="1:20" ht="11.85" customHeight="1" x14ac:dyDescent="0.25">
      <c r="A547" s="71" t="s">
        <v>620</v>
      </c>
      <c r="B547" s="71"/>
      <c r="C547" s="71"/>
      <c r="D547" s="71"/>
      <c r="E547" s="71"/>
      <c r="F547" s="71"/>
      <c r="G547" s="71"/>
      <c r="H547" s="71"/>
    </row>
    <row r="548" spans="1:20" ht="11.1" customHeight="1" x14ac:dyDescent="0.25">
      <c r="O548" s="59" t="s">
        <v>313</v>
      </c>
      <c r="P548" s="62">
        <v>38009.050000000003</v>
      </c>
      <c r="R548" s="62">
        <v>7601.84</v>
      </c>
      <c r="S548" s="61">
        <v>0</v>
      </c>
      <c r="T548" s="62">
        <v>1730.46</v>
      </c>
    </row>
    <row r="549" spans="1:20" ht="11.1" customHeight="1" x14ac:dyDescent="0.25">
      <c r="O549" s="59" t="s">
        <v>436</v>
      </c>
      <c r="P549" s="62">
        <v>24937.23</v>
      </c>
      <c r="R549" s="62">
        <v>1293.03</v>
      </c>
      <c r="S549" s="61">
        <v>0</v>
      </c>
      <c r="T549" s="62">
        <v>0</v>
      </c>
    </row>
    <row r="550" spans="1:20" ht="11.1" customHeight="1" x14ac:dyDescent="0.25">
      <c r="A550" s="56">
        <v>108405</v>
      </c>
      <c r="B550" s="72">
        <v>46024</v>
      </c>
      <c r="C550" s="68">
        <v>46024</v>
      </c>
      <c r="D550" s="58" t="s">
        <v>964</v>
      </c>
      <c r="E550" s="59" t="s">
        <v>352</v>
      </c>
      <c r="F550" s="56">
        <v>36</v>
      </c>
      <c r="G550" s="73">
        <v>89</v>
      </c>
      <c r="H550" s="74" t="s">
        <v>965</v>
      </c>
      <c r="I550" s="59" t="s">
        <v>966</v>
      </c>
      <c r="J550" s="59" t="s">
        <v>967</v>
      </c>
      <c r="K550" s="69">
        <v>5102</v>
      </c>
      <c r="L550" s="56">
        <v>205</v>
      </c>
      <c r="M550" s="59" t="s">
        <v>26</v>
      </c>
      <c r="N550" s="61">
        <v>26156.1</v>
      </c>
      <c r="O550" s="59" t="s">
        <v>313</v>
      </c>
      <c r="P550" s="62">
        <v>709.2</v>
      </c>
      <c r="Q550" s="63">
        <v>12</v>
      </c>
      <c r="R550" s="62">
        <v>85.1</v>
      </c>
      <c r="S550" s="61">
        <v>0</v>
      </c>
      <c r="T550" s="62">
        <v>0</v>
      </c>
    </row>
    <row r="551" spans="1:20" ht="11.1" customHeight="1" x14ac:dyDescent="0.25">
      <c r="O551" s="59" t="s">
        <v>313</v>
      </c>
      <c r="P551" s="62">
        <v>25446.9</v>
      </c>
      <c r="Q551" s="63">
        <v>20</v>
      </c>
      <c r="R551" s="62">
        <v>5089.38</v>
      </c>
      <c r="S551" s="61">
        <v>0</v>
      </c>
      <c r="T551" s="62">
        <v>0</v>
      </c>
    </row>
    <row r="552" spans="1:20" ht="11.1" customHeight="1" x14ac:dyDescent="0.25">
      <c r="A552" s="56">
        <v>108406</v>
      </c>
      <c r="B552" s="72">
        <v>46024</v>
      </c>
      <c r="C552" s="68">
        <v>46024</v>
      </c>
      <c r="D552" s="58" t="s">
        <v>964</v>
      </c>
      <c r="E552" s="59" t="s">
        <v>352</v>
      </c>
      <c r="F552" s="56">
        <v>36</v>
      </c>
      <c r="G552" s="73">
        <v>89</v>
      </c>
      <c r="H552" s="74" t="s">
        <v>965</v>
      </c>
      <c r="I552" s="59" t="s">
        <v>966</v>
      </c>
      <c r="J552" s="59" t="s">
        <v>967</v>
      </c>
      <c r="K552" s="69">
        <v>5405</v>
      </c>
      <c r="L552" s="56">
        <v>206</v>
      </c>
      <c r="M552" s="59" t="s">
        <v>26</v>
      </c>
      <c r="N552" s="61">
        <v>99.52</v>
      </c>
      <c r="O552" s="59" t="s">
        <v>313</v>
      </c>
      <c r="P552" s="62">
        <v>0</v>
      </c>
      <c r="Q552" s="63">
        <v>0</v>
      </c>
      <c r="R552" s="62">
        <v>0</v>
      </c>
      <c r="S552" s="61">
        <v>0</v>
      </c>
      <c r="T552" s="62">
        <v>99.52</v>
      </c>
    </row>
    <row r="553" spans="1:20" ht="11.1" customHeight="1" x14ac:dyDescent="0.25">
      <c r="A553" s="56">
        <v>108407</v>
      </c>
      <c r="B553" s="72">
        <v>46024</v>
      </c>
      <c r="C553" s="68">
        <v>46024</v>
      </c>
      <c r="D553" s="58" t="s">
        <v>964</v>
      </c>
      <c r="E553" s="59" t="s">
        <v>352</v>
      </c>
      <c r="F553" s="56">
        <v>36</v>
      </c>
      <c r="G553" s="73">
        <v>89</v>
      </c>
      <c r="H553" s="74" t="s">
        <v>965</v>
      </c>
      <c r="I553" s="59" t="s">
        <v>966</v>
      </c>
      <c r="J553" s="59" t="s">
        <v>967</v>
      </c>
      <c r="K553" s="69">
        <v>5403</v>
      </c>
      <c r="L553" s="56">
        <v>207</v>
      </c>
      <c r="M553" s="59" t="s">
        <v>26</v>
      </c>
      <c r="N553" s="61">
        <v>26797.17</v>
      </c>
      <c r="O553" s="59" t="s">
        <v>313</v>
      </c>
      <c r="P553" s="62">
        <v>25044.06</v>
      </c>
      <c r="Q553" s="63">
        <v>20</v>
      </c>
      <c r="R553" s="62">
        <v>5008.79</v>
      </c>
      <c r="S553" s="61">
        <v>0</v>
      </c>
      <c r="T553" s="62">
        <v>1753.11</v>
      </c>
    </row>
    <row r="554" spans="1:20" ht="11.1" customHeight="1" x14ac:dyDescent="0.25">
      <c r="O554" s="59" t="s">
        <v>436</v>
      </c>
      <c r="P554" s="62">
        <v>33809.449999999997</v>
      </c>
      <c r="Q554" s="63">
        <v>20</v>
      </c>
      <c r="R554" s="62">
        <v>1753.11</v>
      </c>
      <c r="S554" s="61">
        <v>0</v>
      </c>
      <c r="T554" s="62">
        <v>0</v>
      </c>
    </row>
    <row r="555" spans="1:20" ht="11.1" customHeight="1" x14ac:dyDescent="0.25">
      <c r="A555" s="56">
        <v>109709</v>
      </c>
      <c r="B555" s="72">
        <v>46038</v>
      </c>
      <c r="C555" s="68">
        <v>46038</v>
      </c>
      <c r="D555" s="58" t="s">
        <v>968</v>
      </c>
      <c r="E555" s="59" t="s">
        <v>352</v>
      </c>
      <c r="F555" s="56">
        <v>36</v>
      </c>
      <c r="G555" s="73">
        <v>89</v>
      </c>
      <c r="H555" s="74" t="s">
        <v>965</v>
      </c>
      <c r="I555" s="59" t="s">
        <v>966</v>
      </c>
      <c r="J555" s="59" t="s">
        <v>967</v>
      </c>
      <c r="K555" s="69">
        <v>5102</v>
      </c>
      <c r="L555" s="56">
        <v>205</v>
      </c>
      <c r="M555" s="59" t="s">
        <v>26</v>
      </c>
      <c r="N555" s="61">
        <v>0</v>
      </c>
      <c r="O555" s="59" t="s">
        <v>313</v>
      </c>
      <c r="P555" s="62">
        <v>0</v>
      </c>
      <c r="Q555" s="63">
        <v>0</v>
      </c>
      <c r="R555" s="62">
        <v>0</v>
      </c>
      <c r="S555" s="61">
        <v>0</v>
      </c>
      <c r="T555" s="62">
        <v>0</v>
      </c>
    </row>
    <row r="556" spans="1:20" ht="11.1" customHeight="1" x14ac:dyDescent="0.25">
      <c r="A556" s="56">
        <v>109710</v>
      </c>
      <c r="B556" s="72">
        <v>46038</v>
      </c>
      <c r="C556" s="68">
        <v>46038</v>
      </c>
      <c r="D556" s="58" t="s">
        <v>968</v>
      </c>
      <c r="E556" s="59" t="s">
        <v>352</v>
      </c>
      <c r="F556" s="56">
        <v>36</v>
      </c>
      <c r="G556" s="73">
        <v>89</v>
      </c>
      <c r="H556" s="74" t="s">
        <v>965</v>
      </c>
      <c r="I556" s="59" t="s">
        <v>966</v>
      </c>
      <c r="J556" s="59" t="s">
        <v>967</v>
      </c>
      <c r="K556" s="69">
        <v>5403</v>
      </c>
      <c r="L556" s="56">
        <v>207</v>
      </c>
      <c r="M556" s="59" t="s">
        <v>26</v>
      </c>
      <c r="N556" s="61">
        <v>0</v>
      </c>
      <c r="O556" s="59" t="s">
        <v>313</v>
      </c>
      <c r="P556" s="62">
        <v>0</v>
      </c>
      <c r="Q556" s="63">
        <v>0</v>
      </c>
      <c r="R556" s="62">
        <v>0</v>
      </c>
      <c r="S556" s="61">
        <v>0</v>
      </c>
      <c r="T556" s="62">
        <v>0</v>
      </c>
    </row>
    <row r="557" spans="1:20" ht="11.1" customHeight="1" x14ac:dyDescent="0.25">
      <c r="O557" s="59" t="s">
        <v>436</v>
      </c>
      <c r="P557" s="62">
        <v>0</v>
      </c>
      <c r="Q557" s="63">
        <v>0</v>
      </c>
      <c r="R557" s="62">
        <v>0</v>
      </c>
      <c r="S557" s="61">
        <v>0</v>
      </c>
      <c r="T557" s="62">
        <v>0</v>
      </c>
    </row>
    <row r="558" spans="1:20" ht="11.85" customHeight="1" x14ac:dyDescent="0.25">
      <c r="A558" s="71" t="s">
        <v>620</v>
      </c>
      <c r="B558" s="71"/>
      <c r="C558" s="71"/>
      <c r="D558" s="71"/>
      <c r="E558" s="71"/>
      <c r="F558" s="71"/>
      <c r="G558" s="71"/>
      <c r="H558" s="71"/>
    </row>
    <row r="559" spans="1:20" ht="11.1" customHeight="1" x14ac:dyDescent="0.25">
      <c r="O559" s="59" t="s">
        <v>313</v>
      </c>
      <c r="P559" s="62">
        <v>51200.160000000003</v>
      </c>
      <c r="R559" s="62">
        <v>10183.27</v>
      </c>
      <c r="S559" s="61">
        <v>0</v>
      </c>
      <c r="T559" s="62">
        <v>1852.63</v>
      </c>
    </row>
    <row r="560" spans="1:20" ht="11.1" customHeight="1" x14ac:dyDescent="0.25">
      <c r="O560" s="59" t="s">
        <v>436</v>
      </c>
      <c r="P560" s="62">
        <v>33809.449999999997</v>
      </c>
      <c r="R560" s="62">
        <v>1753.11</v>
      </c>
      <c r="S560" s="61">
        <v>0</v>
      </c>
      <c r="T560" s="62">
        <v>0</v>
      </c>
    </row>
    <row r="561" spans="1:20" ht="11.1" customHeight="1" x14ac:dyDescent="0.25">
      <c r="A561" s="56">
        <v>108678</v>
      </c>
      <c r="B561" s="72">
        <v>46030</v>
      </c>
      <c r="C561" s="68">
        <v>46030</v>
      </c>
      <c r="D561" s="58" t="s">
        <v>969</v>
      </c>
      <c r="E561" s="59" t="s">
        <v>352</v>
      </c>
      <c r="F561" s="56">
        <v>36</v>
      </c>
      <c r="G561" s="73">
        <v>163</v>
      </c>
      <c r="H561" s="74" t="s">
        <v>970</v>
      </c>
      <c r="I561" s="59" t="s">
        <v>971</v>
      </c>
      <c r="J561" s="59" t="s">
        <v>972</v>
      </c>
      <c r="K561" s="69">
        <v>6403</v>
      </c>
      <c r="L561" s="56">
        <v>207</v>
      </c>
      <c r="M561" s="59" t="s">
        <v>38</v>
      </c>
      <c r="N561" s="61">
        <v>13489.25</v>
      </c>
      <c r="O561" s="59" t="s">
        <v>313</v>
      </c>
      <c r="P561" s="62">
        <v>11271.1</v>
      </c>
      <c r="Q561" s="63">
        <v>12</v>
      </c>
      <c r="R561" s="62">
        <v>1352.53</v>
      </c>
      <c r="S561" s="61">
        <v>0</v>
      </c>
      <c r="T561" s="62">
        <v>2218.15</v>
      </c>
    </row>
    <row r="562" spans="1:20" ht="11.1" customHeight="1" x14ac:dyDescent="0.25">
      <c r="O562" s="59" t="s">
        <v>436</v>
      </c>
      <c r="P562" s="62">
        <v>19837.169999999998</v>
      </c>
      <c r="Q562" s="63">
        <v>18</v>
      </c>
      <c r="R562" s="62">
        <v>2218.15</v>
      </c>
      <c r="S562" s="61">
        <v>0</v>
      </c>
      <c r="T562" s="62">
        <v>0</v>
      </c>
    </row>
    <row r="563" spans="1:20" ht="11.1" customHeight="1" x14ac:dyDescent="0.25">
      <c r="A563" s="56">
        <v>108679</v>
      </c>
      <c r="B563" s="72">
        <v>46030</v>
      </c>
      <c r="C563" s="68">
        <v>46030</v>
      </c>
      <c r="D563" s="58" t="s">
        <v>969</v>
      </c>
      <c r="E563" s="59" t="s">
        <v>352</v>
      </c>
      <c r="F563" s="56">
        <v>36</v>
      </c>
      <c r="G563" s="73">
        <v>163</v>
      </c>
      <c r="H563" s="74" t="s">
        <v>970</v>
      </c>
      <c r="I563" s="59" t="s">
        <v>971</v>
      </c>
      <c r="J563" s="59" t="s">
        <v>972</v>
      </c>
      <c r="K563" s="69">
        <v>6102</v>
      </c>
      <c r="L563" s="56">
        <v>238</v>
      </c>
      <c r="M563" s="59" t="s">
        <v>38</v>
      </c>
      <c r="N563" s="61">
        <v>7804.99</v>
      </c>
      <c r="O563" s="59" t="s">
        <v>313</v>
      </c>
      <c r="P563" s="62">
        <v>7804.99</v>
      </c>
      <c r="Q563" s="63">
        <v>12</v>
      </c>
      <c r="R563" s="62">
        <v>936.6</v>
      </c>
      <c r="S563" s="61">
        <v>0</v>
      </c>
      <c r="T563" s="62">
        <v>0</v>
      </c>
    </row>
    <row r="564" spans="1:20" ht="11.1" customHeight="1" x14ac:dyDescent="0.25">
      <c r="A564" s="56">
        <v>108987</v>
      </c>
      <c r="B564" s="72">
        <v>46037</v>
      </c>
      <c r="C564" s="68">
        <v>46037</v>
      </c>
      <c r="D564" s="58" t="s">
        <v>973</v>
      </c>
      <c r="E564" s="59" t="s">
        <v>352</v>
      </c>
      <c r="F564" s="56">
        <v>36</v>
      </c>
      <c r="G564" s="73">
        <v>163</v>
      </c>
      <c r="H564" s="74" t="s">
        <v>970</v>
      </c>
      <c r="I564" s="59" t="s">
        <v>971</v>
      </c>
      <c r="J564" s="59" t="s">
        <v>972</v>
      </c>
      <c r="K564" s="69">
        <v>6403</v>
      </c>
      <c r="L564" s="56">
        <v>207</v>
      </c>
      <c r="M564" s="59" t="s">
        <v>38</v>
      </c>
      <c r="N564" s="61">
        <v>9675.65</v>
      </c>
      <c r="O564" s="59" t="s">
        <v>313</v>
      </c>
      <c r="P564" s="62">
        <v>8084.57</v>
      </c>
      <c r="Q564" s="63">
        <v>12</v>
      </c>
      <c r="R564" s="62">
        <v>970.12</v>
      </c>
      <c r="S564" s="61">
        <v>0</v>
      </c>
      <c r="T564" s="62">
        <v>1591.08</v>
      </c>
    </row>
    <row r="565" spans="1:20" ht="11.1" customHeight="1" x14ac:dyDescent="0.25">
      <c r="O565" s="59" t="s">
        <v>436</v>
      </c>
      <c r="P565" s="62">
        <v>14228.84</v>
      </c>
      <c r="Q565" s="63">
        <v>18</v>
      </c>
      <c r="R565" s="62">
        <v>1591.08</v>
      </c>
      <c r="S565" s="61">
        <v>0</v>
      </c>
      <c r="T565" s="62">
        <v>0</v>
      </c>
    </row>
    <row r="566" spans="1:20" ht="11.1" customHeight="1" x14ac:dyDescent="0.25">
      <c r="A566" s="56">
        <v>108988</v>
      </c>
      <c r="B566" s="72">
        <v>46037</v>
      </c>
      <c r="C566" s="68">
        <v>46037</v>
      </c>
      <c r="D566" s="58" t="s">
        <v>973</v>
      </c>
      <c r="E566" s="59" t="s">
        <v>352</v>
      </c>
      <c r="F566" s="56">
        <v>36</v>
      </c>
      <c r="G566" s="73">
        <v>163</v>
      </c>
      <c r="H566" s="74" t="s">
        <v>970</v>
      </c>
      <c r="I566" s="59" t="s">
        <v>971</v>
      </c>
      <c r="J566" s="59" t="s">
        <v>972</v>
      </c>
      <c r="K566" s="69">
        <v>6102</v>
      </c>
      <c r="L566" s="56">
        <v>238</v>
      </c>
      <c r="M566" s="59" t="s">
        <v>38</v>
      </c>
      <c r="N566" s="61">
        <v>4705.05</v>
      </c>
      <c r="O566" s="59" t="s">
        <v>313</v>
      </c>
      <c r="P566" s="62">
        <v>4705.05</v>
      </c>
      <c r="Q566" s="63">
        <v>12</v>
      </c>
      <c r="R566" s="62">
        <v>564.59</v>
      </c>
      <c r="S566" s="61">
        <v>0</v>
      </c>
      <c r="T566" s="62">
        <v>0</v>
      </c>
    </row>
    <row r="567" spans="1:20" ht="11.1" customHeight="1" x14ac:dyDescent="0.25">
      <c r="A567" s="56">
        <v>109306</v>
      </c>
      <c r="B567" s="72">
        <v>46044</v>
      </c>
      <c r="C567" s="68">
        <v>46044</v>
      </c>
      <c r="D567" s="58" t="s">
        <v>974</v>
      </c>
      <c r="E567" s="59" t="s">
        <v>352</v>
      </c>
      <c r="F567" s="56">
        <v>36</v>
      </c>
      <c r="G567" s="73">
        <v>163</v>
      </c>
      <c r="H567" s="74" t="s">
        <v>970</v>
      </c>
      <c r="I567" s="59" t="s">
        <v>971</v>
      </c>
      <c r="J567" s="59" t="s">
        <v>972</v>
      </c>
      <c r="K567" s="69">
        <v>6403</v>
      </c>
      <c r="L567" s="56">
        <v>207</v>
      </c>
      <c r="M567" s="59" t="s">
        <v>38</v>
      </c>
      <c r="N567" s="61">
        <v>324.14</v>
      </c>
      <c r="O567" s="59" t="s">
        <v>313</v>
      </c>
      <c r="P567" s="62">
        <v>270.83999999999997</v>
      </c>
      <c r="Q567" s="63">
        <v>12</v>
      </c>
      <c r="R567" s="62">
        <v>32.5</v>
      </c>
      <c r="S567" s="61">
        <v>0</v>
      </c>
      <c r="T567" s="62">
        <v>53.3</v>
      </c>
    </row>
    <row r="568" spans="1:20" ht="11.1" customHeight="1" x14ac:dyDescent="0.25">
      <c r="O568" s="59" t="s">
        <v>436</v>
      </c>
      <c r="P568" s="62">
        <v>476.68</v>
      </c>
      <c r="Q568" s="63">
        <v>18</v>
      </c>
      <c r="R568" s="62">
        <v>53.3</v>
      </c>
      <c r="S568" s="61">
        <v>0</v>
      </c>
      <c r="T568" s="62">
        <v>0</v>
      </c>
    </row>
    <row r="569" spans="1:20" ht="11.1" customHeight="1" x14ac:dyDescent="0.25">
      <c r="A569" s="56">
        <v>109307</v>
      </c>
      <c r="B569" s="72">
        <v>46044</v>
      </c>
      <c r="C569" s="68">
        <v>46044</v>
      </c>
      <c r="D569" s="58" t="s">
        <v>974</v>
      </c>
      <c r="E569" s="59" t="s">
        <v>352</v>
      </c>
      <c r="F569" s="56">
        <v>36</v>
      </c>
      <c r="G569" s="73">
        <v>163</v>
      </c>
      <c r="H569" s="74" t="s">
        <v>970</v>
      </c>
      <c r="I569" s="59" t="s">
        <v>971</v>
      </c>
      <c r="J569" s="59" t="s">
        <v>972</v>
      </c>
      <c r="K569" s="69">
        <v>6102</v>
      </c>
      <c r="L569" s="56">
        <v>238</v>
      </c>
      <c r="M569" s="59" t="s">
        <v>38</v>
      </c>
      <c r="N569" s="61">
        <v>547.08000000000004</v>
      </c>
      <c r="O569" s="59" t="s">
        <v>313</v>
      </c>
      <c r="P569" s="62">
        <v>547.08000000000004</v>
      </c>
      <c r="Q569" s="63">
        <v>12</v>
      </c>
      <c r="R569" s="62">
        <v>65.650000000000006</v>
      </c>
      <c r="S569" s="61">
        <v>0</v>
      </c>
      <c r="T569" s="62">
        <v>0</v>
      </c>
    </row>
    <row r="570" spans="1:20" ht="11.1" customHeight="1" x14ac:dyDescent="0.25">
      <c r="A570" s="56">
        <v>109308</v>
      </c>
      <c r="B570" s="72">
        <v>46044</v>
      </c>
      <c r="C570" s="68">
        <v>46044</v>
      </c>
      <c r="D570" s="58" t="s">
        <v>975</v>
      </c>
      <c r="E570" s="59" t="s">
        <v>352</v>
      </c>
      <c r="F570" s="56">
        <v>36</v>
      </c>
      <c r="G570" s="73">
        <v>163</v>
      </c>
      <c r="H570" s="74" t="s">
        <v>970</v>
      </c>
      <c r="I570" s="59" t="s">
        <v>971</v>
      </c>
      <c r="J570" s="59" t="s">
        <v>972</v>
      </c>
      <c r="K570" s="69">
        <v>6403</v>
      </c>
      <c r="L570" s="56">
        <v>207</v>
      </c>
      <c r="M570" s="59" t="s">
        <v>38</v>
      </c>
      <c r="N570" s="61">
        <v>6443.49</v>
      </c>
      <c r="O570" s="59" t="s">
        <v>313</v>
      </c>
      <c r="P570" s="62">
        <v>5383.93</v>
      </c>
      <c r="Q570" s="63">
        <v>12</v>
      </c>
      <c r="R570" s="62">
        <v>646.04999999999995</v>
      </c>
      <c r="S570" s="61">
        <v>0</v>
      </c>
      <c r="T570" s="62">
        <v>1059.56</v>
      </c>
    </row>
    <row r="571" spans="1:20" ht="11.1" customHeight="1" x14ac:dyDescent="0.25">
      <c r="O571" s="59" t="s">
        <v>436</v>
      </c>
      <c r="P571" s="62">
        <v>9475.75</v>
      </c>
      <c r="Q571" s="63">
        <v>18</v>
      </c>
      <c r="R571" s="62">
        <v>1059.56</v>
      </c>
      <c r="S571" s="61">
        <v>0</v>
      </c>
      <c r="T571" s="62">
        <v>0</v>
      </c>
    </row>
    <row r="572" spans="1:20" ht="11.1" customHeight="1" x14ac:dyDescent="0.25">
      <c r="A572" s="56">
        <v>109309</v>
      </c>
      <c r="B572" s="72">
        <v>46044</v>
      </c>
      <c r="C572" s="68">
        <v>46044</v>
      </c>
      <c r="D572" s="58" t="s">
        <v>975</v>
      </c>
      <c r="E572" s="59" t="s">
        <v>352</v>
      </c>
      <c r="F572" s="56">
        <v>36</v>
      </c>
      <c r="G572" s="73">
        <v>163</v>
      </c>
      <c r="H572" s="74" t="s">
        <v>970</v>
      </c>
      <c r="I572" s="59" t="s">
        <v>971</v>
      </c>
      <c r="J572" s="59" t="s">
        <v>972</v>
      </c>
      <c r="K572" s="69">
        <v>6102</v>
      </c>
      <c r="L572" s="56">
        <v>238</v>
      </c>
      <c r="M572" s="59" t="s">
        <v>38</v>
      </c>
      <c r="N572" s="61">
        <v>3750.77</v>
      </c>
      <c r="O572" s="59" t="s">
        <v>313</v>
      </c>
      <c r="P572" s="62">
        <v>3750.77</v>
      </c>
      <c r="Q572" s="63">
        <v>12</v>
      </c>
      <c r="R572" s="62">
        <v>450.08</v>
      </c>
      <c r="S572" s="61">
        <v>0</v>
      </c>
      <c r="T572" s="62">
        <v>0</v>
      </c>
    </row>
    <row r="573" spans="1:20" ht="11.1" customHeight="1" x14ac:dyDescent="0.25">
      <c r="A573" s="56">
        <v>109635</v>
      </c>
      <c r="B573" s="72">
        <v>46051</v>
      </c>
      <c r="C573" s="68">
        <v>46051</v>
      </c>
      <c r="D573" s="58" t="s">
        <v>976</v>
      </c>
      <c r="E573" s="59" t="s">
        <v>352</v>
      </c>
      <c r="F573" s="56">
        <v>36</v>
      </c>
      <c r="G573" s="73">
        <v>163</v>
      </c>
      <c r="H573" s="74" t="s">
        <v>970</v>
      </c>
      <c r="I573" s="59" t="s">
        <v>971</v>
      </c>
      <c r="J573" s="59" t="s">
        <v>972</v>
      </c>
      <c r="K573" s="69">
        <v>6403</v>
      </c>
      <c r="L573" s="56">
        <v>207</v>
      </c>
      <c r="M573" s="59" t="s">
        <v>38</v>
      </c>
      <c r="N573" s="61">
        <v>15938.55</v>
      </c>
      <c r="O573" s="59" t="s">
        <v>313</v>
      </c>
      <c r="P573" s="62">
        <v>13317.59</v>
      </c>
      <c r="Q573" s="63">
        <v>12</v>
      </c>
      <c r="R573" s="62">
        <v>1598.06</v>
      </c>
      <c r="S573" s="61">
        <v>0</v>
      </c>
      <c r="T573" s="62">
        <v>2620.96</v>
      </c>
    </row>
    <row r="574" spans="1:20" ht="11.1" customHeight="1" x14ac:dyDescent="0.25">
      <c r="O574" s="59" t="s">
        <v>436</v>
      </c>
      <c r="P574" s="62">
        <v>23438.959999999999</v>
      </c>
      <c r="Q574" s="63">
        <v>18</v>
      </c>
      <c r="R574" s="62">
        <v>2620.96</v>
      </c>
      <c r="S574" s="61">
        <v>0</v>
      </c>
      <c r="T574" s="62">
        <v>0</v>
      </c>
    </row>
    <row r="575" spans="1:20" ht="11.1" customHeight="1" x14ac:dyDescent="0.25">
      <c r="A575" s="56">
        <v>109636</v>
      </c>
      <c r="B575" s="72">
        <v>46051</v>
      </c>
      <c r="C575" s="68">
        <v>46051</v>
      </c>
      <c r="D575" s="58" t="s">
        <v>976</v>
      </c>
      <c r="E575" s="59" t="s">
        <v>352</v>
      </c>
      <c r="F575" s="56">
        <v>36</v>
      </c>
      <c r="G575" s="73">
        <v>163</v>
      </c>
      <c r="H575" s="74" t="s">
        <v>970</v>
      </c>
      <c r="I575" s="59" t="s">
        <v>971</v>
      </c>
      <c r="J575" s="59" t="s">
        <v>972</v>
      </c>
      <c r="K575" s="69">
        <v>6102</v>
      </c>
      <c r="L575" s="56">
        <v>238</v>
      </c>
      <c r="M575" s="59" t="s">
        <v>38</v>
      </c>
      <c r="N575" s="61">
        <v>4667.7</v>
      </c>
      <c r="O575" s="59" t="s">
        <v>313</v>
      </c>
      <c r="P575" s="62">
        <v>4667.7</v>
      </c>
      <c r="Q575" s="63">
        <v>12</v>
      </c>
      <c r="R575" s="62">
        <v>560.14</v>
      </c>
      <c r="S575" s="61">
        <v>0</v>
      </c>
      <c r="T575" s="62">
        <v>0</v>
      </c>
    </row>
    <row r="576" spans="1:20" ht="11.1" customHeight="1" x14ac:dyDescent="0.25">
      <c r="A576" s="56">
        <v>109671</v>
      </c>
      <c r="B576" s="72">
        <v>46052</v>
      </c>
      <c r="C576" s="68">
        <v>46052</v>
      </c>
      <c r="D576" s="58" t="s">
        <v>977</v>
      </c>
      <c r="E576" s="59" t="s">
        <v>352</v>
      </c>
      <c r="F576" s="56">
        <v>36</v>
      </c>
      <c r="G576" s="73">
        <v>163</v>
      </c>
      <c r="H576" s="74" t="s">
        <v>970</v>
      </c>
      <c r="I576" s="59" t="s">
        <v>971</v>
      </c>
      <c r="J576" s="59" t="s">
        <v>972</v>
      </c>
      <c r="K576" s="69">
        <v>6403</v>
      </c>
      <c r="L576" s="56">
        <v>207</v>
      </c>
      <c r="M576" s="59" t="s">
        <v>38</v>
      </c>
      <c r="N576" s="61">
        <v>4320.87</v>
      </c>
      <c r="O576" s="59" t="s">
        <v>313</v>
      </c>
      <c r="P576" s="62">
        <v>3610.35</v>
      </c>
      <c r="Q576" s="63">
        <v>12</v>
      </c>
      <c r="R576" s="62">
        <v>433.24</v>
      </c>
      <c r="S576" s="61">
        <v>0</v>
      </c>
      <c r="T576" s="62">
        <v>710.52</v>
      </c>
    </row>
    <row r="577" spans="1:20" ht="11.1" customHeight="1" x14ac:dyDescent="0.25">
      <c r="O577" s="59" t="s">
        <v>436</v>
      </c>
      <c r="P577" s="62">
        <v>6354.22</v>
      </c>
      <c r="Q577" s="63">
        <v>18</v>
      </c>
      <c r="R577" s="62">
        <v>710.52</v>
      </c>
      <c r="S577" s="61">
        <v>0</v>
      </c>
      <c r="T577" s="62">
        <v>0</v>
      </c>
    </row>
    <row r="578" spans="1:20" ht="11.85" customHeight="1" x14ac:dyDescent="0.25">
      <c r="A578" s="71" t="s">
        <v>620</v>
      </c>
      <c r="B578" s="71"/>
      <c r="C578" s="71"/>
      <c r="D578" s="71"/>
      <c r="E578" s="71"/>
      <c r="F578" s="71"/>
      <c r="G578" s="71"/>
      <c r="H578" s="71"/>
    </row>
    <row r="579" spans="1:20" ht="11.1" customHeight="1" x14ac:dyDescent="0.25">
      <c r="O579" s="59" t="s">
        <v>313</v>
      </c>
      <c r="P579" s="62">
        <v>63413.97</v>
      </c>
      <c r="R579" s="62">
        <v>7609.56</v>
      </c>
      <c r="S579" s="61">
        <v>0</v>
      </c>
      <c r="T579" s="62">
        <v>8253.57</v>
      </c>
    </row>
    <row r="580" spans="1:20" ht="11.1" customHeight="1" x14ac:dyDescent="0.25">
      <c r="O580" s="59" t="s">
        <v>436</v>
      </c>
      <c r="P580" s="62">
        <v>73811.62</v>
      </c>
      <c r="R580" s="62">
        <v>8253.57</v>
      </c>
      <c r="S580" s="61">
        <v>0</v>
      </c>
      <c r="T580" s="62">
        <v>0</v>
      </c>
    </row>
    <row r="581" spans="1:20" ht="11.1" customHeight="1" x14ac:dyDescent="0.25">
      <c r="A581" s="56">
        <v>108411</v>
      </c>
      <c r="B581" s="72">
        <v>46024</v>
      </c>
      <c r="C581" s="68">
        <v>46024</v>
      </c>
      <c r="D581" s="58" t="s">
        <v>978</v>
      </c>
      <c r="E581" s="59" t="s">
        <v>352</v>
      </c>
      <c r="F581" s="56">
        <v>36</v>
      </c>
      <c r="G581" s="73">
        <v>125</v>
      </c>
      <c r="H581" s="74" t="s">
        <v>979</v>
      </c>
      <c r="I581" s="59" t="s">
        <v>980</v>
      </c>
      <c r="J581" s="59" t="s">
        <v>981</v>
      </c>
      <c r="K581" s="69">
        <v>5102</v>
      </c>
      <c r="L581" s="56">
        <v>205</v>
      </c>
      <c r="M581" s="59" t="s">
        <v>26</v>
      </c>
      <c r="N581" s="61">
        <v>9850.44</v>
      </c>
      <c r="O581" s="59" t="s">
        <v>313</v>
      </c>
      <c r="P581" s="62">
        <v>236.4</v>
      </c>
      <c r="Q581" s="63">
        <v>12</v>
      </c>
      <c r="R581" s="62">
        <v>28.37</v>
      </c>
      <c r="S581" s="61">
        <v>0</v>
      </c>
      <c r="T581" s="62">
        <v>0</v>
      </c>
    </row>
    <row r="582" spans="1:20" ht="11.1" customHeight="1" x14ac:dyDescent="0.25">
      <c r="O582" s="59" t="s">
        <v>313</v>
      </c>
      <c r="P582" s="62">
        <v>9614.0400000000009</v>
      </c>
      <c r="Q582" s="63">
        <v>20</v>
      </c>
      <c r="R582" s="62">
        <v>1922.8</v>
      </c>
      <c r="S582" s="61">
        <v>0</v>
      </c>
      <c r="T582" s="62">
        <v>0</v>
      </c>
    </row>
    <row r="583" spans="1:20" ht="11.1" customHeight="1" x14ac:dyDescent="0.25">
      <c r="A583" s="56">
        <v>108412</v>
      </c>
      <c r="B583" s="72">
        <v>46024</v>
      </c>
      <c r="C583" s="68">
        <v>46024</v>
      </c>
      <c r="D583" s="58" t="s">
        <v>978</v>
      </c>
      <c r="E583" s="59" t="s">
        <v>352</v>
      </c>
      <c r="F583" s="56">
        <v>36</v>
      </c>
      <c r="G583" s="73">
        <v>125</v>
      </c>
      <c r="H583" s="74" t="s">
        <v>979</v>
      </c>
      <c r="I583" s="59" t="s">
        <v>980</v>
      </c>
      <c r="J583" s="59" t="s">
        <v>981</v>
      </c>
      <c r="K583" s="69">
        <v>5405</v>
      </c>
      <c r="L583" s="56">
        <v>206</v>
      </c>
      <c r="M583" s="59" t="s">
        <v>26</v>
      </c>
      <c r="N583" s="61">
        <v>8611.67</v>
      </c>
      <c r="O583" s="59" t="s">
        <v>313</v>
      </c>
      <c r="P583" s="62">
        <v>0</v>
      </c>
      <c r="Q583" s="63">
        <v>0</v>
      </c>
      <c r="R583" s="62">
        <v>0</v>
      </c>
      <c r="S583" s="61">
        <v>0</v>
      </c>
      <c r="T583" s="62">
        <v>8611.67</v>
      </c>
    </row>
    <row r="584" spans="1:20" ht="11.1" customHeight="1" x14ac:dyDescent="0.25">
      <c r="A584" s="56">
        <v>108413</v>
      </c>
      <c r="B584" s="72">
        <v>46024</v>
      </c>
      <c r="C584" s="68">
        <v>46024</v>
      </c>
      <c r="D584" s="58" t="s">
        <v>978</v>
      </c>
      <c r="E584" s="59" t="s">
        <v>352</v>
      </c>
      <c r="F584" s="56">
        <v>36</v>
      </c>
      <c r="G584" s="73">
        <v>125</v>
      </c>
      <c r="H584" s="74" t="s">
        <v>979</v>
      </c>
      <c r="I584" s="59" t="s">
        <v>980</v>
      </c>
      <c r="J584" s="59" t="s">
        <v>981</v>
      </c>
      <c r="K584" s="69">
        <v>5403</v>
      </c>
      <c r="L584" s="56">
        <v>207</v>
      </c>
      <c r="M584" s="59" t="s">
        <v>26</v>
      </c>
      <c r="N584" s="61">
        <v>3118.52</v>
      </c>
      <c r="O584" s="59" t="s">
        <v>313</v>
      </c>
      <c r="P584" s="62">
        <v>2914.49</v>
      </c>
      <c r="Q584" s="63">
        <v>20</v>
      </c>
      <c r="R584" s="62">
        <v>582.89</v>
      </c>
      <c r="S584" s="61">
        <v>0</v>
      </c>
      <c r="T584" s="62">
        <v>204.03</v>
      </c>
    </row>
    <row r="585" spans="1:20" ht="11.1" customHeight="1" x14ac:dyDescent="0.25">
      <c r="O585" s="59" t="s">
        <v>436</v>
      </c>
      <c r="P585" s="62">
        <v>3934.57</v>
      </c>
      <c r="Q585" s="63">
        <v>20</v>
      </c>
      <c r="R585" s="62">
        <v>204.03</v>
      </c>
      <c r="S585" s="61">
        <v>0</v>
      </c>
      <c r="T585" s="62">
        <v>0</v>
      </c>
    </row>
    <row r="586" spans="1:20" ht="11.1" customHeight="1" x14ac:dyDescent="0.25">
      <c r="A586" s="56">
        <v>109702</v>
      </c>
      <c r="B586" s="72">
        <v>46024</v>
      </c>
      <c r="C586" s="68">
        <v>46024</v>
      </c>
      <c r="D586" s="58" t="s">
        <v>982</v>
      </c>
      <c r="E586" s="59" t="s">
        <v>352</v>
      </c>
      <c r="F586" s="56">
        <v>36</v>
      </c>
      <c r="G586" s="73">
        <v>125</v>
      </c>
      <c r="H586" s="74" t="s">
        <v>979</v>
      </c>
      <c r="I586" s="59" t="s">
        <v>980</v>
      </c>
      <c r="J586" s="59" t="s">
        <v>981</v>
      </c>
      <c r="K586" s="69">
        <v>5102</v>
      </c>
      <c r="L586" s="56">
        <v>205</v>
      </c>
      <c r="M586" s="59" t="s">
        <v>26</v>
      </c>
      <c r="N586" s="61">
        <v>0</v>
      </c>
      <c r="O586" s="59" t="s">
        <v>313</v>
      </c>
      <c r="P586" s="62">
        <v>0</v>
      </c>
      <c r="Q586" s="63">
        <v>0</v>
      </c>
      <c r="R586" s="62">
        <v>0</v>
      </c>
      <c r="S586" s="61">
        <v>0</v>
      </c>
      <c r="T586" s="62">
        <v>0</v>
      </c>
    </row>
    <row r="587" spans="1:20" ht="11.1" customHeight="1" x14ac:dyDescent="0.25">
      <c r="A587" s="56">
        <v>109703</v>
      </c>
      <c r="B587" s="72">
        <v>46024</v>
      </c>
      <c r="C587" s="68">
        <v>46024</v>
      </c>
      <c r="D587" s="58" t="s">
        <v>982</v>
      </c>
      <c r="E587" s="59" t="s">
        <v>352</v>
      </c>
      <c r="F587" s="56">
        <v>36</v>
      </c>
      <c r="G587" s="73">
        <v>125</v>
      </c>
      <c r="H587" s="74" t="s">
        <v>979</v>
      </c>
      <c r="I587" s="59" t="s">
        <v>980</v>
      </c>
      <c r="J587" s="59" t="s">
        <v>981</v>
      </c>
      <c r="K587" s="69">
        <v>5405</v>
      </c>
      <c r="L587" s="56">
        <v>206</v>
      </c>
      <c r="M587" s="59" t="s">
        <v>26</v>
      </c>
      <c r="N587" s="61">
        <v>0</v>
      </c>
      <c r="O587" s="59" t="s">
        <v>313</v>
      </c>
      <c r="P587" s="62">
        <v>0</v>
      </c>
      <c r="Q587" s="63">
        <v>0</v>
      </c>
      <c r="R587" s="62">
        <v>0</v>
      </c>
      <c r="S587" s="61">
        <v>0</v>
      </c>
      <c r="T587" s="62">
        <v>0</v>
      </c>
    </row>
    <row r="588" spans="1:20" ht="11.1" customHeight="1" x14ac:dyDescent="0.25">
      <c r="A588" s="56">
        <v>109704</v>
      </c>
      <c r="B588" s="72">
        <v>46024</v>
      </c>
      <c r="C588" s="68">
        <v>46024</v>
      </c>
      <c r="D588" s="58" t="s">
        <v>982</v>
      </c>
      <c r="E588" s="59" t="s">
        <v>352</v>
      </c>
      <c r="F588" s="56">
        <v>36</v>
      </c>
      <c r="G588" s="73">
        <v>125</v>
      </c>
      <c r="H588" s="74" t="s">
        <v>979</v>
      </c>
      <c r="I588" s="59" t="s">
        <v>980</v>
      </c>
      <c r="J588" s="59" t="s">
        <v>981</v>
      </c>
      <c r="K588" s="69">
        <v>5403</v>
      </c>
      <c r="L588" s="56">
        <v>207</v>
      </c>
      <c r="M588" s="59" t="s">
        <v>26</v>
      </c>
      <c r="N588" s="61">
        <v>0</v>
      </c>
      <c r="O588" s="59" t="s">
        <v>313</v>
      </c>
      <c r="P588" s="62">
        <v>0</v>
      </c>
      <c r="Q588" s="63">
        <v>0</v>
      </c>
      <c r="R588" s="62">
        <v>0</v>
      </c>
      <c r="S588" s="61">
        <v>0</v>
      </c>
      <c r="T588" s="62">
        <v>0</v>
      </c>
    </row>
    <row r="589" spans="1:20" ht="11.1" customHeight="1" x14ac:dyDescent="0.25">
      <c r="O589" s="59" t="s">
        <v>436</v>
      </c>
      <c r="P589" s="62">
        <v>0</v>
      </c>
      <c r="Q589" s="63">
        <v>0</v>
      </c>
      <c r="R589" s="62">
        <v>0</v>
      </c>
      <c r="S589" s="61">
        <v>0</v>
      </c>
      <c r="T589" s="62">
        <v>0</v>
      </c>
    </row>
    <row r="590" spans="1:20" ht="11.85" customHeight="1" x14ac:dyDescent="0.25">
      <c r="A590" s="71" t="s">
        <v>620</v>
      </c>
      <c r="B590" s="71"/>
      <c r="C590" s="71"/>
      <c r="D590" s="71"/>
      <c r="E590" s="71"/>
      <c r="F590" s="71"/>
      <c r="G590" s="71"/>
      <c r="H590" s="71"/>
    </row>
    <row r="591" spans="1:20" ht="11.1" customHeight="1" x14ac:dyDescent="0.25">
      <c r="O591" s="59" t="s">
        <v>313</v>
      </c>
      <c r="P591" s="62">
        <v>12764.93</v>
      </c>
      <c r="R591" s="62">
        <v>2534.06</v>
      </c>
      <c r="S591" s="61">
        <v>0</v>
      </c>
      <c r="T591" s="62">
        <v>8815.7000000000007</v>
      </c>
    </row>
    <row r="592" spans="1:20" ht="11.1" customHeight="1" x14ac:dyDescent="0.25">
      <c r="O592" s="59" t="s">
        <v>436</v>
      </c>
      <c r="P592" s="62">
        <v>3934.57</v>
      </c>
      <c r="R592" s="62">
        <v>204.03</v>
      </c>
      <c r="S592" s="61">
        <v>0</v>
      </c>
      <c r="T592" s="62">
        <v>0</v>
      </c>
    </row>
    <row r="593" spans="1:20" ht="11.1" customHeight="1" x14ac:dyDescent="0.25">
      <c r="A593" s="56">
        <v>108388</v>
      </c>
      <c r="B593" s="72">
        <v>46024</v>
      </c>
      <c r="C593" s="68">
        <v>46024</v>
      </c>
      <c r="D593" s="58" t="s">
        <v>983</v>
      </c>
      <c r="E593" s="59" t="s">
        <v>352</v>
      </c>
      <c r="F593" s="56">
        <v>36</v>
      </c>
      <c r="G593" s="73">
        <v>72</v>
      </c>
      <c r="H593" s="74" t="s">
        <v>984</v>
      </c>
      <c r="I593" s="59" t="s">
        <v>985</v>
      </c>
      <c r="J593" s="59" t="s">
        <v>986</v>
      </c>
      <c r="K593" s="69">
        <v>5102</v>
      </c>
      <c r="L593" s="56">
        <v>205</v>
      </c>
      <c r="M593" s="59" t="s">
        <v>26</v>
      </c>
      <c r="N593" s="61">
        <v>6203.62</v>
      </c>
      <c r="O593" s="59" t="s">
        <v>313</v>
      </c>
      <c r="P593" s="62">
        <v>236.4</v>
      </c>
      <c r="Q593" s="63">
        <v>12</v>
      </c>
      <c r="R593" s="62">
        <v>28.37</v>
      </c>
      <c r="S593" s="61">
        <v>0</v>
      </c>
      <c r="T593" s="62">
        <v>0</v>
      </c>
    </row>
    <row r="594" spans="1:20" ht="11.1" customHeight="1" x14ac:dyDescent="0.25">
      <c r="O594" s="59" t="s">
        <v>313</v>
      </c>
      <c r="P594" s="62">
        <v>5967.22</v>
      </c>
      <c r="Q594" s="63">
        <v>20</v>
      </c>
      <c r="R594" s="62">
        <v>1193.44</v>
      </c>
      <c r="S594" s="61">
        <v>0</v>
      </c>
      <c r="T594" s="62">
        <v>0</v>
      </c>
    </row>
    <row r="595" spans="1:20" ht="11.1" customHeight="1" x14ac:dyDescent="0.25">
      <c r="A595" s="56">
        <v>108389</v>
      </c>
      <c r="B595" s="72">
        <v>46024</v>
      </c>
      <c r="C595" s="68">
        <v>46024</v>
      </c>
      <c r="D595" s="58" t="s">
        <v>983</v>
      </c>
      <c r="E595" s="59" t="s">
        <v>352</v>
      </c>
      <c r="F595" s="56">
        <v>36</v>
      </c>
      <c r="G595" s="73">
        <v>72</v>
      </c>
      <c r="H595" s="74" t="s">
        <v>984</v>
      </c>
      <c r="I595" s="59" t="s">
        <v>985</v>
      </c>
      <c r="J595" s="59" t="s">
        <v>986</v>
      </c>
      <c r="K595" s="69">
        <v>5405</v>
      </c>
      <c r="L595" s="56">
        <v>206</v>
      </c>
      <c r="M595" s="59" t="s">
        <v>26</v>
      </c>
      <c r="N595" s="61">
        <v>99.52</v>
      </c>
      <c r="O595" s="59" t="s">
        <v>313</v>
      </c>
      <c r="P595" s="62">
        <v>0</v>
      </c>
      <c r="Q595" s="63">
        <v>0</v>
      </c>
      <c r="R595" s="62">
        <v>0</v>
      </c>
      <c r="S595" s="61">
        <v>0</v>
      </c>
      <c r="T595" s="62">
        <v>99.52</v>
      </c>
    </row>
    <row r="596" spans="1:20" ht="11.1" customHeight="1" x14ac:dyDescent="0.25">
      <c r="A596" s="56">
        <v>108390</v>
      </c>
      <c r="B596" s="72">
        <v>46024</v>
      </c>
      <c r="C596" s="68">
        <v>46024</v>
      </c>
      <c r="D596" s="58" t="s">
        <v>983</v>
      </c>
      <c r="E596" s="59" t="s">
        <v>352</v>
      </c>
      <c r="F596" s="56">
        <v>36</v>
      </c>
      <c r="G596" s="73">
        <v>72</v>
      </c>
      <c r="H596" s="74" t="s">
        <v>984</v>
      </c>
      <c r="I596" s="59" t="s">
        <v>985</v>
      </c>
      <c r="J596" s="59" t="s">
        <v>986</v>
      </c>
      <c r="K596" s="69">
        <v>5403</v>
      </c>
      <c r="L596" s="56">
        <v>207</v>
      </c>
      <c r="M596" s="59" t="s">
        <v>26</v>
      </c>
      <c r="N596" s="61">
        <v>10802.04</v>
      </c>
      <c r="O596" s="59" t="s">
        <v>313</v>
      </c>
      <c r="P596" s="62">
        <v>10095.379999999999</v>
      </c>
      <c r="Q596" s="63">
        <v>20</v>
      </c>
      <c r="R596" s="62">
        <v>2019.08</v>
      </c>
      <c r="S596" s="61">
        <v>0</v>
      </c>
      <c r="T596" s="62">
        <v>706.66</v>
      </c>
    </row>
    <row r="597" spans="1:20" ht="11.1" customHeight="1" x14ac:dyDescent="0.25">
      <c r="O597" s="59" t="s">
        <v>436</v>
      </c>
      <c r="P597" s="62">
        <v>13628.76</v>
      </c>
      <c r="Q597" s="63">
        <v>20</v>
      </c>
      <c r="R597" s="62">
        <v>706.66</v>
      </c>
      <c r="S597" s="61">
        <v>0</v>
      </c>
      <c r="T597" s="62">
        <v>0</v>
      </c>
    </row>
    <row r="598" spans="1:20" ht="11.1" customHeight="1" x14ac:dyDescent="0.25">
      <c r="A598" s="56">
        <v>109707</v>
      </c>
      <c r="B598" s="72">
        <v>46037</v>
      </c>
      <c r="C598" s="68">
        <v>46037</v>
      </c>
      <c r="D598" s="58" t="s">
        <v>987</v>
      </c>
      <c r="E598" s="59" t="s">
        <v>352</v>
      </c>
      <c r="F598" s="56">
        <v>36</v>
      </c>
      <c r="G598" s="73">
        <v>72</v>
      </c>
      <c r="H598" s="74" t="s">
        <v>984</v>
      </c>
      <c r="I598" s="59" t="s">
        <v>985</v>
      </c>
      <c r="J598" s="59" t="s">
        <v>986</v>
      </c>
      <c r="K598" s="69">
        <v>5102</v>
      </c>
      <c r="L598" s="56">
        <v>205</v>
      </c>
      <c r="M598" s="59" t="s">
        <v>26</v>
      </c>
      <c r="N598" s="61">
        <v>0</v>
      </c>
      <c r="O598" s="59" t="s">
        <v>313</v>
      </c>
      <c r="P598" s="62">
        <v>0</v>
      </c>
      <c r="Q598" s="63">
        <v>0</v>
      </c>
      <c r="R598" s="62">
        <v>0</v>
      </c>
      <c r="S598" s="61">
        <v>0</v>
      </c>
      <c r="T598" s="62">
        <v>0</v>
      </c>
    </row>
    <row r="599" spans="1:20" ht="11.1" customHeight="1" x14ac:dyDescent="0.25">
      <c r="A599" s="56">
        <v>109708</v>
      </c>
      <c r="B599" s="72">
        <v>46037</v>
      </c>
      <c r="C599" s="68">
        <v>46037</v>
      </c>
      <c r="D599" s="58" t="s">
        <v>987</v>
      </c>
      <c r="E599" s="59" t="s">
        <v>352</v>
      </c>
      <c r="F599" s="56">
        <v>36</v>
      </c>
      <c r="G599" s="73">
        <v>72</v>
      </c>
      <c r="H599" s="74" t="s">
        <v>984</v>
      </c>
      <c r="I599" s="59" t="s">
        <v>985</v>
      </c>
      <c r="J599" s="59" t="s">
        <v>986</v>
      </c>
      <c r="K599" s="69">
        <v>5403</v>
      </c>
      <c r="L599" s="56">
        <v>207</v>
      </c>
      <c r="M599" s="59" t="s">
        <v>26</v>
      </c>
      <c r="N599" s="61">
        <v>0</v>
      </c>
      <c r="O599" s="59" t="s">
        <v>313</v>
      </c>
      <c r="P599" s="62">
        <v>0</v>
      </c>
      <c r="Q599" s="63">
        <v>0</v>
      </c>
      <c r="R599" s="62">
        <v>0</v>
      </c>
      <c r="S599" s="61">
        <v>0</v>
      </c>
      <c r="T599" s="62">
        <v>0</v>
      </c>
    </row>
    <row r="600" spans="1:20" ht="11.1" customHeight="1" x14ac:dyDescent="0.25">
      <c r="O600" s="59" t="s">
        <v>436</v>
      </c>
      <c r="P600" s="62">
        <v>0</v>
      </c>
      <c r="Q600" s="63">
        <v>0</v>
      </c>
      <c r="R600" s="62">
        <v>0</v>
      </c>
      <c r="S600" s="61">
        <v>0</v>
      </c>
      <c r="T600" s="62">
        <v>0</v>
      </c>
    </row>
    <row r="601" spans="1:20" ht="11.85" customHeight="1" x14ac:dyDescent="0.25">
      <c r="A601" s="71" t="s">
        <v>620</v>
      </c>
      <c r="B601" s="71"/>
      <c r="C601" s="71"/>
      <c r="D601" s="71"/>
      <c r="E601" s="71"/>
      <c r="F601" s="71"/>
      <c r="G601" s="71"/>
      <c r="H601" s="71"/>
    </row>
    <row r="602" spans="1:20" ht="11.1" customHeight="1" x14ac:dyDescent="0.25">
      <c r="O602" s="59" t="s">
        <v>313</v>
      </c>
      <c r="P602" s="62">
        <v>16299</v>
      </c>
      <c r="R602" s="62">
        <v>3240.89</v>
      </c>
      <c r="S602" s="61">
        <v>0</v>
      </c>
      <c r="T602" s="62">
        <v>806.18</v>
      </c>
    </row>
    <row r="603" spans="1:20" ht="11.1" customHeight="1" x14ac:dyDescent="0.25">
      <c r="O603" s="59" t="s">
        <v>436</v>
      </c>
      <c r="P603" s="62">
        <v>13628.76</v>
      </c>
      <c r="R603" s="62">
        <v>706.66</v>
      </c>
      <c r="S603" s="61">
        <v>0</v>
      </c>
      <c r="T603" s="62">
        <v>0</v>
      </c>
    </row>
    <row r="604" spans="1:20" ht="11.1" customHeight="1" x14ac:dyDescent="0.25">
      <c r="A604" s="56">
        <v>109513</v>
      </c>
      <c r="B604" s="72">
        <v>46049</v>
      </c>
      <c r="C604" s="68">
        <v>46049</v>
      </c>
      <c r="D604" s="58" t="s">
        <v>988</v>
      </c>
      <c r="E604" s="59" t="s">
        <v>352</v>
      </c>
      <c r="F604" s="56">
        <v>36</v>
      </c>
      <c r="G604" s="73">
        <v>657</v>
      </c>
      <c r="H604" s="74" t="s">
        <v>989</v>
      </c>
      <c r="I604" s="59" t="s">
        <v>990</v>
      </c>
      <c r="J604" s="59" t="s">
        <v>991</v>
      </c>
      <c r="K604" s="69">
        <v>5102</v>
      </c>
      <c r="L604" s="56">
        <v>205</v>
      </c>
      <c r="M604" s="59" t="s">
        <v>26</v>
      </c>
      <c r="N604" s="61">
        <v>223.24</v>
      </c>
      <c r="O604" s="59" t="s">
        <v>313</v>
      </c>
      <c r="P604" s="62">
        <v>223.24</v>
      </c>
      <c r="Q604" s="63">
        <v>20</v>
      </c>
      <c r="R604" s="62">
        <v>44.65</v>
      </c>
      <c r="S604" s="61">
        <v>0</v>
      </c>
      <c r="T604" s="62">
        <v>0</v>
      </c>
    </row>
    <row r="605" spans="1:20" ht="11.85" customHeight="1" x14ac:dyDescent="0.25">
      <c r="A605" s="71" t="s">
        <v>620</v>
      </c>
      <c r="B605" s="71"/>
      <c r="C605" s="71"/>
      <c r="D605" s="71"/>
      <c r="E605" s="71"/>
      <c r="F605" s="71"/>
      <c r="G605" s="71"/>
      <c r="H605" s="71"/>
    </row>
    <row r="606" spans="1:20" ht="11.1" customHeight="1" x14ac:dyDescent="0.25">
      <c r="O606" s="59" t="s">
        <v>313</v>
      </c>
      <c r="P606" s="62">
        <v>223.24</v>
      </c>
      <c r="R606" s="62">
        <v>44.65</v>
      </c>
      <c r="S606" s="61">
        <v>0</v>
      </c>
      <c r="T606" s="62">
        <v>0</v>
      </c>
    </row>
    <row r="607" spans="1:20" ht="11.1" customHeight="1" x14ac:dyDescent="0.25">
      <c r="A607" s="56">
        <v>108523</v>
      </c>
      <c r="B607" s="72">
        <v>46028</v>
      </c>
      <c r="C607" s="68">
        <v>46028</v>
      </c>
      <c r="D607" s="58" t="s">
        <v>992</v>
      </c>
      <c r="E607" s="59" t="s">
        <v>352</v>
      </c>
      <c r="F607" s="56">
        <v>36</v>
      </c>
      <c r="G607" s="73">
        <v>911</v>
      </c>
      <c r="H607" s="74" t="s">
        <v>993</v>
      </c>
      <c r="I607" s="59" t="s">
        <v>994</v>
      </c>
      <c r="J607" s="59" t="s">
        <v>995</v>
      </c>
      <c r="K607" s="69">
        <v>5102</v>
      </c>
      <c r="L607" s="56">
        <v>205</v>
      </c>
      <c r="M607" s="59" t="s">
        <v>26</v>
      </c>
      <c r="N607" s="61">
        <v>849.02</v>
      </c>
      <c r="O607" s="59" t="s">
        <v>313</v>
      </c>
      <c r="P607" s="62">
        <v>849.02</v>
      </c>
      <c r="Q607" s="63">
        <v>20</v>
      </c>
      <c r="R607" s="62">
        <v>169.8</v>
      </c>
      <c r="S607" s="61">
        <v>0</v>
      </c>
      <c r="T607" s="62">
        <v>0</v>
      </c>
    </row>
    <row r="608" spans="1:20" ht="11.1" customHeight="1" x14ac:dyDescent="0.25">
      <c r="A608" s="56">
        <v>108524</v>
      </c>
      <c r="B608" s="72">
        <v>46028</v>
      </c>
      <c r="C608" s="68">
        <v>46028</v>
      </c>
      <c r="D608" s="58" t="s">
        <v>992</v>
      </c>
      <c r="E608" s="59" t="s">
        <v>352</v>
      </c>
      <c r="F608" s="56">
        <v>36</v>
      </c>
      <c r="G608" s="73">
        <v>911</v>
      </c>
      <c r="H608" s="74" t="s">
        <v>993</v>
      </c>
      <c r="I608" s="59" t="s">
        <v>994</v>
      </c>
      <c r="J608" s="59" t="s">
        <v>995</v>
      </c>
      <c r="K608" s="69">
        <v>5405</v>
      </c>
      <c r="L608" s="56">
        <v>206</v>
      </c>
      <c r="M608" s="59" t="s">
        <v>26</v>
      </c>
      <c r="N608" s="61">
        <v>619.62</v>
      </c>
      <c r="O608" s="59" t="s">
        <v>313</v>
      </c>
      <c r="P608" s="62">
        <v>0</v>
      </c>
      <c r="Q608" s="63">
        <v>0</v>
      </c>
      <c r="R608" s="62">
        <v>0</v>
      </c>
      <c r="S608" s="61">
        <v>0</v>
      </c>
      <c r="T608" s="62">
        <v>619.62</v>
      </c>
    </row>
    <row r="609" spans="1:20" ht="11.1" customHeight="1" x14ac:dyDescent="0.25">
      <c r="A609" s="56">
        <v>108525</v>
      </c>
      <c r="B609" s="72">
        <v>46028</v>
      </c>
      <c r="C609" s="68">
        <v>46028</v>
      </c>
      <c r="D609" s="58" t="s">
        <v>992</v>
      </c>
      <c r="E609" s="59" t="s">
        <v>352</v>
      </c>
      <c r="F609" s="56">
        <v>36</v>
      </c>
      <c r="G609" s="73">
        <v>911</v>
      </c>
      <c r="H609" s="74" t="s">
        <v>993</v>
      </c>
      <c r="I609" s="59" t="s">
        <v>994</v>
      </c>
      <c r="J609" s="59" t="s">
        <v>995</v>
      </c>
      <c r="K609" s="69">
        <v>5403</v>
      </c>
      <c r="L609" s="56">
        <v>207</v>
      </c>
      <c r="M609" s="59" t="s">
        <v>26</v>
      </c>
      <c r="N609" s="61">
        <v>1303.05</v>
      </c>
      <c r="O609" s="59" t="s">
        <v>313</v>
      </c>
      <c r="P609" s="62">
        <v>1217.8</v>
      </c>
      <c r="Q609" s="63">
        <v>20</v>
      </c>
      <c r="R609" s="62">
        <v>243.56</v>
      </c>
      <c r="S609" s="61">
        <v>0</v>
      </c>
      <c r="T609" s="62">
        <v>85.25</v>
      </c>
    </row>
    <row r="610" spans="1:20" ht="11.1" customHeight="1" x14ac:dyDescent="0.25">
      <c r="O610" s="59" t="s">
        <v>436</v>
      </c>
      <c r="P610" s="62">
        <v>1644.03</v>
      </c>
      <c r="Q610" s="63">
        <v>20</v>
      </c>
      <c r="R610" s="62">
        <v>85.25</v>
      </c>
      <c r="S610" s="61">
        <v>0</v>
      </c>
      <c r="T610" s="62">
        <v>0</v>
      </c>
    </row>
    <row r="611" spans="1:20" ht="11.1" customHeight="1" x14ac:dyDescent="0.25">
      <c r="A611" s="56">
        <v>108895</v>
      </c>
      <c r="B611" s="72">
        <v>46036</v>
      </c>
      <c r="C611" s="68">
        <v>46036</v>
      </c>
      <c r="D611" s="58" t="s">
        <v>996</v>
      </c>
      <c r="E611" s="59" t="s">
        <v>352</v>
      </c>
      <c r="F611" s="56">
        <v>36</v>
      </c>
      <c r="G611" s="73">
        <v>911</v>
      </c>
      <c r="H611" s="74" t="s">
        <v>993</v>
      </c>
      <c r="I611" s="59" t="s">
        <v>994</v>
      </c>
      <c r="J611" s="59" t="s">
        <v>995</v>
      </c>
      <c r="K611" s="69">
        <v>5102</v>
      </c>
      <c r="L611" s="56">
        <v>205</v>
      </c>
      <c r="M611" s="59" t="s">
        <v>26</v>
      </c>
      <c r="N611" s="61">
        <v>113.21</v>
      </c>
      <c r="O611" s="59" t="s">
        <v>313</v>
      </c>
      <c r="P611" s="62">
        <v>113.21</v>
      </c>
      <c r="Q611" s="63">
        <v>20</v>
      </c>
      <c r="R611" s="62">
        <v>22.64</v>
      </c>
      <c r="S611" s="61">
        <v>0</v>
      </c>
      <c r="T611" s="62">
        <v>0</v>
      </c>
    </row>
    <row r="612" spans="1:20" ht="11.1" customHeight="1" x14ac:dyDescent="0.25">
      <c r="A612" s="56">
        <v>108896</v>
      </c>
      <c r="B612" s="72">
        <v>46036</v>
      </c>
      <c r="C612" s="68">
        <v>46036</v>
      </c>
      <c r="D612" s="58" t="s">
        <v>996</v>
      </c>
      <c r="E612" s="59" t="s">
        <v>352</v>
      </c>
      <c r="F612" s="56">
        <v>36</v>
      </c>
      <c r="G612" s="73">
        <v>911</v>
      </c>
      <c r="H612" s="74" t="s">
        <v>993</v>
      </c>
      <c r="I612" s="59" t="s">
        <v>994</v>
      </c>
      <c r="J612" s="59" t="s">
        <v>995</v>
      </c>
      <c r="K612" s="69">
        <v>5405</v>
      </c>
      <c r="L612" s="56">
        <v>206</v>
      </c>
      <c r="M612" s="59" t="s">
        <v>26</v>
      </c>
      <c r="N612" s="61">
        <v>309.81</v>
      </c>
      <c r="O612" s="59" t="s">
        <v>313</v>
      </c>
      <c r="P612" s="62">
        <v>0</v>
      </c>
      <c r="Q612" s="63">
        <v>0</v>
      </c>
      <c r="R612" s="62">
        <v>0</v>
      </c>
      <c r="S612" s="61">
        <v>0</v>
      </c>
      <c r="T612" s="62">
        <v>309.81</v>
      </c>
    </row>
    <row r="613" spans="1:20" ht="11.1" customHeight="1" x14ac:dyDescent="0.25">
      <c r="A613" s="56">
        <v>109032</v>
      </c>
      <c r="B613" s="72">
        <v>46038</v>
      </c>
      <c r="C613" s="68">
        <v>46038</v>
      </c>
      <c r="D613" s="58" t="s">
        <v>997</v>
      </c>
      <c r="E613" s="59" t="s">
        <v>352</v>
      </c>
      <c r="F613" s="56">
        <v>36</v>
      </c>
      <c r="G613" s="73">
        <v>911</v>
      </c>
      <c r="H613" s="74" t="s">
        <v>993</v>
      </c>
      <c r="I613" s="59" t="s">
        <v>994</v>
      </c>
      <c r="J613" s="59" t="s">
        <v>995</v>
      </c>
      <c r="K613" s="69">
        <v>5102</v>
      </c>
      <c r="L613" s="56">
        <v>205</v>
      </c>
      <c r="M613" s="59" t="s">
        <v>26</v>
      </c>
      <c r="N613" s="61">
        <v>450.02</v>
      </c>
      <c r="O613" s="59" t="s">
        <v>313</v>
      </c>
      <c r="P613" s="62">
        <v>450.02</v>
      </c>
      <c r="Q613" s="63">
        <v>20</v>
      </c>
      <c r="R613" s="62">
        <v>90</v>
      </c>
      <c r="S613" s="61">
        <v>0</v>
      </c>
      <c r="T613" s="62">
        <v>0</v>
      </c>
    </row>
    <row r="614" spans="1:20" ht="11.1" customHeight="1" x14ac:dyDescent="0.25">
      <c r="A614" s="56">
        <v>109033</v>
      </c>
      <c r="B614" s="72">
        <v>46038</v>
      </c>
      <c r="C614" s="68">
        <v>46038</v>
      </c>
      <c r="D614" s="58" t="s">
        <v>997</v>
      </c>
      <c r="E614" s="59" t="s">
        <v>352</v>
      </c>
      <c r="F614" s="56">
        <v>36</v>
      </c>
      <c r="G614" s="73">
        <v>911</v>
      </c>
      <c r="H614" s="74" t="s">
        <v>993</v>
      </c>
      <c r="I614" s="59" t="s">
        <v>994</v>
      </c>
      <c r="J614" s="59" t="s">
        <v>995</v>
      </c>
      <c r="K614" s="69">
        <v>5403</v>
      </c>
      <c r="L614" s="56">
        <v>207</v>
      </c>
      <c r="M614" s="59" t="s">
        <v>26</v>
      </c>
      <c r="N614" s="61">
        <v>641.79</v>
      </c>
      <c r="O614" s="59" t="s">
        <v>313</v>
      </c>
      <c r="P614" s="62">
        <v>599.79999999999995</v>
      </c>
      <c r="Q614" s="63">
        <v>20</v>
      </c>
      <c r="R614" s="62">
        <v>119.96</v>
      </c>
      <c r="S614" s="61">
        <v>0</v>
      </c>
      <c r="T614" s="62">
        <v>41.99</v>
      </c>
    </row>
    <row r="615" spans="1:20" ht="11.1" customHeight="1" x14ac:dyDescent="0.25">
      <c r="O615" s="59" t="s">
        <v>436</v>
      </c>
      <c r="P615" s="62">
        <v>809.73</v>
      </c>
      <c r="Q615" s="63">
        <v>20</v>
      </c>
      <c r="R615" s="62">
        <v>41.99</v>
      </c>
      <c r="S615" s="61">
        <v>0</v>
      </c>
      <c r="T615" s="62">
        <v>0</v>
      </c>
    </row>
    <row r="616" spans="1:20" ht="11.85" customHeight="1" x14ac:dyDescent="0.25">
      <c r="A616" s="71" t="s">
        <v>620</v>
      </c>
      <c r="B616" s="71"/>
      <c r="C616" s="71"/>
      <c r="D616" s="71"/>
      <c r="E616" s="71"/>
      <c r="F616" s="71"/>
      <c r="G616" s="71"/>
      <c r="H616" s="71"/>
    </row>
    <row r="617" spans="1:20" ht="11.1" customHeight="1" x14ac:dyDescent="0.25">
      <c r="O617" s="59" t="s">
        <v>313</v>
      </c>
      <c r="P617" s="62">
        <v>3229.85</v>
      </c>
      <c r="R617" s="62">
        <v>645.96</v>
      </c>
      <c r="S617" s="61">
        <v>0</v>
      </c>
      <c r="T617" s="62">
        <v>1056.67</v>
      </c>
    </row>
    <row r="618" spans="1:20" ht="11.1" customHeight="1" x14ac:dyDescent="0.25">
      <c r="O618" s="59" t="s">
        <v>436</v>
      </c>
      <c r="P618" s="62">
        <v>2453.7600000000002</v>
      </c>
      <c r="R618" s="62">
        <v>127.24</v>
      </c>
      <c r="S618" s="61">
        <v>0</v>
      </c>
      <c r="T618" s="62">
        <v>0</v>
      </c>
    </row>
    <row r="619" spans="1:20" ht="11.1" customHeight="1" x14ac:dyDescent="0.25">
      <c r="A619" s="56">
        <v>108648</v>
      </c>
      <c r="B619" s="72">
        <v>46030</v>
      </c>
      <c r="C619" s="68">
        <v>46030</v>
      </c>
      <c r="D619" s="58" t="s">
        <v>998</v>
      </c>
      <c r="E619" s="59" t="s">
        <v>352</v>
      </c>
      <c r="F619" s="56">
        <v>36</v>
      </c>
      <c r="G619" s="73">
        <v>375</v>
      </c>
      <c r="H619" s="74" t="s">
        <v>999</v>
      </c>
      <c r="I619" s="59" t="s">
        <v>1000</v>
      </c>
      <c r="J619" s="59" t="s">
        <v>1001</v>
      </c>
      <c r="K619" s="69">
        <v>5403</v>
      </c>
      <c r="L619" s="56">
        <v>207</v>
      </c>
      <c r="M619" s="59" t="s">
        <v>26</v>
      </c>
      <c r="N619" s="61">
        <v>455.72</v>
      </c>
      <c r="O619" s="59" t="s">
        <v>313</v>
      </c>
      <c r="P619" s="62">
        <v>455.72</v>
      </c>
      <c r="Q619" s="63">
        <v>20</v>
      </c>
      <c r="R619" s="62">
        <v>91.14</v>
      </c>
      <c r="S619" s="61">
        <v>0</v>
      </c>
      <c r="T619" s="62">
        <v>0</v>
      </c>
    </row>
    <row r="620" spans="1:20" ht="11.1" customHeight="1" x14ac:dyDescent="0.25">
      <c r="A620" s="56">
        <v>109628</v>
      </c>
      <c r="B620" s="72">
        <v>46051</v>
      </c>
      <c r="C620" s="68">
        <v>46051</v>
      </c>
      <c r="D620" s="58" t="s">
        <v>1002</v>
      </c>
      <c r="E620" s="59" t="s">
        <v>352</v>
      </c>
      <c r="F620" s="56">
        <v>36</v>
      </c>
      <c r="G620" s="73">
        <v>375</v>
      </c>
      <c r="H620" s="74" t="s">
        <v>999</v>
      </c>
      <c r="I620" s="59" t="s">
        <v>1000</v>
      </c>
      <c r="J620" s="59" t="s">
        <v>1001</v>
      </c>
      <c r="K620" s="69">
        <v>5403</v>
      </c>
      <c r="L620" s="56">
        <v>207</v>
      </c>
      <c r="M620" s="59" t="s">
        <v>26</v>
      </c>
      <c r="N620" s="61">
        <v>483.2</v>
      </c>
      <c r="O620" s="59" t="s">
        <v>313</v>
      </c>
      <c r="P620" s="62">
        <v>483.2</v>
      </c>
      <c r="Q620" s="63">
        <v>20</v>
      </c>
      <c r="R620" s="62">
        <v>96.64</v>
      </c>
      <c r="S620" s="61">
        <v>0</v>
      </c>
      <c r="T620" s="62">
        <v>0</v>
      </c>
    </row>
    <row r="621" spans="1:20" ht="11.85" customHeight="1" x14ac:dyDescent="0.25">
      <c r="A621" s="71" t="s">
        <v>620</v>
      </c>
      <c r="B621" s="71"/>
      <c r="C621" s="71"/>
      <c r="D621" s="71"/>
      <c r="E621" s="71"/>
      <c r="F621" s="71"/>
      <c r="G621" s="71"/>
      <c r="H621" s="71"/>
    </row>
    <row r="622" spans="1:20" ht="11.1" customHeight="1" x14ac:dyDescent="0.25">
      <c r="O622" s="59" t="s">
        <v>313</v>
      </c>
      <c r="P622" s="62">
        <v>938.92</v>
      </c>
      <c r="R622" s="62">
        <v>187.78</v>
      </c>
      <c r="S622" s="61">
        <v>0</v>
      </c>
      <c r="T622" s="62">
        <v>0</v>
      </c>
    </row>
    <row r="623" spans="1:20" ht="11.1" customHeight="1" x14ac:dyDescent="0.25">
      <c r="A623" s="56">
        <v>108778</v>
      </c>
      <c r="B623" s="72">
        <v>46034</v>
      </c>
      <c r="C623" s="68">
        <v>46034</v>
      </c>
      <c r="D623" s="58" t="s">
        <v>1003</v>
      </c>
      <c r="E623" s="59" t="s">
        <v>352</v>
      </c>
      <c r="F623" s="56">
        <v>36</v>
      </c>
      <c r="G623" s="73">
        <v>479</v>
      </c>
      <c r="H623" s="74" t="s">
        <v>1004</v>
      </c>
      <c r="I623" s="59" t="s">
        <v>1005</v>
      </c>
      <c r="J623" s="59" t="s">
        <v>1006</v>
      </c>
      <c r="K623" s="69">
        <v>5102</v>
      </c>
      <c r="L623" s="56">
        <v>205</v>
      </c>
      <c r="M623" s="59" t="s">
        <v>26</v>
      </c>
      <c r="N623" s="61">
        <v>912.87</v>
      </c>
      <c r="O623" s="59" t="s">
        <v>313</v>
      </c>
      <c r="P623" s="62">
        <v>912.87</v>
      </c>
      <c r="Q623" s="63">
        <v>20</v>
      </c>
      <c r="R623" s="62">
        <v>182.58</v>
      </c>
      <c r="S623" s="61">
        <v>0</v>
      </c>
      <c r="T623" s="62">
        <v>0</v>
      </c>
    </row>
    <row r="624" spans="1:20" ht="11.1" customHeight="1" x14ac:dyDescent="0.25">
      <c r="A624" s="56">
        <v>108779</v>
      </c>
      <c r="B624" s="72">
        <v>46034</v>
      </c>
      <c r="C624" s="68">
        <v>46034</v>
      </c>
      <c r="D624" s="58" t="s">
        <v>1003</v>
      </c>
      <c r="E624" s="59" t="s">
        <v>352</v>
      </c>
      <c r="F624" s="56">
        <v>36</v>
      </c>
      <c r="G624" s="73">
        <v>479</v>
      </c>
      <c r="H624" s="74" t="s">
        <v>1004</v>
      </c>
      <c r="I624" s="59" t="s">
        <v>1005</v>
      </c>
      <c r="J624" s="59" t="s">
        <v>1006</v>
      </c>
      <c r="K624" s="69">
        <v>5403</v>
      </c>
      <c r="L624" s="56">
        <v>207</v>
      </c>
      <c r="M624" s="59" t="s">
        <v>26</v>
      </c>
      <c r="N624" s="61">
        <v>460.57</v>
      </c>
      <c r="O624" s="59" t="s">
        <v>313</v>
      </c>
      <c r="P624" s="62">
        <v>430.43</v>
      </c>
      <c r="Q624" s="63">
        <v>20</v>
      </c>
      <c r="R624" s="62">
        <v>86.08</v>
      </c>
      <c r="S624" s="61">
        <v>0</v>
      </c>
      <c r="T624" s="62">
        <v>30.14</v>
      </c>
    </row>
    <row r="625" spans="1:20" ht="11.1" customHeight="1" x14ac:dyDescent="0.25">
      <c r="O625" s="59" t="s">
        <v>436</v>
      </c>
      <c r="P625" s="62">
        <v>581.08000000000004</v>
      </c>
      <c r="Q625" s="63">
        <v>20</v>
      </c>
      <c r="R625" s="62">
        <v>30.14</v>
      </c>
      <c r="S625" s="61">
        <v>0</v>
      </c>
      <c r="T625" s="62">
        <v>0</v>
      </c>
    </row>
    <row r="626" spans="1:20" ht="11.1" customHeight="1" x14ac:dyDescent="0.25">
      <c r="A626" s="56">
        <v>109107</v>
      </c>
      <c r="B626" s="72">
        <v>46041</v>
      </c>
      <c r="C626" s="68">
        <v>46041</v>
      </c>
      <c r="D626" s="58" t="s">
        <v>1007</v>
      </c>
      <c r="E626" s="59" t="s">
        <v>352</v>
      </c>
      <c r="F626" s="56">
        <v>36</v>
      </c>
      <c r="G626" s="73">
        <v>479</v>
      </c>
      <c r="H626" s="74" t="s">
        <v>1004</v>
      </c>
      <c r="I626" s="59" t="s">
        <v>1005</v>
      </c>
      <c r="J626" s="59" t="s">
        <v>1006</v>
      </c>
      <c r="K626" s="69">
        <v>5102</v>
      </c>
      <c r="L626" s="56">
        <v>205</v>
      </c>
      <c r="M626" s="59" t="s">
        <v>26</v>
      </c>
      <c r="N626" s="61">
        <v>227.34</v>
      </c>
      <c r="O626" s="59" t="s">
        <v>313</v>
      </c>
      <c r="P626" s="62">
        <v>227.34</v>
      </c>
      <c r="Q626" s="63">
        <v>20</v>
      </c>
      <c r="R626" s="62">
        <v>45.47</v>
      </c>
      <c r="S626" s="61">
        <v>0</v>
      </c>
      <c r="T626" s="62">
        <v>0</v>
      </c>
    </row>
    <row r="627" spans="1:20" ht="11.1" customHeight="1" x14ac:dyDescent="0.25">
      <c r="A627" s="56">
        <v>109108</v>
      </c>
      <c r="B627" s="72">
        <v>46041</v>
      </c>
      <c r="C627" s="68">
        <v>46041</v>
      </c>
      <c r="D627" s="58" t="s">
        <v>1007</v>
      </c>
      <c r="E627" s="59" t="s">
        <v>352</v>
      </c>
      <c r="F627" s="56">
        <v>36</v>
      </c>
      <c r="G627" s="73">
        <v>479</v>
      </c>
      <c r="H627" s="74" t="s">
        <v>1004</v>
      </c>
      <c r="I627" s="59" t="s">
        <v>1005</v>
      </c>
      <c r="J627" s="59" t="s">
        <v>1006</v>
      </c>
      <c r="K627" s="69">
        <v>5403</v>
      </c>
      <c r="L627" s="56">
        <v>207</v>
      </c>
      <c r="M627" s="59" t="s">
        <v>26</v>
      </c>
      <c r="N627" s="61">
        <v>269.64</v>
      </c>
      <c r="O627" s="59" t="s">
        <v>313</v>
      </c>
      <c r="P627" s="62">
        <v>252</v>
      </c>
      <c r="Q627" s="63">
        <v>20</v>
      </c>
      <c r="R627" s="62">
        <v>50.4</v>
      </c>
      <c r="S627" s="61">
        <v>0</v>
      </c>
      <c r="T627" s="62">
        <v>17.64</v>
      </c>
    </row>
    <row r="628" spans="1:20" ht="11.1" customHeight="1" x14ac:dyDescent="0.25">
      <c r="O628" s="59" t="s">
        <v>436</v>
      </c>
      <c r="P628" s="62">
        <v>340.2</v>
      </c>
      <c r="Q628" s="63">
        <v>20</v>
      </c>
      <c r="R628" s="62">
        <v>17.64</v>
      </c>
      <c r="S628" s="61">
        <v>0</v>
      </c>
      <c r="T628" s="62">
        <v>0</v>
      </c>
    </row>
    <row r="629" spans="1:20" ht="11.1" customHeight="1" x14ac:dyDescent="0.25">
      <c r="A629" s="56">
        <v>109265</v>
      </c>
      <c r="B629" s="72">
        <v>46044</v>
      </c>
      <c r="C629" s="68">
        <v>46044</v>
      </c>
      <c r="D629" s="58" t="s">
        <v>1008</v>
      </c>
      <c r="E629" s="59" t="s">
        <v>352</v>
      </c>
      <c r="F629" s="56">
        <v>36</v>
      </c>
      <c r="G629" s="73">
        <v>479</v>
      </c>
      <c r="H629" s="74" t="s">
        <v>1004</v>
      </c>
      <c r="I629" s="59" t="s">
        <v>1005</v>
      </c>
      <c r="J629" s="59" t="s">
        <v>1006</v>
      </c>
      <c r="K629" s="69">
        <v>5102</v>
      </c>
      <c r="L629" s="56">
        <v>205</v>
      </c>
      <c r="M629" s="59" t="s">
        <v>26</v>
      </c>
      <c r="N629" s="61">
        <v>274.68</v>
      </c>
      <c r="O629" s="59" t="s">
        <v>313</v>
      </c>
      <c r="P629" s="62">
        <v>274.68</v>
      </c>
      <c r="Q629" s="63">
        <v>20</v>
      </c>
      <c r="R629" s="62">
        <v>54.94</v>
      </c>
      <c r="S629" s="61">
        <v>0</v>
      </c>
      <c r="T629" s="62">
        <v>0</v>
      </c>
    </row>
    <row r="630" spans="1:20" ht="11.1" customHeight="1" x14ac:dyDescent="0.25">
      <c r="A630" s="56">
        <v>109266</v>
      </c>
      <c r="B630" s="72">
        <v>46044</v>
      </c>
      <c r="C630" s="68">
        <v>46044</v>
      </c>
      <c r="D630" s="58" t="s">
        <v>1008</v>
      </c>
      <c r="E630" s="59" t="s">
        <v>352</v>
      </c>
      <c r="F630" s="56">
        <v>36</v>
      </c>
      <c r="G630" s="73">
        <v>479</v>
      </c>
      <c r="H630" s="74" t="s">
        <v>1004</v>
      </c>
      <c r="I630" s="59" t="s">
        <v>1005</v>
      </c>
      <c r="J630" s="59" t="s">
        <v>1006</v>
      </c>
      <c r="K630" s="69">
        <v>5403</v>
      </c>
      <c r="L630" s="56">
        <v>207</v>
      </c>
      <c r="M630" s="59" t="s">
        <v>26</v>
      </c>
      <c r="N630" s="61">
        <v>170.37</v>
      </c>
      <c r="O630" s="59" t="s">
        <v>313</v>
      </c>
      <c r="P630" s="62">
        <v>159.22</v>
      </c>
      <c r="Q630" s="63">
        <v>20</v>
      </c>
      <c r="R630" s="62">
        <v>31.84</v>
      </c>
      <c r="S630" s="61">
        <v>0</v>
      </c>
      <c r="T630" s="62">
        <v>11.15</v>
      </c>
    </row>
    <row r="631" spans="1:20" ht="11.1" customHeight="1" x14ac:dyDescent="0.25">
      <c r="O631" s="59" t="s">
        <v>436</v>
      </c>
      <c r="P631" s="62">
        <v>214.95</v>
      </c>
      <c r="Q631" s="63">
        <v>20</v>
      </c>
      <c r="R631" s="62">
        <v>11.15</v>
      </c>
      <c r="S631" s="61">
        <v>0</v>
      </c>
      <c r="T631" s="62">
        <v>0</v>
      </c>
    </row>
    <row r="632" spans="1:20" ht="11.1" customHeight="1" x14ac:dyDescent="0.25">
      <c r="A632" s="56">
        <v>109610</v>
      </c>
      <c r="B632" s="72">
        <v>46051</v>
      </c>
      <c r="C632" s="68">
        <v>46051</v>
      </c>
      <c r="D632" s="58" t="s">
        <v>1009</v>
      </c>
      <c r="E632" s="59" t="s">
        <v>352</v>
      </c>
      <c r="F632" s="56">
        <v>36</v>
      </c>
      <c r="G632" s="73">
        <v>479</v>
      </c>
      <c r="H632" s="74" t="s">
        <v>1004</v>
      </c>
      <c r="I632" s="59" t="s">
        <v>1005</v>
      </c>
      <c r="J632" s="59" t="s">
        <v>1006</v>
      </c>
      <c r="K632" s="69">
        <v>5102</v>
      </c>
      <c r="L632" s="56">
        <v>205</v>
      </c>
      <c r="M632" s="59" t="s">
        <v>26</v>
      </c>
      <c r="N632" s="61">
        <v>79</v>
      </c>
      <c r="O632" s="59" t="s">
        <v>313</v>
      </c>
      <c r="P632" s="62">
        <v>79</v>
      </c>
      <c r="Q632" s="63">
        <v>20</v>
      </c>
      <c r="R632" s="62">
        <v>15.8</v>
      </c>
      <c r="S632" s="61">
        <v>0</v>
      </c>
      <c r="T632" s="62">
        <v>0</v>
      </c>
    </row>
    <row r="633" spans="1:20" ht="11.1" customHeight="1" x14ac:dyDescent="0.25">
      <c r="A633" s="56">
        <v>109611</v>
      </c>
      <c r="B633" s="72">
        <v>46051</v>
      </c>
      <c r="C633" s="68">
        <v>46051</v>
      </c>
      <c r="D633" s="58" t="s">
        <v>1009</v>
      </c>
      <c r="E633" s="59" t="s">
        <v>352</v>
      </c>
      <c r="F633" s="56">
        <v>36</v>
      </c>
      <c r="G633" s="73">
        <v>479</v>
      </c>
      <c r="H633" s="74" t="s">
        <v>1004</v>
      </c>
      <c r="I633" s="59" t="s">
        <v>1005</v>
      </c>
      <c r="J633" s="59" t="s">
        <v>1006</v>
      </c>
      <c r="K633" s="69">
        <v>5403</v>
      </c>
      <c r="L633" s="56">
        <v>207</v>
      </c>
      <c r="M633" s="59" t="s">
        <v>26</v>
      </c>
      <c r="N633" s="61">
        <v>170.37</v>
      </c>
      <c r="O633" s="59" t="s">
        <v>313</v>
      </c>
      <c r="P633" s="62">
        <v>159.22</v>
      </c>
      <c r="Q633" s="63">
        <v>20</v>
      </c>
      <c r="R633" s="62">
        <v>31.84</v>
      </c>
      <c r="S633" s="61">
        <v>0</v>
      </c>
      <c r="T633" s="62">
        <v>11.15</v>
      </c>
    </row>
    <row r="634" spans="1:20" ht="11.1" customHeight="1" x14ac:dyDescent="0.25">
      <c r="O634" s="59" t="s">
        <v>436</v>
      </c>
      <c r="P634" s="62">
        <v>214.95</v>
      </c>
      <c r="Q634" s="63">
        <v>20</v>
      </c>
      <c r="R634" s="62">
        <v>11.15</v>
      </c>
      <c r="S634" s="61">
        <v>0</v>
      </c>
      <c r="T634" s="62">
        <v>0</v>
      </c>
    </row>
    <row r="635" spans="1:20" ht="11.1" customHeight="1" x14ac:dyDescent="0.25">
      <c r="A635" s="56">
        <v>109646</v>
      </c>
      <c r="B635" s="72">
        <v>46051</v>
      </c>
      <c r="C635" s="68">
        <v>46051</v>
      </c>
      <c r="D635" s="58" t="s">
        <v>1010</v>
      </c>
      <c r="E635" s="59" t="s">
        <v>352</v>
      </c>
      <c r="F635" s="56">
        <v>36</v>
      </c>
      <c r="G635" s="73">
        <v>479</v>
      </c>
      <c r="H635" s="74" t="s">
        <v>1004</v>
      </c>
      <c r="I635" s="59" t="s">
        <v>1005</v>
      </c>
      <c r="J635" s="59" t="s">
        <v>1006</v>
      </c>
      <c r="K635" s="69">
        <v>5102</v>
      </c>
      <c r="L635" s="56">
        <v>205</v>
      </c>
      <c r="M635" s="59" t="s">
        <v>26</v>
      </c>
      <c r="N635" s="61">
        <v>100.96</v>
      </c>
      <c r="O635" s="59" t="s">
        <v>313</v>
      </c>
      <c r="P635" s="62">
        <v>100.96</v>
      </c>
      <c r="Q635" s="63">
        <v>20</v>
      </c>
      <c r="R635" s="62">
        <v>20.2</v>
      </c>
      <c r="S635" s="61">
        <v>0</v>
      </c>
      <c r="T635" s="62">
        <v>0</v>
      </c>
    </row>
    <row r="636" spans="1:20" ht="11.85" customHeight="1" x14ac:dyDescent="0.25">
      <c r="A636" s="71" t="s">
        <v>620</v>
      </c>
      <c r="B636" s="71"/>
      <c r="C636" s="71"/>
      <c r="D636" s="71"/>
      <c r="E636" s="71"/>
      <c r="F636" s="71"/>
      <c r="G636" s="71"/>
      <c r="H636" s="71"/>
    </row>
    <row r="637" spans="1:20" ht="11.1" customHeight="1" x14ac:dyDescent="0.25">
      <c r="O637" s="59" t="s">
        <v>313</v>
      </c>
      <c r="P637" s="62">
        <v>2595.7199999999998</v>
      </c>
      <c r="R637" s="62">
        <v>519.15</v>
      </c>
      <c r="S637" s="61">
        <v>0</v>
      </c>
      <c r="T637" s="62">
        <v>70.08</v>
      </c>
    </row>
    <row r="638" spans="1:20" ht="11.1" customHeight="1" x14ac:dyDescent="0.25">
      <c r="O638" s="59" t="s">
        <v>436</v>
      </c>
      <c r="P638" s="62">
        <v>1351.18</v>
      </c>
      <c r="R638" s="62">
        <v>70.08</v>
      </c>
      <c r="S638" s="61">
        <v>0</v>
      </c>
      <c r="T638" s="62">
        <v>0</v>
      </c>
    </row>
    <row r="639" spans="1:20" ht="11.1" customHeight="1" x14ac:dyDescent="0.25">
      <c r="A639" s="56">
        <v>108991</v>
      </c>
      <c r="B639" s="72">
        <v>46037</v>
      </c>
      <c r="C639" s="68">
        <v>46037</v>
      </c>
      <c r="D639" s="58" t="s">
        <v>1011</v>
      </c>
      <c r="E639" s="59" t="s">
        <v>352</v>
      </c>
      <c r="F639" s="56">
        <v>36</v>
      </c>
      <c r="G639" s="73">
        <v>237</v>
      </c>
      <c r="H639" s="74" t="s">
        <v>1012</v>
      </c>
      <c r="I639" s="59" t="s">
        <v>1013</v>
      </c>
      <c r="J639" s="59" t="s">
        <v>1014</v>
      </c>
      <c r="K639" s="69">
        <v>5102</v>
      </c>
      <c r="L639" s="56">
        <v>205</v>
      </c>
      <c r="M639" s="59" t="s">
        <v>26</v>
      </c>
      <c r="N639" s="61">
        <v>55.72</v>
      </c>
      <c r="O639" s="59" t="s">
        <v>313</v>
      </c>
      <c r="P639" s="62">
        <v>55.72</v>
      </c>
      <c r="Q639" s="63">
        <v>20</v>
      </c>
      <c r="R639" s="62">
        <v>11.14</v>
      </c>
      <c r="S639" s="61">
        <v>0</v>
      </c>
      <c r="T639" s="62">
        <v>0</v>
      </c>
    </row>
    <row r="640" spans="1:20" ht="11.1" customHeight="1" x14ac:dyDescent="0.25">
      <c r="A640" s="56">
        <v>108992</v>
      </c>
      <c r="B640" s="72">
        <v>46037</v>
      </c>
      <c r="C640" s="68">
        <v>46037</v>
      </c>
      <c r="D640" s="58" t="s">
        <v>1011</v>
      </c>
      <c r="E640" s="59" t="s">
        <v>352</v>
      </c>
      <c r="F640" s="56">
        <v>36</v>
      </c>
      <c r="G640" s="73">
        <v>237</v>
      </c>
      <c r="H640" s="74" t="s">
        <v>1012</v>
      </c>
      <c r="I640" s="59" t="s">
        <v>1013</v>
      </c>
      <c r="J640" s="59" t="s">
        <v>1014</v>
      </c>
      <c r="K640" s="69">
        <v>5403</v>
      </c>
      <c r="L640" s="56">
        <v>207</v>
      </c>
      <c r="M640" s="59" t="s">
        <v>26</v>
      </c>
      <c r="N640" s="61">
        <v>2000.76</v>
      </c>
      <c r="O640" s="59" t="s">
        <v>313</v>
      </c>
      <c r="P640" s="62">
        <v>1869.87</v>
      </c>
      <c r="Q640" s="63">
        <v>20</v>
      </c>
      <c r="R640" s="62">
        <v>373.97</v>
      </c>
      <c r="S640" s="61">
        <v>0</v>
      </c>
      <c r="T640" s="62">
        <v>130.88999999999999</v>
      </c>
    </row>
    <row r="641" spans="1:20" ht="11.1" customHeight="1" x14ac:dyDescent="0.25">
      <c r="O641" s="59" t="s">
        <v>436</v>
      </c>
      <c r="P641" s="62">
        <v>2524.33</v>
      </c>
      <c r="Q641" s="63">
        <v>20</v>
      </c>
      <c r="R641" s="62">
        <v>130.88999999999999</v>
      </c>
      <c r="S641" s="61">
        <v>0</v>
      </c>
      <c r="T641" s="62">
        <v>0</v>
      </c>
    </row>
    <row r="642" spans="1:20" ht="11.1" customHeight="1" x14ac:dyDescent="0.25">
      <c r="A642" s="56">
        <v>109046</v>
      </c>
      <c r="B642" s="72">
        <v>46038</v>
      </c>
      <c r="C642" s="68">
        <v>46038</v>
      </c>
      <c r="D642" s="58" t="s">
        <v>1015</v>
      </c>
      <c r="E642" s="59" t="s">
        <v>352</v>
      </c>
      <c r="F642" s="56">
        <v>36</v>
      </c>
      <c r="G642" s="73">
        <v>237</v>
      </c>
      <c r="H642" s="74" t="s">
        <v>1012</v>
      </c>
      <c r="I642" s="59" t="s">
        <v>1013</v>
      </c>
      <c r="J642" s="59" t="s">
        <v>1014</v>
      </c>
      <c r="K642" s="69">
        <v>5102</v>
      </c>
      <c r="L642" s="56">
        <v>205</v>
      </c>
      <c r="M642" s="59" t="s">
        <v>26</v>
      </c>
      <c r="N642" s="61">
        <v>612.91999999999996</v>
      </c>
      <c r="O642" s="59" t="s">
        <v>313</v>
      </c>
      <c r="P642" s="62">
        <v>612.91999999999996</v>
      </c>
      <c r="Q642" s="63">
        <v>20</v>
      </c>
      <c r="R642" s="62">
        <v>122.58</v>
      </c>
      <c r="S642" s="61">
        <v>0</v>
      </c>
      <c r="T642" s="62">
        <v>0</v>
      </c>
    </row>
    <row r="643" spans="1:20" ht="11.1" customHeight="1" x14ac:dyDescent="0.25">
      <c r="A643" s="56">
        <v>109047</v>
      </c>
      <c r="B643" s="72">
        <v>46038</v>
      </c>
      <c r="C643" s="68">
        <v>46038</v>
      </c>
      <c r="D643" s="58" t="s">
        <v>1015</v>
      </c>
      <c r="E643" s="59" t="s">
        <v>352</v>
      </c>
      <c r="F643" s="56">
        <v>36</v>
      </c>
      <c r="G643" s="73">
        <v>237</v>
      </c>
      <c r="H643" s="74" t="s">
        <v>1012</v>
      </c>
      <c r="I643" s="59" t="s">
        <v>1013</v>
      </c>
      <c r="J643" s="59" t="s">
        <v>1014</v>
      </c>
      <c r="K643" s="69">
        <v>5403</v>
      </c>
      <c r="L643" s="56">
        <v>207</v>
      </c>
      <c r="M643" s="59" t="s">
        <v>26</v>
      </c>
      <c r="N643" s="61">
        <v>1736.9</v>
      </c>
      <c r="O643" s="59" t="s">
        <v>313</v>
      </c>
      <c r="P643" s="62">
        <v>1623.27</v>
      </c>
      <c r="Q643" s="63">
        <v>20</v>
      </c>
      <c r="R643" s="62">
        <v>324.64999999999998</v>
      </c>
      <c r="S643" s="61">
        <v>0</v>
      </c>
      <c r="T643" s="62">
        <v>113.63</v>
      </c>
    </row>
    <row r="644" spans="1:20" ht="11.1" customHeight="1" x14ac:dyDescent="0.25">
      <c r="O644" s="59" t="s">
        <v>436</v>
      </c>
      <c r="P644" s="62">
        <v>2191.41</v>
      </c>
      <c r="Q644" s="63">
        <v>20</v>
      </c>
      <c r="R644" s="62">
        <v>113.63</v>
      </c>
      <c r="S644" s="61">
        <v>0</v>
      </c>
      <c r="T644" s="62">
        <v>0</v>
      </c>
    </row>
    <row r="645" spans="1:20" ht="11.1" customHeight="1" x14ac:dyDescent="0.25">
      <c r="A645" s="56">
        <v>109116</v>
      </c>
      <c r="B645" s="72">
        <v>46041</v>
      </c>
      <c r="C645" s="68">
        <v>46041</v>
      </c>
      <c r="D645" s="58" t="s">
        <v>1016</v>
      </c>
      <c r="E645" s="59" t="s">
        <v>352</v>
      </c>
      <c r="F645" s="56">
        <v>36</v>
      </c>
      <c r="G645" s="73">
        <v>237</v>
      </c>
      <c r="H645" s="74" t="s">
        <v>1012</v>
      </c>
      <c r="I645" s="59" t="s">
        <v>1013</v>
      </c>
      <c r="J645" s="59" t="s">
        <v>1014</v>
      </c>
      <c r="K645" s="69">
        <v>5403</v>
      </c>
      <c r="L645" s="56">
        <v>207</v>
      </c>
      <c r="M645" s="59" t="s">
        <v>26</v>
      </c>
      <c r="N645" s="61">
        <v>3351.67</v>
      </c>
      <c r="O645" s="59" t="s">
        <v>313</v>
      </c>
      <c r="P645" s="62">
        <v>3132.4</v>
      </c>
      <c r="Q645" s="63">
        <v>20</v>
      </c>
      <c r="R645" s="62">
        <v>626.48</v>
      </c>
      <c r="S645" s="61">
        <v>0</v>
      </c>
      <c r="T645" s="62">
        <v>219.27</v>
      </c>
    </row>
    <row r="646" spans="1:20" ht="11.1" customHeight="1" x14ac:dyDescent="0.25">
      <c r="O646" s="59" t="s">
        <v>436</v>
      </c>
      <c r="P646" s="62">
        <v>4228.74</v>
      </c>
      <c r="Q646" s="63">
        <v>20</v>
      </c>
      <c r="R646" s="62">
        <v>219.27</v>
      </c>
      <c r="S646" s="61">
        <v>0</v>
      </c>
      <c r="T646" s="62">
        <v>0</v>
      </c>
    </row>
    <row r="647" spans="1:20" ht="11.1" customHeight="1" x14ac:dyDescent="0.25">
      <c r="A647" s="56">
        <v>109627</v>
      </c>
      <c r="B647" s="72">
        <v>46051</v>
      </c>
      <c r="C647" s="68">
        <v>46051</v>
      </c>
      <c r="D647" s="58" t="s">
        <v>1017</v>
      </c>
      <c r="E647" s="59" t="s">
        <v>352</v>
      </c>
      <c r="F647" s="56">
        <v>36</v>
      </c>
      <c r="G647" s="73">
        <v>237</v>
      </c>
      <c r="H647" s="74" t="s">
        <v>1012</v>
      </c>
      <c r="I647" s="59" t="s">
        <v>1013</v>
      </c>
      <c r="J647" s="59" t="s">
        <v>1014</v>
      </c>
      <c r="K647" s="69">
        <v>5403</v>
      </c>
      <c r="L647" s="56">
        <v>207</v>
      </c>
      <c r="M647" s="59" t="s">
        <v>26</v>
      </c>
      <c r="N647" s="61">
        <v>234.2</v>
      </c>
      <c r="O647" s="59" t="s">
        <v>313</v>
      </c>
      <c r="P647" s="62">
        <v>218.88</v>
      </c>
      <c r="Q647" s="63">
        <v>20</v>
      </c>
      <c r="R647" s="62">
        <v>43.78</v>
      </c>
      <c r="S647" s="61">
        <v>0</v>
      </c>
      <c r="T647" s="62">
        <v>15.32</v>
      </c>
    </row>
    <row r="648" spans="1:20" ht="11.1" customHeight="1" x14ac:dyDescent="0.25">
      <c r="O648" s="59" t="s">
        <v>436</v>
      </c>
      <c r="P648" s="62">
        <v>295.49</v>
      </c>
      <c r="Q648" s="63">
        <v>20</v>
      </c>
      <c r="R648" s="62">
        <v>15.32</v>
      </c>
      <c r="S648" s="61">
        <v>0</v>
      </c>
      <c r="T648" s="62">
        <v>0</v>
      </c>
    </row>
    <row r="649" spans="1:20" ht="11.85" customHeight="1" x14ac:dyDescent="0.25">
      <c r="A649" s="71" t="s">
        <v>620</v>
      </c>
      <c r="B649" s="71"/>
      <c r="C649" s="71"/>
      <c r="D649" s="71"/>
      <c r="E649" s="71"/>
      <c r="F649" s="71"/>
      <c r="G649" s="71"/>
      <c r="H649" s="71"/>
    </row>
    <row r="650" spans="1:20" ht="11.1" customHeight="1" x14ac:dyDescent="0.25">
      <c r="O650" s="59" t="s">
        <v>313</v>
      </c>
      <c r="P650" s="62">
        <v>7513.06</v>
      </c>
      <c r="R650" s="62">
        <v>1502.6</v>
      </c>
      <c r="S650" s="61">
        <v>0</v>
      </c>
      <c r="T650" s="62">
        <v>479.11</v>
      </c>
    </row>
    <row r="651" spans="1:20" ht="11.1" customHeight="1" x14ac:dyDescent="0.25">
      <c r="O651" s="59" t="s">
        <v>436</v>
      </c>
      <c r="P651" s="62">
        <v>9239.9699999999993</v>
      </c>
      <c r="R651" s="62">
        <v>479.11</v>
      </c>
      <c r="S651" s="61">
        <v>0</v>
      </c>
      <c r="T651" s="62">
        <v>0</v>
      </c>
    </row>
    <row r="652" spans="1:20" ht="11.1" customHeight="1" x14ac:dyDescent="0.25">
      <c r="A652" s="56">
        <v>108550</v>
      </c>
      <c r="B652" s="72">
        <v>46028</v>
      </c>
      <c r="C652" s="68">
        <v>46028</v>
      </c>
      <c r="D652" s="58" t="s">
        <v>1018</v>
      </c>
      <c r="E652" s="59" t="s">
        <v>352</v>
      </c>
      <c r="F652" s="56">
        <v>36</v>
      </c>
      <c r="G652" s="73">
        <v>486</v>
      </c>
      <c r="H652" s="74" t="s">
        <v>1019</v>
      </c>
      <c r="I652" s="59" t="s">
        <v>1020</v>
      </c>
      <c r="J652" s="59" t="s">
        <v>1021</v>
      </c>
      <c r="K652" s="69">
        <v>5102</v>
      </c>
      <c r="L652" s="56">
        <v>205</v>
      </c>
      <c r="M652" s="59" t="s">
        <v>26</v>
      </c>
      <c r="N652" s="61">
        <v>467.24</v>
      </c>
      <c r="O652" s="59" t="s">
        <v>313</v>
      </c>
      <c r="P652" s="62">
        <v>467.24</v>
      </c>
      <c r="Q652" s="63">
        <v>20</v>
      </c>
      <c r="R652" s="62">
        <v>93.45</v>
      </c>
      <c r="S652" s="61">
        <v>0</v>
      </c>
      <c r="T652" s="62">
        <v>0</v>
      </c>
    </row>
    <row r="653" spans="1:20" ht="11.1" customHeight="1" x14ac:dyDescent="0.25">
      <c r="A653" s="56">
        <v>108551</v>
      </c>
      <c r="B653" s="72">
        <v>46028</v>
      </c>
      <c r="C653" s="68">
        <v>46028</v>
      </c>
      <c r="D653" s="58" t="s">
        <v>1018</v>
      </c>
      <c r="E653" s="59" t="s">
        <v>352</v>
      </c>
      <c r="F653" s="56">
        <v>36</v>
      </c>
      <c r="G653" s="73">
        <v>486</v>
      </c>
      <c r="H653" s="74" t="s">
        <v>1019</v>
      </c>
      <c r="I653" s="59" t="s">
        <v>1020</v>
      </c>
      <c r="J653" s="59" t="s">
        <v>1021</v>
      </c>
      <c r="K653" s="69">
        <v>5403</v>
      </c>
      <c r="L653" s="56">
        <v>207</v>
      </c>
      <c r="M653" s="59" t="s">
        <v>26</v>
      </c>
      <c r="N653" s="61">
        <v>127.76</v>
      </c>
      <c r="O653" s="59" t="s">
        <v>313</v>
      </c>
      <c r="P653" s="62">
        <v>119.4</v>
      </c>
      <c r="Q653" s="63">
        <v>20</v>
      </c>
      <c r="R653" s="62">
        <v>23.88</v>
      </c>
      <c r="S653" s="61">
        <v>0</v>
      </c>
      <c r="T653" s="62">
        <v>8.36</v>
      </c>
    </row>
    <row r="654" spans="1:20" ht="11.1" customHeight="1" x14ac:dyDescent="0.25">
      <c r="O654" s="59" t="s">
        <v>436</v>
      </c>
      <c r="P654" s="62">
        <v>161.19</v>
      </c>
      <c r="Q654" s="63">
        <v>20</v>
      </c>
      <c r="R654" s="62">
        <v>8.36</v>
      </c>
      <c r="S654" s="61">
        <v>0</v>
      </c>
      <c r="T654" s="62">
        <v>0</v>
      </c>
    </row>
    <row r="655" spans="1:20" ht="11.1" customHeight="1" x14ac:dyDescent="0.25">
      <c r="A655" s="56">
        <v>109002</v>
      </c>
      <c r="B655" s="72">
        <v>46037</v>
      </c>
      <c r="C655" s="68">
        <v>46037</v>
      </c>
      <c r="D655" s="58" t="s">
        <v>1022</v>
      </c>
      <c r="E655" s="59" t="s">
        <v>352</v>
      </c>
      <c r="F655" s="56">
        <v>36</v>
      </c>
      <c r="G655" s="73">
        <v>486</v>
      </c>
      <c r="H655" s="74" t="s">
        <v>1019</v>
      </c>
      <c r="I655" s="59" t="s">
        <v>1020</v>
      </c>
      <c r="J655" s="59" t="s">
        <v>1021</v>
      </c>
      <c r="K655" s="69">
        <v>5102</v>
      </c>
      <c r="L655" s="56">
        <v>205</v>
      </c>
      <c r="M655" s="59" t="s">
        <v>26</v>
      </c>
      <c r="N655" s="61">
        <v>203.06</v>
      </c>
      <c r="O655" s="59" t="s">
        <v>313</v>
      </c>
      <c r="P655" s="62">
        <v>203.06</v>
      </c>
      <c r="Q655" s="63">
        <v>20</v>
      </c>
      <c r="R655" s="62">
        <v>40.61</v>
      </c>
      <c r="S655" s="61">
        <v>0</v>
      </c>
      <c r="T655" s="62">
        <v>0</v>
      </c>
    </row>
    <row r="656" spans="1:20" ht="11.1" customHeight="1" x14ac:dyDescent="0.25">
      <c r="A656" s="56">
        <v>109003</v>
      </c>
      <c r="B656" s="72">
        <v>46037</v>
      </c>
      <c r="C656" s="68">
        <v>46037</v>
      </c>
      <c r="D656" s="58" t="s">
        <v>1022</v>
      </c>
      <c r="E656" s="59" t="s">
        <v>352</v>
      </c>
      <c r="F656" s="56">
        <v>36</v>
      </c>
      <c r="G656" s="73">
        <v>486</v>
      </c>
      <c r="H656" s="74" t="s">
        <v>1019</v>
      </c>
      <c r="I656" s="59" t="s">
        <v>1020</v>
      </c>
      <c r="J656" s="59" t="s">
        <v>1021</v>
      </c>
      <c r="K656" s="69">
        <v>5403</v>
      </c>
      <c r="L656" s="56">
        <v>207</v>
      </c>
      <c r="M656" s="59" t="s">
        <v>26</v>
      </c>
      <c r="N656" s="61">
        <v>695.35</v>
      </c>
      <c r="O656" s="59" t="s">
        <v>313</v>
      </c>
      <c r="P656" s="62">
        <v>649.86</v>
      </c>
      <c r="Q656" s="63">
        <v>20</v>
      </c>
      <c r="R656" s="62">
        <v>129.97</v>
      </c>
      <c r="S656" s="61">
        <v>0</v>
      </c>
      <c r="T656" s="62">
        <v>45.49</v>
      </c>
    </row>
    <row r="657" spans="1:20" ht="11.1" customHeight="1" x14ac:dyDescent="0.25">
      <c r="O657" s="59" t="s">
        <v>436</v>
      </c>
      <c r="P657" s="62">
        <v>877.31</v>
      </c>
      <c r="Q657" s="63">
        <v>20</v>
      </c>
      <c r="R657" s="62">
        <v>45.49</v>
      </c>
      <c r="S657" s="61">
        <v>0</v>
      </c>
      <c r="T657" s="62">
        <v>0</v>
      </c>
    </row>
    <row r="658" spans="1:20" ht="11.85" customHeight="1" x14ac:dyDescent="0.25">
      <c r="A658" s="71" t="s">
        <v>620</v>
      </c>
      <c r="B658" s="71"/>
      <c r="C658" s="71"/>
      <c r="D658" s="71"/>
      <c r="E658" s="71"/>
      <c r="F658" s="71"/>
      <c r="G658" s="71"/>
      <c r="H658" s="71"/>
    </row>
    <row r="659" spans="1:20" ht="11.1" customHeight="1" x14ac:dyDescent="0.25">
      <c r="O659" s="59" t="s">
        <v>313</v>
      </c>
      <c r="P659" s="62">
        <v>1439.56</v>
      </c>
      <c r="R659" s="62">
        <v>287.91000000000003</v>
      </c>
      <c r="S659" s="61">
        <v>0</v>
      </c>
      <c r="T659" s="62">
        <v>53.85</v>
      </c>
    </row>
    <row r="660" spans="1:20" ht="11.1" customHeight="1" x14ac:dyDescent="0.25">
      <c r="O660" s="59" t="s">
        <v>436</v>
      </c>
      <c r="P660" s="62">
        <v>1038.5</v>
      </c>
      <c r="R660" s="62">
        <v>53.85</v>
      </c>
      <c r="S660" s="61">
        <v>0</v>
      </c>
      <c r="T660" s="62">
        <v>0</v>
      </c>
    </row>
    <row r="661" spans="1:20" ht="11.1" customHeight="1" x14ac:dyDescent="0.25">
      <c r="A661" s="56">
        <v>108824</v>
      </c>
      <c r="B661" s="72">
        <v>46035</v>
      </c>
      <c r="C661" s="68">
        <v>46035</v>
      </c>
      <c r="D661" s="58" t="s">
        <v>1023</v>
      </c>
      <c r="E661" s="59" t="s">
        <v>352</v>
      </c>
      <c r="F661" s="56">
        <v>36</v>
      </c>
      <c r="G661" s="73">
        <v>92</v>
      </c>
      <c r="H661" s="74" t="s">
        <v>1024</v>
      </c>
      <c r="I661" s="59" t="s">
        <v>1025</v>
      </c>
      <c r="J661" s="59" t="s">
        <v>1026</v>
      </c>
      <c r="K661" s="69">
        <v>6403</v>
      </c>
      <c r="L661" s="56">
        <v>207</v>
      </c>
      <c r="M661" s="59" t="s">
        <v>34</v>
      </c>
      <c r="N661" s="61">
        <v>176</v>
      </c>
      <c r="O661" s="59" t="s">
        <v>313</v>
      </c>
      <c r="P661" s="62">
        <v>152.79</v>
      </c>
      <c r="Q661" s="63">
        <v>12</v>
      </c>
      <c r="R661" s="62">
        <v>18.34</v>
      </c>
      <c r="S661" s="61">
        <v>0</v>
      </c>
      <c r="T661" s="62">
        <v>23.21</v>
      </c>
    </row>
    <row r="662" spans="1:20" ht="11.1" customHeight="1" x14ac:dyDescent="0.25">
      <c r="O662" s="59" t="s">
        <v>436</v>
      </c>
      <c r="P662" s="62">
        <v>218.71</v>
      </c>
      <c r="Q662" s="63">
        <v>19</v>
      </c>
      <c r="R662" s="62">
        <v>23.21</v>
      </c>
      <c r="S662" s="61">
        <v>0</v>
      </c>
      <c r="T662" s="62">
        <v>0</v>
      </c>
    </row>
    <row r="663" spans="1:20" ht="11.1" customHeight="1" x14ac:dyDescent="0.25">
      <c r="A663" s="56">
        <v>108825</v>
      </c>
      <c r="B663" s="72">
        <v>46035</v>
      </c>
      <c r="C663" s="68">
        <v>46035</v>
      </c>
      <c r="D663" s="58" t="s">
        <v>1023</v>
      </c>
      <c r="E663" s="59" t="s">
        <v>352</v>
      </c>
      <c r="F663" s="56">
        <v>36</v>
      </c>
      <c r="G663" s="73">
        <v>92</v>
      </c>
      <c r="H663" s="74" t="s">
        <v>1024</v>
      </c>
      <c r="I663" s="59" t="s">
        <v>1025</v>
      </c>
      <c r="J663" s="59" t="s">
        <v>1026</v>
      </c>
      <c r="K663" s="69">
        <v>6102</v>
      </c>
      <c r="L663" s="56">
        <v>238</v>
      </c>
      <c r="M663" s="59" t="s">
        <v>34</v>
      </c>
      <c r="N663" s="61">
        <v>1663.1</v>
      </c>
      <c r="O663" s="59" t="s">
        <v>313</v>
      </c>
      <c r="P663" s="62">
        <v>1663.1</v>
      </c>
      <c r="Q663" s="63">
        <v>12</v>
      </c>
      <c r="R663" s="62">
        <v>199.57</v>
      </c>
      <c r="S663" s="61">
        <v>0</v>
      </c>
      <c r="T663" s="62">
        <v>0</v>
      </c>
    </row>
    <row r="664" spans="1:20" ht="11.85" customHeight="1" x14ac:dyDescent="0.25">
      <c r="A664" s="71" t="s">
        <v>620</v>
      </c>
      <c r="B664" s="71"/>
      <c r="C664" s="71"/>
      <c r="D664" s="71"/>
      <c r="E664" s="71"/>
      <c r="F664" s="71"/>
      <c r="G664" s="71"/>
      <c r="H664" s="71"/>
    </row>
    <row r="665" spans="1:20" ht="11.1" customHeight="1" x14ac:dyDescent="0.25">
      <c r="O665" s="59" t="s">
        <v>313</v>
      </c>
      <c r="P665" s="62">
        <v>1815.89</v>
      </c>
      <c r="R665" s="62">
        <v>217.91</v>
      </c>
      <c r="S665" s="61">
        <v>0</v>
      </c>
      <c r="T665" s="62">
        <v>23.21</v>
      </c>
    </row>
    <row r="666" spans="1:20" ht="11.1" customHeight="1" x14ac:dyDescent="0.25">
      <c r="O666" s="59" t="s">
        <v>436</v>
      </c>
      <c r="P666" s="62">
        <v>218.71</v>
      </c>
      <c r="R666" s="62">
        <v>23.21</v>
      </c>
      <c r="S666" s="61">
        <v>0</v>
      </c>
      <c r="T666" s="62">
        <v>0</v>
      </c>
    </row>
    <row r="667" spans="1:20" ht="11.1" customHeight="1" x14ac:dyDescent="0.25">
      <c r="A667" s="56">
        <v>108561</v>
      </c>
      <c r="B667" s="72">
        <v>46029</v>
      </c>
      <c r="C667" s="68">
        <v>46029</v>
      </c>
      <c r="D667" s="58" t="s">
        <v>1027</v>
      </c>
      <c r="E667" s="59" t="s">
        <v>352</v>
      </c>
      <c r="F667" s="56">
        <v>36</v>
      </c>
      <c r="G667" s="73">
        <v>134</v>
      </c>
      <c r="H667" s="74" t="s">
        <v>1028</v>
      </c>
      <c r="I667" s="59" t="s">
        <v>1029</v>
      </c>
      <c r="J667" s="59" t="s">
        <v>1030</v>
      </c>
      <c r="K667" s="69">
        <v>5102</v>
      </c>
      <c r="L667" s="56">
        <v>205</v>
      </c>
      <c r="M667" s="59" t="s">
        <v>26</v>
      </c>
      <c r="N667" s="61">
        <v>455.96</v>
      </c>
      <c r="O667" s="59" t="s">
        <v>313</v>
      </c>
      <c r="P667" s="62">
        <v>455.96</v>
      </c>
      <c r="Q667" s="63">
        <v>20</v>
      </c>
      <c r="R667" s="62">
        <v>91.2</v>
      </c>
      <c r="S667" s="61">
        <v>0</v>
      </c>
      <c r="T667" s="62">
        <v>0</v>
      </c>
    </row>
    <row r="668" spans="1:20" ht="11.1" customHeight="1" x14ac:dyDescent="0.25">
      <c r="A668" s="56">
        <v>108612</v>
      </c>
      <c r="B668" s="72">
        <v>46029</v>
      </c>
      <c r="C668" s="68">
        <v>46029</v>
      </c>
      <c r="D668" s="58" t="s">
        <v>1031</v>
      </c>
      <c r="E668" s="59" t="s">
        <v>352</v>
      </c>
      <c r="F668" s="56">
        <v>36</v>
      </c>
      <c r="G668" s="73">
        <v>134</v>
      </c>
      <c r="H668" s="74" t="s">
        <v>1028</v>
      </c>
      <c r="I668" s="59" t="s">
        <v>1029</v>
      </c>
      <c r="J668" s="59" t="s">
        <v>1030</v>
      </c>
      <c r="K668" s="69">
        <v>5102</v>
      </c>
      <c r="L668" s="56">
        <v>205</v>
      </c>
      <c r="M668" s="59" t="s">
        <v>26</v>
      </c>
      <c r="N668" s="61">
        <v>709.26</v>
      </c>
      <c r="O668" s="59" t="s">
        <v>313</v>
      </c>
      <c r="P668" s="62">
        <v>709.26</v>
      </c>
      <c r="Q668" s="63">
        <v>20</v>
      </c>
      <c r="R668" s="62">
        <v>141.85</v>
      </c>
      <c r="S668" s="61">
        <v>0</v>
      </c>
      <c r="T668" s="62">
        <v>0</v>
      </c>
    </row>
    <row r="669" spans="1:20" ht="11.1" customHeight="1" x14ac:dyDescent="0.25">
      <c r="A669" s="56">
        <v>108725</v>
      </c>
      <c r="B669" s="72">
        <v>46031</v>
      </c>
      <c r="C669" s="68">
        <v>46031</v>
      </c>
      <c r="D669" s="58" t="s">
        <v>1032</v>
      </c>
      <c r="E669" s="59" t="s">
        <v>352</v>
      </c>
      <c r="F669" s="56">
        <v>36</v>
      </c>
      <c r="G669" s="73">
        <v>134</v>
      </c>
      <c r="H669" s="74" t="s">
        <v>1028</v>
      </c>
      <c r="I669" s="59" t="s">
        <v>1029</v>
      </c>
      <c r="J669" s="59" t="s">
        <v>1030</v>
      </c>
      <c r="K669" s="69">
        <v>5102</v>
      </c>
      <c r="L669" s="56">
        <v>205</v>
      </c>
      <c r="M669" s="59" t="s">
        <v>26</v>
      </c>
      <c r="N669" s="61">
        <v>215.84</v>
      </c>
      <c r="O669" s="59" t="s">
        <v>313</v>
      </c>
      <c r="P669" s="62">
        <v>215.84</v>
      </c>
      <c r="Q669" s="63">
        <v>20</v>
      </c>
      <c r="R669" s="62">
        <v>43.17</v>
      </c>
      <c r="S669" s="61">
        <v>0</v>
      </c>
      <c r="T669" s="62">
        <v>0</v>
      </c>
    </row>
    <row r="670" spans="1:20" ht="11.1" customHeight="1" x14ac:dyDescent="0.25">
      <c r="A670" s="56">
        <v>108726</v>
      </c>
      <c r="B670" s="72">
        <v>46031</v>
      </c>
      <c r="C670" s="68">
        <v>46031</v>
      </c>
      <c r="D670" s="58" t="s">
        <v>1032</v>
      </c>
      <c r="E670" s="59" t="s">
        <v>352</v>
      </c>
      <c r="F670" s="56">
        <v>36</v>
      </c>
      <c r="G670" s="73">
        <v>134</v>
      </c>
      <c r="H670" s="74" t="s">
        <v>1028</v>
      </c>
      <c r="I670" s="59" t="s">
        <v>1029</v>
      </c>
      <c r="J670" s="59" t="s">
        <v>1030</v>
      </c>
      <c r="K670" s="69">
        <v>5403</v>
      </c>
      <c r="L670" s="56">
        <v>207</v>
      </c>
      <c r="M670" s="59" t="s">
        <v>26</v>
      </c>
      <c r="N670" s="61">
        <v>85.2</v>
      </c>
      <c r="O670" s="59" t="s">
        <v>313</v>
      </c>
      <c r="P670" s="62">
        <v>79.63</v>
      </c>
      <c r="Q670" s="63">
        <v>20</v>
      </c>
      <c r="R670" s="62">
        <v>15.93</v>
      </c>
      <c r="S670" s="61">
        <v>0</v>
      </c>
      <c r="T670" s="62">
        <v>5.57</v>
      </c>
    </row>
    <row r="671" spans="1:20" ht="11.1" customHeight="1" x14ac:dyDescent="0.25">
      <c r="O671" s="59" t="s">
        <v>436</v>
      </c>
      <c r="P671" s="62">
        <v>107.5</v>
      </c>
      <c r="Q671" s="63">
        <v>20</v>
      </c>
      <c r="R671" s="62">
        <v>5.57</v>
      </c>
      <c r="S671" s="61">
        <v>0</v>
      </c>
      <c r="T671" s="62">
        <v>0</v>
      </c>
    </row>
    <row r="672" spans="1:20" ht="11.1" customHeight="1" x14ac:dyDescent="0.25">
      <c r="A672" s="56">
        <v>108822</v>
      </c>
      <c r="B672" s="72">
        <v>46035</v>
      </c>
      <c r="C672" s="68">
        <v>46035</v>
      </c>
      <c r="D672" s="58" t="s">
        <v>1033</v>
      </c>
      <c r="E672" s="59" t="s">
        <v>352</v>
      </c>
      <c r="F672" s="56">
        <v>36</v>
      </c>
      <c r="G672" s="73">
        <v>134</v>
      </c>
      <c r="H672" s="74" t="s">
        <v>1028</v>
      </c>
      <c r="I672" s="59" t="s">
        <v>1029</v>
      </c>
      <c r="J672" s="59" t="s">
        <v>1030</v>
      </c>
      <c r="K672" s="69">
        <v>5403</v>
      </c>
      <c r="L672" s="56">
        <v>207</v>
      </c>
      <c r="M672" s="59" t="s">
        <v>26</v>
      </c>
      <c r="N672" s="61">
        <v>2896.94</v>
      </c>
      <c r="O672" s="59" t="s">
        <v>313</v>
      </c>
      <c r="P672" s="62">
        <v>2707.42</v>
      </c>
      <c r="Q672" s="63">
        <v>20</v>
      </c>
      <c r="R672" s="62">
        <v>541.48</v>
      </c>
      <c r="S672" s="61">
        <v>0</v>
      </c>
      <c r="T672" s="62">
        <v>189.52</v>
      </c>
    </row>
    <row r="673" spans="1:20" ht="11.1" customHeight="1" x14ac:dyDescent="0.25">
      <c r="O673" s="59" t="s">
        <v>436</v>
      </c>
      <c r="P673" s="62">
        <v>3655.02</v>
      </c>
      <c r="Q673" s="63">
        <v>20</v>
      </c>
      <c r="R673" s="62">
        <v>189.52</v>
      </c>
      <c r="S673" s="61">
        <v>0</v>
      </c>
      <c r="T673" s="62">
        <v>0</v>
      </c>
    </row>
    <row r="674" spans="1:20" ht="11.1" customHeight="1" x14ac:dyDescent="0.25">
      <c r="A674" s="56">
        <v>108823</v>
      </c>
      <c r="B674" s="72">
        <v>46035</v>
      </c>
      <c r="C674" s="68">
        <v>46035</v>
      </c>
      <c r="D674" s="58" t="s">
        <v>1034</v>
      </c>
      <c r="E674" s="59" t="s">
        <v>352</v>
      </c>
      <c r="F674" s="56">
        <v>36</v>
      </c>
      <c r="G674" s="73">
        <v>134</v>
      </c>
      <c r="H674" s="74" t="s">
        <v>1028</v>
      </c>
      <c r="I674" s="59" t="s">
        <v>1029</v>
      </c>
      <c r="J674" s="59" t="s">
        <v>1030</v>
      </c>
      <c r="K674" s="69">
        <v>5403</v>
      </c>
      <c r="L674" s="56">
        <v>207</v>
      </c>
      <c r="M674" s="59" t="s">
        <v>26</v>
      </c>
      <c r="N674" s="61">
        <v>2896.94</v>
      </c>
      <c r="O674" s="59" t="s">
        <v>313</v>
      </c>
      <c r="P674" s="62">
        <v>2707.42</v>
      </c>
      <c r="Q674" s="63">
        <v>20</v>
      </c>
      <c r="R674" s="62">
        <v>541.48</v>
      </c>
      <c r="S674" s="61">
        <v>0</v>
      </c>
      <c r="T674" s="62">
        <v>189.52</v>
      </c>
    </row>
    <row r="675" spans="1:20" ht="11.1" customHeight="1" x14ac:dyDescent="0.25">
      <c r="O675" s="59" t="s">
        <v>436</v>
      </c>
      <c r="P675" s="62">
        <v>3655.02</v>
      </c>
      <c r="Q675" s="63">
        <v>20</v>
      </c>
      <c r="R675" s="62">
        <v>189.52</v>
      </c>
      <c r="S675" s="61">
        <v>0</v>
      </c>
      <c r="T675" s="62">
        <v>0</v>
      </c>
    </row>
    <row r="676" spans="1:20" ht="11.1" customHeight="1" x14ac:dyDescent="0.25">
      <c r="A676" s="56">
        <v>108915</v>
      </c>
      <c r="B676" s="72">
        <v>46036</v>
      </c>
      <c r="C676" s="68">
        <v>46036</v>
      </c>
      <c r="D676" s="58" t="s">
        <v>1035</v>
      </c>
      <c r="E676" s="59" t="s">
        <v>352</v>
      </c>
      <c r="F676" s="56">
        <v>36</v>
      </c>
      <c r="G676" s="73">
        <v>134</v>
      </c>
      <c r="H676" s="74" t="s">
        <v>1028</v>
      </c>
      <c r="I676" s="59" t="s">
        <v>1029</v>
      </c>
      <c r="J676" s="59" t="s">
        <v>1030</v>
      </c>
      <c r="K676" s="69">
        <v>5102</v>
      </c>
      <c r="L676" s="56">
        <v>205</v>
      </c>
      <c r="M676" s="59" t="s">
        <v>26</v>
      </c>
      <c r="N676" s="61">
        <v>522.62</v>
      </c>
      <c r="O676" s="59" t="s">
        <v>313</v>
      </c>
      <c r="P676" s="62">
        <v>522.62</v>
      </c>
      <c r="Q676" s="63">
        <v>20</v>
      </c>
      <c r="R676" s="62">
        <v>104.52</v>
      </c>
      <c r="S676" s="61">
        <v>0</v>
      </c>
      <c r="T676" s="62">
        <v>0</v>
      </c>
    </row>
    <row r="677" spans="1:20" ht="11.1" customHeight="1" x14ac:dyDescent="0.25">
      <c r="A677" s="56">
        <v>108916</v>
      </c>
      <c r="B677" s="72">
        <v>46036</v>
      </c>
      <c r="C677" s="68">
        <v>46036</v>
      </c>
      <c r="D677" s="58" t="s">
        <v>1035</v>
      </c>
      <c r="E677" s="59" t="s">
        <v>352</v>
      </c>
      <c r="F677" s="56">
        <v>36</v>
      </c>
      <c r="G677" s="73">
        <v>134</v>
      </c>
      <c r="H677" s="74" t="s">
        <v>1028</v>
      </c>
      <c r="I677" s="59" t="s">
        <v>1029</v>
      </c>
      <c r="J677" s="59" t="s">
        <v>1030</v>
      </c>
      <c r="K677" s="69">
        <v>5403</v>
      </c>
      <c r="L677" s="56">
        <v>207</v>
      </c>
      <c r="M677" s="59" t="s">
        <v>26</v>
      </c>
      <c r="N677" s="61">
        <v>85.2</v>
      </c>
      <c r="O677" s="59" t="s">
        <v>313</v>
      </c>
      <c r="P677" s="62">
        <v>79.63</v>
      </c>
      <c r="Q677" s="63">
        <v>20</v>
      </c>
      <c r="R677" s="62">
        <v>15.93</v>
      </c>
      <c r="S677" s="61">
        <v>0</v>
      </c>
      <c r="T677" s="62">
        <v>5.57</v>
      </c>
    </row>
    <row r="678" spans="1:20" ht="11.1" customHeight="1" x14ac:dyDescent="0.25">
      <c r="O678" s="59" t="s">
        <v>436</v>
      </c>
      <c r="P678" s="62">
        <v>107.5</v>
      </c>
      <c r="Q678" s="63">
        <v>20</v>
      </c>
      <c r="R678" s="62">
        <v>5.57</v>
      </c>
      <c r="S678" s="61">
        <v>0</v>
      </c>
      <c r="T678" s="62">
        <v>0</v>
      </c>
    </row>
    <row r="679" spans="1:20" ht="11.1" customHeight="1" x14ac:dyDescent="0.25">
      <c r="A679" s="56">
        <v>109084</v>
      </c>
      <c r="B679" s="72">
        <v>46041</v>
      </c>
      <c r="C679" s="68">
        <v>46041</v>
      </c>
      <c r="D679" s="58" t="s">
        <v>1036</v>
      </c>
      <c r="E679" s="59" t="s">
        <v>352</v>
      </c>
      <c r="F679" s="56">
        <v>36</v>
      </c>
      <c r="G679" s="73">
        <v>134</v>
      </c>
      <c r="H679" s="74" t="s">
        <v>1028</v>
      </c>
      <c r="I679" s="59" t="s">
        <v>1029</v>
      </c>
      <c r="J679" s="59" t="s">
        <v>1030</v>
      </c>
      <c r="K679" s="69">
        <v>5102</v>
      </c>
      <c r="L679" s="56">
        <v>205</v>
      </c>
      <c r="M679" s="59" t="s">
        <v>26</v>
      </c>
      <c r="N679" s="61">
        <v>1027.26</v>
      </c>
      <c r="O679" s="59" t="s">
        <v>313</v>
      </c>
      <c r="P679" s="62">
        <v>1027.26</v>
      </c>
      <c r="Q679" s="63">
        <v>20</v>
      </c>
      <c r="R679" s="62">
        <v>205.45</v>
      </c>
      <c r="S679" s="61">
        <v>0</v>
      </c>
      <c r="T679" s="62">
        <v>0</v>
      </c>
    </row>
    <row r="680" spans="1:20" ht="11.1" customHeight="1" x14ac:dyDescent="0.25">
      <c r="A680" s="56">
        <v>109085</v>
      </c>
      <c r="B680" s="72">
        <v>46041</v>
      </c>
      <c r="C680" s="68">
        <v>46041</v>
      </c>
      <c r="D680" s="58" t="s">
        <v>1036</v>
      </c>
      <c r="E680" s="59" t="s">
        <v>352</v>
      </c>
      <c r="F680" s="56">
        <v>36</v>
      </c>
      <c r="G680" s="73">
        <v>134</v>
      </c>
      <c r="H680" s="74" t="s">
        <v>1028</v>
      </c>
      <c r="I680" s="59" t="s">
        <v>1029</v>
      </c>
      <c r="J680" s="59" t="s">
        <v>1030</v>
      </c>
      <c r="K680" s="69">
        <v>5403</v>
      </c>
      <c r="L680" s="56">
        <v>207</v>
      </c>
      <c r="M680" s="59" t="s">
        <v>26</v>
      </c>
      <c r="N680" s="61">
        <v>226.65</v>
      </c>
      <c r="O680" s="59" t="s">
        <v>313</v>
      </c>
      <c r="P680" s="62">
        <v>211.82</v>
      </c>
      <c r="Q680" s="63">
        <v>20</v>
      </c>
      <c r="R680" s="62">
        <v>42.36</v>
      </c>
      <c r="S680" s="61">
        <v>0</v>
      </c>
      <c r="T680" s="62">
        <v>14.83</v>
      </c>
    </row>
    <row r="681" spans="1:20" ht="11.1" customHeight="1" x14ac:dyDescent="0.25">
      <c r="O681" s="59" t="s">
        <v>436</v>
      </c>
      <c r="P681" s="62">
        <v>285.95</v>
      </c>
      <c r="Q681" s="63">
        <v>20</v>
      </c>
      <c r="R681" s="62">
        <v>14.83</v>
      </c>
      <c r="S681" s="61">
        <v>0</v>
      </c>
      <c r="T681" s="62">
        <v>0</v>
      </c>
    </row>
    <row r="682" spans="1:20" ht="11.1" customHeight="1" x14ac:dyDescent="0.25">
      <c r="A682" s="56">
        <v>109192</v>
      </c>
      <c r="B682" s="72">
        <v>46043</v>
      </c>
      <c r="C682" s="68">
        <v>46043</v>
      </c>
      <c r="D682" s="58" t="s">
        <v>1037</v>
      </c>
      <c r="E682" s="59" t="s">
        <v>352</v>
      </c>
      <c r="F682" s="56">
        <v>36</v>
      </c>
      <c r="G682" s="73">
        <v>134</v>
      </c>
      <c r="H682" s="74" t="s">
        <v>1028</v>
      </c>
      <c r="I682" s="59" t="s">
        <v>1029</v>
      </c>
      <c r="J682" s="59" t="s">
        <v>1030</v>
      </c>
      <c r="K682" s="69">
        <v>5102</v>
      </c>
      <c r="L682" s="56">
        <v>205</v>
      </c>
      <c r="M682" s="59" t="s">
        <v>26</v>
      </c>
      <c r="N682" s="61">
        <v>445.76</v>
      </c>
      <c r="O682" s="59" t="s">
        <v>313</v>
      </c>
      <c r="P682" s="62">
        <v>445.76</v>
      </c>
      <c r="Q682" s="63">
        <v>20</v>
      </c>
      <c r="R682" s="62">
        <v>89.15</v>
      </c>
      <c r="S682" s="61">
        <v>0</v>
      </c>
      <c r="T682" s="62">
        <v>0</v>
      </c>
    </row>
    <row r="683" spans="1:20" ht="11.1" customHeight="1" x14ac:dyDescent="0.25">
      <c r="A683" s="56">
        <v>109193</v>
      </c>
      <c r="B683" s="72">
        <v>46043</v>
      </c>
      <c r="C683" s="68">
        <v>46043</v>
      </c>
      <c r="D683" s="58" t="s">
        <v>1037</v>
      </c>
      <c r="E683" s="59" t="s">
        <v>352</v>
      </c>
      <c r="F683" s="56">
        <v>36</v>
      </c>
      <c r="G683" s="73">
        <v>134</v>
      </c>
      <c r="H683" s="74" t="s">
        <v>1028</v>
      </c>
      <c r="I683" s="59" t="s">
        <v>1029</v>
      </c>
      <c r="J683" s="59" t="s">
        <v>1030</v>
      </c>
      <c r="K683" s="69">
        <v>5403</v>
      </c>
      <c r="L683" s="56">
        <v>207</v>
      </c>
      <c r="M683" s="59" t="s">
        <v>26</v>
      </c>
      <c r="N683" s="61">
        <v>353.17</v>
      </c>
      <c r="O683" s="59" t="s">
        <v>313</v>
      </c>
      <c r="P683" s="62">
        <v>330.06</v>
      </c>
      <c r="Q683" s="63">
        <v>20</v>
      </c>
      <c r="R683" s="62">
        <v>66.010000000000005</v>
      </c>
      <c r="S683" s="61">
        <v>0</v>
      </c>
      <c r="T683" s="62">
        <v>23.11</v>
      </c>
    </row>
    <row r="684" spans="1:20" ht="11.1" customHeight="1" x14ac:dyDescent="0.25">
      <c r="O684" s="59" t="s">
        <v>436</v>
      </c>
      <c r="P684" s="62">
        <v>445.58</v>
      </c>
      <c r="Q684" s="63">
        <v>20</v>
      </c>
      <c r="R684" s="62">
        <v>23.11</v>
      </c>
      <c r="S684" s="61">
        <v>0</v>
      </c>
      <c r="T684" s="62">
        <v>0</v>
      </c>
    </row>
    <row r="685" spans="1:20" ht="11.1" customHeight="1" x14ac:dyDescent="0.25">
      <c r="A685" s="56">
        <v>109361</v>
      </c>
      <c r="B685" s="72">
        <v>46045</v>
      </c>
      <c r="C685" s="68">
        <v>46045</v>
      </c>
      <c r="D685" s="58" t="s">
        <v>1038</v>
      </c>
      <c r="E685" s="59" t="s">
        <v>352</v>
      </c>
      <c r="F685" s="56">
        <v>36</v>
      </c>
      <c r="G685" s="73">
        <v>134</v>
      </c>
      <c r="H685" s="74" t="s">
        <v>1028</v>
      </c>
      <c r="I685" s="59" t="s">
        <v>1029</v>
      </c>
      <c r="J685" s="59" t="s">
        <v>1030</v>
      </c>
      <c r="K685" s="69">
        <v>5102</v>
      </c>
      <c r="L685" s="56">
        <v>205</v>
      </c>
      <c r="M685" s="59" t="s">
        <v>26</v>
      </c>
      <c r="N685" s="61">
        <v>299.18</v>
      </c>
      <c r="O685" s="59" t="s">
        <v>313</v>
      </c>
      <c r="P685" s="62">
        <v>299.18</v>
      </c>
      <c r="Q685" s="63">
        <v>20</v>
      </c>
      <c r="R685" s="62">
        <v>59.84</v>
      </c>
      <c r="S685" s="61">
        <v>0</v>
      </c>
      <c r="T685" s="62">
        <v>0</v>
      </c>
    </row>
    <row r="686" spans="1:20" ht="11.1" customHeight="1" x14ac:dyDescent="0.25">
      <c r="A686" s="56">
        <v>109362</v>
      </c>
      <c r="B686" s="72">
        <v>46045</v>
      </c>
      <c r="C686" s="68">
        <v>46045</v>
      </c>
      <c r="D686" s="58" t="s">
        <v>1038</v>
      </c>
      <c r="E686" s="59" t="s">
        <v>352</v>
      </c>
      <c r="F686" s="56">
        <v>36</v>
      </c>
      <c r="G686" s="73">
        <v>134</v>
      </c>
      <c r="H686" s="74" t="s">
        <v>1028</v>
      </c>
      <c r="I686" s="59" t="s">
        <v>1029</v>
      </c>
      <c r="J686" s="59" t="s">
        <v>1030</v>
      </c>
      <c r="K686" s="69">
        <v>5403</v>
      </c>
      <c r="L686" s="56">
        <v>207</v>
      </c>
      <c r="M686" s="59" t="s">
        <v>26</v>
      </c>
      <c r="N686" s="61">
        <v>167.59</v>
      </c>
      <c r="O686" s="59" t="s">
        <v>313</v>
      </c>
      <c r="P686" s="62">
        <v>156.62</v>
      </c>
      <c r="Q686" s="63">
        <v>20</v>
      </c>
      <c r="R686" s="62">
        <v>31.32</v>
      </c>
      <c r="S686" s="61">
        <v>0</v>
      </c>
      <c r="T686" s="62">
        <v>10.97</v>
      </c>
    </row>
    <row r="687" spans="1:20" ht="11.1" customHeight="1" x14ac:dyDescent="0.25">
      <c r="O687" s="59" t="s">
        <v>436</v>
      </c>
      <c r="P687" s="62">
        <v>211.44</v>
      </c>
      <c r="Q687" s="63">
        <v>20</v>
      </c>
      <c r="R687" s="62">
        <v>10.97</v>
      </c>
      <c r="S687" s="61">
        <v>0</v>
      </c>
      <c r="T687" s="62">
        <v>0</v>
      </c>
    </row>
    <row r="688" spans="1:20" ht="11.1" customHeight="1" x14ac:dyDescent="0.25">
      <c r="A688" s="56">
        <v>109600</v>
      </c>
      <c r="B688" s="72">
        <v>46051</v>
      </c>
      <c r="C688" s="68">
        <v>46051</v>
      </c>
      <c r="D688" s="58" t="s">
        <v>1039</v>
      </c>
      <c r="E688" s="59" t="s">
        <v>352</v>
      </c>
      <c r="F688" s="56">
        <v>36</v>
      </c>
      <c r="G688" s="73">
        <v>134</v>
      </c>
      <c r="H688" s="74" t="s">
        <v>1028</v>
      </c>
      <c r="I688" s="59" t="s">
        <v>1029</v>
      </c>
      <c r="J688" s="59" t="s">
        <v>1030</v>
      </c>
      <c r="K688" s="69">
        <v>5102</v>
      </c>
      <c r="L688" s="56">
        <v>205</v>
      </c>
      <c r="M688" s="59" t="s">
        <v>26</v>
      </c>
      <c r="N688" s="61">
        <v>68.7</v>
      </c>
      <c r="O688" s="59" t="s">
        <v>313</v>
      </c>
      <c r="P688" s="62">
        <v>68.7</v>
      </c>
      <c r="Q688" s="63">
        <v>20</v>
      </c>
      <c r="R688" s="62">
        <v>13.74</v>
      </c>
      <c r="S688" s="61">
        <v>0</v>
      </c>
      <c r="T688" s="62">
        <v>0</v>
      </c>
    </row>
    <row r="689" spans="1:20" ht="11.1" customHeight="1" x14ac:dyDescent="0.25">
      <c r="A689" s="56">
        <v>109601</v>
      </c>
      <c r="B689" s="72">
        <v>46051</v>
      </c>
      <c r="C689" s="68">
        <v>46051</v>
      </c>
      <c r="D689" s="58" t="s">
        <v>1039</v>
      </c>
      <c r="E689" s="59" t="s">
        <v>352</v>
      </c>
      <c r="F689" s="56">
        <v>36</v>
      </c>
      <c r="G689" s="73">
        <v>134</v>
      </c>
      <c r="H689" s="74" t="s">
        <v>1028</v>
      </c>
      <c r="I689" s="59" t="s">
        <v>1029</v>
      </c>
      <c r="J689" s="59" t="s">
        <v>1030</v>
      </c>
      <c r="K689" s="69">
        <v>5403</v>
      </c>
      <c r="L689" s="56">
        <v>207</v>
      </c>
      <c r="M689" s="59" t="s">
        <v>26</v>
      </c>
      <c r="N689" s="61">
        <v>327.72</v>
      </c>
      <c r="O689" s="59" t="s">
        <v>313</v>
      </c>
      <c r="P689" s="62">
        <v>306.27999999999997</v>
      </c>
      <c r="Q689" s="63">
        <v>20</v>
      </c>
      <c r="R689" s="62">
        <v>61.26</v>
      </c>
      <c r="S689" s="61">
        <v>0</v>
      </c>
      <c r="T689" s="62">
        <v>21.44</v>
      </c>
    </row>
    <row r="690" spans="1:20" ht="11.1" customHeight="1" x14ac:dyDescent="0.25">
      <c r="O690" s="59" t="s">
        <v>436</v>
      </c>
      <c r="P690" s="62">
        <v>413.47</v>
      </c>
      <c r="Q690" s="63">
        <v>20</v>
      </c>
      <c r="R690" s="62">
        <v>21.44</v>
      </c>
      <c r="S690" s="61">
        <v>0</v>
      </c>
      <c r="T690" s="62">
        <v>0</v>
      </c>
    </row>
    <row r="691" spans="1:20" ht="11.1" customHeight="1" x14ac:dyDescent="0.25">
      <c r="A691" s="56">
        <v>109619</v>
      </c>
      <c r="B691" s="72">
        <v>46051</v>
      </c>
      <c r="C691" s="68">
        <v>46051</v>
      </c>
      <c r="D691" s="58" t="s">
        <v>1040</v>
      </c>
      <c r="E691" s="59" t="s">
        <v>352</v>
      </c>
      <c r="F691" s="56">
        <v>36</v>
      </c>
      <c r="G691" s="73">
        <v>134</v>
      </c>
      <c r="H691" s="74" t="s">
        <v>1028</v>
      </c>
      <c r="I691" s="59" t="s">
        <v>1029</v>
      </c>
      <c r="J691" s="59" t="s">
        <v>1030</v>
      </c>
      <c r="K691" s="69">
        <v>5403</v>
      </c>
      <c r="L691" s="56">
        <v>207</v>
      </c>
      <c r="M691" s="59" t="s">
        <v>26</v>
      </c>
      <c r="N691" s="61">
        <v>109.49</v>
      </c>
      <c r="O691" s="59" t="s">
        <v>313</v>
      </c>
      <c r="P691" s="62">
        <v>102.32</v>
      </c>
      <c r="Q691" s="63">
        <v>20</v>
      </c>
      <c r="R691" s="62">
        <v>20.46</v>
      </c>
      <c r="S691" s="61">
        <v>0</v>
      </c>
      <c r="T691" s="62">
        <v>7.17</v>
      </c>
    </row>
    <row r="692" spans="1:20" ht="11.1" customHeight="1" x14ac:dyDescent="0.25">
      <c r="O692" s="59" t="s">
        <v>436</v>
      </c>
      <c r="P692" s="62">
        <v>138.13</v>
      </c>
      <c r="Q692" s="63">
        <v>20</v>
      </c>
      <c r="R692" s="62">
        <v>7.17</v>
      </c>
      <c r="S692" s="61">
        <v>0</v>
      </c>
      <c r="T692" s="62">
        <v>0</v>
      </c>
    </row>
    <row r="693" spans="1:20" ht="11.1" customHeight="1" x14ac:dyDescent="0.25">
      <c r="A693" s="56">
        <v>109637</v>
      </c>
      <c r="B693" s="72">
        <v>46051</v>
      </c>
      <c r="C693" s="68">
        <v>46051</v>
      </c>
      <c r="D693" s="58" t="s">
        <v>1041</v>
      </c>
      <c r="E693" s="59" t="s">
        <v>352</v>
      </c>
      <c r="F693" s="56">
        <v>36</v>
      </c>
      <c r="G693" s="73">
        <v>134</v>
      </c>
      <c r="H693" s="74" t="s">
        <v>1028</v>
      </c>
      <c r="I693" s="59" t="s">
        <v>1029</v>
      </c>
      <c r="J693" s="59" t="s">
        <v>1030</v>
      </c>
      <c r="K693" s="69">
        <v>5102</v>
      </c>
      <c r="L693" s="56">
        <v>205</v>
      </c>
      <c r="M693" s="59" t="s">
        <v>26</v>
      </c>
      <c r="N693" s="61">
        <v>186.42</v>
      </c>
      <c r="O693" s="59" t="s">
        <v>313</v>
      </c>
      <c r="P693" s="62">
        <v>186.42</v>
      </c>
      <c r="Q693" s="63">
        <v>20</v>
      </c>
      <c r="R693" s="62">
        <v>37.28</v>
      </c>
      <c r="S693" s="61">
        <v>0</v>
      </c>
      <c r="T693" s="62">
        <v>0</v>
      </c>
    </row>
    <row r="694" spans="1:20" ht="11.1" customHeight="1" x14ac:dyDescent="0.25">
      <c r="A694" s="56">
        <v>109638</v>
      </c>
      <c r="B694" s="72">
        <v>46051</v>
      </c>
      <c r="C694" s="68">
        <v>46051</v>
      </c>
      <c r="D694" s="58" t="s">
        <v>1041</v>
      </c>
      <c r="E694" s="59" t="s">
        <v>352</v>
      </c>
      <c r="F694" s="56">
        <v>36</v>
      </c>
      <c r="G694" s="73">
        <v>134</v>
      </c>
      <c r="H694" s="74" t="s">
        <v>1028</v>
      </c>
      <c r="I694" s="59" t="s">
        <v>1029</v>
      </c>
      <c r="J694" s="59" t="s">
        <v>1030</v>
      </c>
      <c r="K694" s="69">
        <v>5403</v>
      </c>
      <c r="L694" s="56">
        <v>207</v>
      </c>
      <c r="M694" s="59" t="s">
        <v>26</v>
      </c>
      <c r="N694" s="61">
        <v>329.53</v>
      </c>
      <c r="O694" s="59" t="s">
        <v>313</v>
      </c>
      <c r="P694" s="62">
        <v>307.98</v>
      </c>
      <c r="Q694" s="63">
        <v>20</v>
      </c>
      <c r="R694" s="62">
        <v>61.6</v>
      </c>
      <c r="S694" s="61">
        <v>0</v>
      </c>
      <c r="T694" s="62">
        <v>21.55</v>
      </c>
    </row>
    <row r="695" spans="1:20" ht="11.1" customHeight="1" x14ac:dyDescent="0.25">
      <c r="O695" s="59" t="s">
        <v>436</v>
      </c>
      <c r="P695" s="62">
        <v>415.77</v>
      </c>
      <c r="Q695" s="63">
        <v>20</v>
      </c>
      <c r="R695" s="62">
        <v>21.55</v>
      </c>
      <c r="S695" s="61">
        <v>0</v>
      </c>
      <c r="T695" s="62">
        <v>0</v>
      </c>
    </row>
    <row r="696" spans="1:20" ht="11.85" customHeight="1" x14ac:dyDescent="0.25">
      <c r="A696" s="71" t="s">
        <v>620</v>
      </c>
      <c r="B696" s="71"/>
      <c r="C696" s="71"/>
      <c r="D696" s="71"/>
      <c r="E696" s="71"/>
      <c r="F696" s="71"/>
      <c r="G696" s="71"/>
      <c r="H696" s="71"/>
    </row>
    <row r="697" spans="1:20" ht="11.1" customHeight="1" x14ac:dyDescent="0.25">
      <c r="O697" s="59" t="s">
        <v>313</v>
      </c>
      <c r="P697" s="62">
        <v>10920.18</v>
      </c>
      <c r="R697" s="62">
        <v>2184.0300000000002</v>
      </c>
      <c r="S697" s="61">
        <v>0</v>
      </c>
      <c r="T697" s="62">
        <v>489.25</v>
      </c>
    </row>
    <row r="698" spans="1:20" ht="11.1" customHeight="1" x14ac:dyDescent="0.25">
      <c r="O698" s="59" t="s">
        <v>436</v>
      </c>
      <c r="P698" s="62">
        <v>9435.3799999999992</v>
      </c>
      <c r="R698" s="62">
        <v>489.25</v>
      </c>
      <c r="S698" s="61">
        <v>0</v>
      </c>
      <c r="T698" s="62">
        <v>0</v>
      </c>
    </row>
    <row r="699" spans="1:20" ht="11.1" customHeight="1" x14ac:dyDescent="0.25">
      <c r="A699" s="56">
        <v>108384</v>
      </c>
      <c r="B699" s="72">
        <v>46024</v>
      </c>
      <c r="C699" s="68">
        <v>46024</v>
      </c>
      <c r="D699" s="58" t="s">
        <v>1042</v>
      </c>
      <c r="E699" s="59" t="s">
        <v>352</v>
      </c>
      <c r="F699" s="56">
        <v>36</v>
      </c>
      <c r="G699" s="73">
        <v>3</v>
      </c>
      <c r="H699" s="74" t="s">
        <v>1043</v>
      </c>
      <c r="I699" s="59" t="s">
        <v>1044</v>
      </c>
      <c r="J699" s="59" t="s">
        <v>1045</v>
      </c>
      <c r="K699" s="69">
        <v>5102</v>
      </c>
      <c r="L699" s="56">
        <v>205</v>
      </c>
      <c r="M699" s="59" t="s">
        <v>26</v>
      </c>
      <c r="N699" s="61">
        <v>539.91999999999996</v>
      </c>
      <c r="O699" s="59" t="s">
        <v>313</v>
      </c>
      <c r="P699" s="62">
        <v>539.91999999999996</v>
      </c>
      <c r="Q699" s="63">
        <v>20</v>
      </c>
      <c r="R699" s="62">
        <v>107.98</v>
      </c>
      <c r="S699" s="61">
        <v>0</v>
      </c>
      <c r="T699" s="62">
        <v>0</v>
      </c>
    </row>
    <row r="700" spans="1:20" ht="11.1" customHeight="1" x14ac:dyDescent="0.25">
      <c r="A700" s="56">
        <v>108385</v>
      </c>
      <c r="B700" s="72">
        <v>46024</v>
      </c>
      <c r="C700" s="68">
        <v>46024</v>
      </c>
      <c r="D700" s="58" t="s">
        <v>1042</v>
      </c>
      <c r="E700" s="59" t="s">
        <v>352</v>
      </c>
      <c r="F700" s="56">
        <v>36</v>
      </c>
      <c r="G700" s="73">
        <v>3</v>
      </c>
      <c r="H700" s="74" t="s">
        <v>1043</v>
      </c>
      <c r="I700" s="59" t="s">
        <v>1044</v>
      </c>
      <c r="J700" s="59" t="s">
        <v>1045</v>
      </c>
      <c r="K700" s="69">
        <v>5403</v>
      </c>
      <c r="L700" s="56">
        <v>207</v>
      </c>
      <c r="M700" s="59" t="s">
        <v>26</v>
      </c>
      <c r="N700" s="61">
        <v>453.92</v>
      </c>
      <c r="O700" s="59" t="s">
        <v>313</v>
      </c>
      <c r="P700" s="62">
        <v>424.21</v>
      </c>
      <c r="Q700" s="63">
        <v>20</v>
      </c>
      <c r="R700" s="62">
        <v>84.84</v>
      </c>
      <c r="S700" s="61">
        <v>0</v>
      </c>
      <c r="T700" s="62">
        <v>29.71</v>
      </c>
    </row>
    <row r="701" spans="1:20" ht="11.1" customHeight="1" x14ac:dyDescent="0.25">
      <c r="O701" s="59" t="s">
        <v>436</v>
      </c>
      <c r="P701" s="62">
        <v>572.67999999999995</v>
      </c>
      <c r="Q701" s="63">
        <v>20</v>
      </c>
      <c r="R701" s="62">
        <v>29.71</v>
      </c>
      <c r="S701" s="61">
        <v>0</v>
      </c>
      <c r="T701" s="62">
        <v>0</v>
      </c>
    </row>
    <row r="702" spans="1:20" ht="11.1" customHeight="1" x14ac:dyDescent="0.25">
      <c r="A702" s="56">
        <v>108417</v>
      </c>
      <c r="B702" s="72">
        <v>46024</v>
      </c>
      <c r="C702" s="68">
        <v>46024</v>
      </c>
      <c r="D702" s="58" t="s">
        <v>1046</v>
      </c>
      <c r="E702" s="59" t="s">
        <v>352</v>
      </c>
      <c r="F702" s="56">
        <v>36</v>
      </c>
      <c r="G702" s="73">
        <v>3</v>
      </c>
      <c r="H702" s="74" t="s">
        <v>1043</v>
      </c>
      <c r="I702" s="59" t="s">
        <v>1044</v>
      </c>
      <c r="J702" s="59" t="s">
        <v>1045</v>
      </c>
      <c r="K702" s="69">
        <v>5102</v>
      </c>
      <c r="L702" s="56">
        <v>205</v>
      </c>
      <c r="M702" s="59" t="s">
        <v>26</v>
      </c>
      <c r="N702" s="61">
        <v>17427.13</v>
      </c>
      <c r="O702" s="59" t="s">
        <v>313</v>
      </c>
      <c r="P702" s="62">
        <v>17427.13</v>
      </c>
      <c r="Q702" s="63">
        <v>20</v>
      </c>
      <c r="R702" s="62">
        <v>3485.44</v>
      </c>
      <c r="S702" s="61">
        <v>0</v>
      </c>
      <c r="T702" s="62">
        <v>0</v>
      </c>
    </row>
    <row r="703" spans="1:20" ht="11.1" customHeight="1" x14ac:dyDescent="0.25">
      <c r="A703" s="56">
        <v>108418</v>
      </c>
      <c r="B703" s="72">
        <v>46024</v>
      </c>
      <c r="C703" s="68">
        <v>46024</v>
      </c>
      <c r="D703" s="58" t="s">
        <v>1046</v>
      </c>
      <c r="E703" s="59" t="s">
        <v>352</v>
      </c>
      <c r="F703" s="56">
        <v>36</v>
      </c>
      <c r="G703" s="73">
        <v>3</v>
      </c>
      <c r="H703" s="74" t="s">
        <v>1043</v>
      </c>
      <c r="I703" s="59" t="s">
        <v>1044</v>
      </c>
      <c r="J703" s="59" t="s">
        <v>1045</v>
      </c>
      <c r="K703" s="69">
        <v>5405</v>
      </c>
      <c r="L703" s="56">
        <v>206</v>
      </c>
      <c r="M703" s="59" t="s">
        <v>26</v>
      </c>
      <c r="N703" s="61">
        <v>69.48</v>
      </c>
      <c r="O703" s="59" t="s">
        <v>313</v>
      </c>
      <c r="P703" s="62">
        <v>0</v>
      </c>
      <c r="Q703" s="63">
        <v>0</v>
      </c>
      <c r="R703" s="62">
        <v>0</v>
      </c>
      <c r="S703" s="61">
        <v>0</v>
      </c>
      <c r="T703" s="62">
        <v>69.48</v>
      </c>
    </row>
    <row r="704" spans="1:20" ht="11.1" customHeight="1" x14ac:dyDescent="0.25">
      <c r="A704" s="56">
        <v>108419</v>
      </c>
      <c r="B704" s="72">
        <v>46024</v>
      </c>
      <c r="C704" s="68">
        <v>46024</v>
      </c>
      <c r="D704" s="58" t="s">
        <v>1046</v>
      </c>
      <c r="E704" s="59" t="s">
        <v>352</v>
      </c>
      <c r="F704" s="56">
        <v>36</v>
      </c>
      <c r="G704" s="73">
        <v>3</v>
      </c>
      <c r="H704" s="74" t="s">
        <v>1043</v>
      </c>
      <c r="I704" s="59" t="s">
        <v>1044</v>
      </c>
      <c r="J704" s="59" t="s">
        <v>1045</v>
      </c>
      <c r="K704" s="69">
        <v>5403</v>
      </c>
      <c r="L704" s="56">
        <v>207</v>
      </c>
      <c r="M704" s="59" t="s">
        <v>26</v>
      </c>
      <c r="N704" s="61">
        <v>17975.68</v>
      </c>
      <c r="O704" s="59" t="s">
        <v>313</v>
      </c>
      <c r="P704" s="62">
        <v>16799.72</v>
      </c>
      <c r="Q704" s="63">
        <v>20</v>
      </c>
      <c r="R704" s="62">
        <v>3359.98</v>
      </c>
      <c r="S704" s="61">
        <v>0</v>
      </c>
      <c r="T704" s="62">
        <v>1175.96</v>
      </c>
    </row>
    <row r="705" spans="1:20" ht="11.1" customHeight="1" x14ac:dyDescent="0.25">
      <c r="O705" s="59" t="s">
        <v>436</v>
      </c>
      <c r="P705" s="62">
        <v>22679.66</v>
      </c>
      <c r="Q705" s="63">
        <v>20</v>
      </c>
      <c r="R705" s="62">
        <v>1175.96</v>
      </c>
      <c r="S705" s="61">
        <v>0</v>
      </c>
      <c r="T705" s="62">
        <v>0</v>
      </c>
    </row>
    <row r="706" spans="1:20" ht="11.1" customHeight="1" x14ac:dyDescent="0.25">
      <c r="A706" s="56">
        <v>108502</v>
      </c>
      <c r="B706" s="72">
        <v>46028</v>
      </c>
      <c r="C706" s="68">
        <v>46028</v>
      </c>
      <c r="D706" s="58" t="s">
        <v>1047</v>
      </c>
      <c r="E706" s="59" t="s">
        <v>352</v>
      </c>
      <c r="F706" s="56">
        <v>36</v>
      </c>
      <c r="G706" s="73">
        <v>3</v>
      </c>
      <c r="H706" s="74" t="s">
        <v>1043</v>
      </c>
      <c r="I706" s="59" t="s">
        <v>1044</v>
      </c>
      <c r="J706" s="59" t="s">
        <v>1045</v>
      </c>
      <c r="K706" s="69">
        <v>5102</v>
      </c>
      <c r="L706" s="56">
        <v>205</v>
      </c>
      <c r="M706" s="59" t="s">
        <v>26</v>
      </c>
      <c r="N706" s="61">
        <v>1158.53</v>
      </c>
      <c r="O706" s="59" t="s">
        <v>313</v>
      </c>
      <c r="P706" s="62">
        <v>1158.53</v>
      </c>
      <c r="Q706" s="63">
        <v>20</v>
      </c>
      <c r="R706" s="62">
        <v>231.71</v>
      </c>
      <c r="S706" s="61">
        <v>0</v>
      </c>
      <c r="T706" s="62">
        <v>0</v>
      </c>
    </row>
    <row r="707" spans="1:20" ht="11.1" customHeight="1" x14ac:dyDescent="0.25">
      <c r="A707" s="56">
        <v>108505</v>
      </c>
      <c r="B707" s="72">
        <v>46028</v>
      </c>
      <c r="C707" s="68">
        <v>46028</v>
      </c>
      <c r="D707" s="58" t="s">
        <v>1048</v>
      </c>
      <c r="E707" s="59" t="s">
        <v>352</v>
      </c>
      <c r="F707" s="56">
        <v>36</v>
      </c>
      <c r="G707" s="73">
        <v>3</v>
      </c>
      <c r="H707" s="74" t="s">
        <v>1043</v>
      </c>
      <c r="I707" s="59" t="s">
        <v>1044</v>
      </c>
      <c r="J707" s="59" t="s">
        <v>1045</v>
      </c>
      <c r="K707" s="69">
        <v>5102</v>
      </c>
      <c r="L707" s="56">
        <v>205</v>
      </c>
      <c r="M707" s="59" t="s">
        <v>26</v>
      </c>
      <c r="N707" s="61">
        <v>69.5</v>
      </c>
      <c r="O707" s="59" t="s">
        <v>313</v>
      </c>
      <c r="P707" s="62">
        <v>69.5</v>
      </c>
      <c r="Q707" s="63">
        <v>20</v>
      </c>
      <c r="R707" s="62">
        <v>13.9</v>
      </c>
      <c r="S707" s="61">
        <v>0</v>
      </c>
      <c r="T707" s="62">
        <v>0</v>
      </c>
    </row>
    <row r="708" spans="1:20" ht="11.1" customHeight="1" x14ac:dyDescent="0.25">
      <c r="A708" s="56">
        <v>108506</v>
      </c>
      <c r="B708" s="72">
        <v>46028</v>
      </c>
      <c r="C708" s="68">
        <v>46028</v>
      </c>
      <c r="D708" s="58" t="s">
        <v>1048</v>
      </c>
      <c r="E708" s="59" t="s">
        <v>352</v>
      </c>
      <c r="F708" s="56">
        <v>36</v>
      </c>
      <c r="G708" s="73">
        <v>3</v>
      </c>
      <c r="H708" s="74" t="s">
        <v>1043</v>
      </c>
      <c r="I708" s="59" t="s">
        <v>1044</v>
      </c>
      <c r="J708" s="59" t="s">
        <v>1045</v>
      </c>
      <c r="K708" s="69">
        <v>5403</v>
      </c>
      <c r="L708" s="56">
        <v>207</v>
      </c>
      <c r="M708" s="59" t="s">
        <v>26</v>
      </c>
      <c r="N708" s="61">
        <v>29.08</v>
      </c>
      <c r="O708" s="59" t="s">
        <v>313</v>
      </c>
      <c r="P708" s="62">
        <v>27.17</v>
      </c>
      <c r="Q708" s="63">
        <v>20</v>
      </c>
      <c r="R708" s="62">
        <v>5.43</v>
      </c>
      <c r="S708" s="61">
        <v>0</v>
      </c>
      <c r="T708" s="62">
        <v>1.91</v>
      </c>
    </row>
    <row r="709" spans="1:20" ht="11.1" customHeight="1" x14ac:dyDescent="0.25">
      <c r="O709" s="59" t="s">
        <v>436</v>
      </c>
      <c r="P709" s="62">
        <v>36.68</v>
      </c>
      <c r="Q709" s="63">
        <v>20</v>
      </c>
      <c r="R709" s="62">
        <v>1.91</v>
      </c>
      <c r="S709" s="61">
        <v>0</v>
      </c>
      <c r="T709" s="62">
        <v>0</v>
      </c>
    </row>
    <row r="710" spans="1:20" ht="11.1" customHeight="1" x14ac:dyDescent="0.25">
      <c r="A710" s="56">
        <v>108528</v>
      </c>
      <c r="B710" s="72">
        <v>46028</v>
      </c>
      <c r="C710" s="68">
        <v>46028</v>
      </c>
      <c r="D710" s="58" t="s">
        <v>1049</v>
      </c>
      <c r="E710" s="59" t="s">
        <v>352</v>
      </c>
      <c r="F710" s="56">
        <v>36</v>
      </c>
      <c r="G710" s="73">
        <v>3</v>
      </c>
      <c r="H710" s="74" t="s">
        <v>1043</v>
      </c>
      <c r="I710" s="59" t="s">
        <v>1044</v>
      </c>
      <c r="J710" s="59" t="s">
        <v>1045</v>
      </c>
      <c r="K710" s="69">
        <v>5102</v>
      </c>
      <c r="L710" s="56">
        <v>205</v>
      </c>
      <c r="M710" s="59" t="s">
        <v>26</v>
      </c>
      <c r="N710" s="61">
        <v>1944.27</v>
      </c>
      <c r="O710" s="59" t="s">
        <v>313</v>
      </c>
      <c r="P710" s="62">
        <v>1944.27</v>
      </c>
      <c r="Q710" s="63">
        <v>20</v>
      </c>
      <c r="R710" s="62">
        <v>388.85</v>
      </c>
      <c r="S710" s="61">
        <v>0</v>
      </c>
      <c r="T710" s="62">
        <v>0</v>
      </c>
    </row>
    <row r="711" spans="1:20" ht="11.1" customHeight="1" x14ac:dyDescent="0.25">
      <c r="A711" s="56">
        <v>108529</v>
      </c>
      <c r="B711" s="72">
        <v>46028</v>
      </c>
      <c r="C711" s="68">
        <v>46028</v>
      </c>
      <c r="D711" s="58" t="s">
        <v>1049</v>
      </c>
      <c r="E711" s="59" t="s">
        <v>352</v>
      </c>
      <c r="F711" s="56">
        <v>36</v>
      </c>
      <c r="G711" s="73">
        <v>3</v>
      </c>
      <c r="H711" s="74" t="s">
        <v>1043</v>
      </c>
      <c r="I711" s="59" t="s">
        <v>1044</v>
      </c>
      <c r="J711" s="59" t="s">
        <v>1045</v>
      </c>
      <c r="K711" s="69">
        <v>5405</v>
      </c>
      <c r="L711" s="56">
        <v>206</v>
      </c>
      <c r="M711" s="59" t="s">
        <v>26</v>
      </c>
      <c r="N711" s="61">
        <v>209.46</v>
      </c>
      <c r="O711" s="59" t="s">
        <v>313</v>
      </c>
      <c r="P711" s="62">
        <v>0</v>
      </c>
      <c r="Q711" s="63">
        <v>0</v>
      </c>
      <c r="R711" s="62">
        <v>0</v>
      </c>
      <c r="S711" s="61">
        <v>0</v>
      </c>
      <c r="T711" s="62">
        <v>209.46</v>
      </c>
    </row>
    <row r="712" spans="1:20" ht="11.1" customHeight="1" x14ac:dyDescent="0.25">
      <c r="A712" s="56">
        <v>108530</v>
      </c>
      <c r="B712" s="72">
        <v>46028</v>
      </c>
      <c r="C712" s="68">
        <v>46028</v>
      </c>
      <c r="D712" s="58" t="s">
        <v>1049</v>
      </c>
      <c r="E712" s="59" t="s">
        <v>352</v>
      </c>
      <c r="F712" s="56">
        <v>36</v>
      </c>
      <c r="G712" s="73">
        <v>3</v>
      </c>
      <c r="H712" s="74" t="s">
        <v>1043</v>
      </c>
      <c r="I712" s="59" t="s">
        <v>1044</v>
      </c>
      <c r="J712" s="59" t="s">
        <v>1045</v>
      </c>
      <c r="K712" s="69">
        <v>5403</v>
      </c>
      <c r="L712" s="56">
        <v>207</v>
      </c>
      <c r="M712" s="59" t="s">
        <v>26</v>
      </c>
      <c r="N712" s="61">
        <v>2279.3000000000002</v>
      </c>
      <c r="O712" s="59" t="s">
        <v>313</v>
      </c>
      <c r="P712" s="62">
        <v>2130.1799999999998</v>
      </c>
      <c r="Q712" s="63">
        <v>20</v>
      </c>
      <c r="R712" s="62">
        <v>426.03</v>
      </c>
      <c r="S712" s="61">
        <v>0</v>
      </c>
      <c r="T712" s="62">
        <v>149.12</v>
      </c>
    </row>
    <row r="713" spans="1:20" ht="11.1" customHeight="1" x14ac:dyDescent="0.25">
      <c r="O713" s="59" t="s">
        <v>436</v>
      </c>
      <c r="P713" s="62">
        <v>2875.74</v>
      </c>
      <c r="Q713" s="63">
        <v>20</v>
      </c>
      <c r="R713" s="62">
        <v>149.12</v>
      </c>
      <c r="S713" s="61">
        <v>0</v>
      </c>
      <c r="T713" s="62">
        <v>0</v>
      </c>
    </row>
    <row r="714" spans="1:20" ht="11.1" customHeight="1" x14ac:dyDescent="0.25">
      <c r="A714" s="56">
        <v>108531</v>
      </c>
      <c r="B714" s="72">
        <v>46028</v>
      </c>
      <c r="C714" s="68">
        <v>46028</v>
      </c>
      <c r="D714" s="58" t="s">
        <v>1050</v>
      </c>
      <c r="E714" s="59" t="s">
        <v>352</v>
      </c>
      <c r="F714" s="56">
        <v>36</v>
      </c>
      <c r="G714" s="73">
        <v>3</v>
      </c>
      <c r="H714" s="74" t="s">
        <v>1043</v>
      </c>
      <c r="I714" s="59" t="s">
        <v>1044</v>
      </c>
      <c r="J714" s="59" t="s">
        <v>1045</v>
      </c>
      <c r="K714" s="69">
        <v>5403</v>
      </c>
      <c r="L714" s="56">
        <v>207</v>
      </c>
      <c r="M714" s="59" t="s">
        <v>26</v>
      </c>
      <c r="N714" s="61">
        <v>472.17</v>
      </c>
      <c r="O714" s="59" t="s">
        <v>313</v>
      </c>
      <c r="P714" s="62">
        <v>441.28</v>
      </c>
      <c r="Q714" s="63">
        <v>20</v>
      </c>
      <c r="R714" s="62">
        <v>88.26</v>
      </c>
      <c r="S714" s="61">
        <v>0</v>
      </c>
      <c r="T714" s="62">
        <v>30.89</v>
      </c>
    </row>
    <row r="715" spans="1:20" ht="11.1" customHeight="1" x14ac:dyDescent="0.25">
      <c r="O715" s="59" t="s">
        <v>436</v>
      </c>
      <c r="P715" s="62">
        <v>595.73</v>
      </c>
      <c r="Q715" s="63">
        <v>20</v>
      </c>
      <c r="R715" s="62">
        <v>30.89</v>
      </c>
      <c r="S715" s="61">
        <v>0</v>
      </c>
      <c r="T715" s="62">
        <v>0</v>
      </c>
    </row>
    <row r="716" spans="1:20" ht="11.1" customHeight="1" x14ac:dyDescent="0.25">
      <c r="A716" s="56">
        <v>108578</v>
      </c>
      <c r="B716" s="72">
        <v>46029</v>
      </c>
      <c r="C716" s="68">
        <v>46029</v>
      </c>
      <c r="D716" s="58" t="s">
        <v>1051</v>
      </c>
      <c r="E716" s="59" t="s">
        <v>352</v>
      </c>
      <c r="F716" s="56">
        <v>36</v>
      </c>
      <c r="G716" s="73">
        <v>3</v>
      </c>
      <c r="H716" s="74" t="s">
        <v>1043</v>
      </c>
      <c r="I716" s="59" t="s">
        <v>1044</v>
      </c>
      <c r="J716" s="59" t="s">
        <v>1045</v>
      </c>
      <c r="K716" s="69">
        <v>5102</v>
      </c>
      <c r="L716" s="56">
        <v>205</v>
      </c>
      <c r="M716" s="59" t="s">
        <v>26</v>
      </c>
      <c r="N716" s="61">
        <v>85.92</v>
      </c>
      <c r="O716" s="59" t="s">
        <v>313</v>
      </c>
      <c r="P716" s="62">
        <v>85.92</v>
      </c>
      <c r="Q716" s="63">
        <v>20</v>
      </c>
      <c r="R716" s="62">
        <v>17.18</v>
      </c>
      <c r="S716" s="61">
        <v>0</v>
      </c>
      <c r="T716" s="62">
        <v>0</v>
      </c>
    </row>
    <row r="717" spans="1:20" ht="11.1" customHeight="1" x14ac:dyDescent="0.25">
      <c r="A717" s="56">
        <v>108579</v>
      </c>
      <c r="B717" s="72">
        <v>46029</v>
      </c>
      <c r="C717" s="68">
        <v>46029</v>
      </c>
      <c r="D717" s="58" t="s">
        <v>1051</v>
      </c>
      <c r="E717" s="59" t="s">
        <v>352</v>
      </c>
      <c r="F717" s="56">
        <v>36</v>
      </c>
      <c r="G717" s="73">
        <v>3</v>
      </c>
      <c r="H717" s="74" t="s">
        <v>1043</v>
      </c>
      <c r="I717" s="59" t="s">
        <v>1044</v>
      </c>
      <c r="J717" s="59" t="s">
        <v>1045</v>
      </c>
      <c r="K717" s="69">
        <v>5403</v>
      </c>
      <c r="L717" s="56">
        <v>207</v>
      </c>
      <c r="M717" s="59" t="s">
        <v>26</v>
      </c>
      <c r="N717" s="61">
        <v>928.88</v>
      </c>
      <c r="O717" s="59" t="s">
        <v>313</v>
      </c>
      <c r="P717" s="62">
        <v>868.11</v>
      </c>
      <c r="Q717" s="63">
        <v>20</v>
      </c>
      <c r="R717" s="62">
        <v>173.62</v>
      </c>
      <c r="S717" s="61">
        <v>0</v>
      </c>
      <c r="T717" s="62">
        <v>60.77</v>
      </c>
    </row>
    <row r="718" spans="1:20" ht="11.1" customHeight="1" x14ac:dyDescent="0.25">
      <c r="O718" s="59" t="s">
        <v>436</v>
      </c>
      <c r="P718" s="62">
        <v>1171.95</v>
      </c>
      <c r="Q718" s="63">
        <v>20</v>
      </c>
      <c r="R718" s="62">
        <v>60.77</v>
      </c>
      <c r="S718" s="61">
        <v>0</v>
      </c>
      <c r="T718" s="62">
        <v>0</v>
      </c>
    </row>
    <row r="719" spans="1:20" ht="11.1" customHeight="1" x14ac:dyDescent="0.25">
      <c r="A719" s="56">
        <v>108584</v>
      </c>
      <c r="B719" s="72">
        <v>46029</v>
      </c>
      <c r="C719" s="68">
        <v>46029</v>
      </c>
      <c r="D719" s="58" t="s">
        <v>1052</v>
      </c>
      <c r="E719" s="59" t="s">
        <v>352</v>
      </c>
      <c r="F719" s="56">
        <v>36</v>
      </c>
      <c r="G719" s="73">
        <v>3</v>
      </c>
      <c r="H719" s="74" t="s">
        <v>1043</v>
      </c>
      <c r="I719" s="59" t="s">
        <v>1044</v>
      </c>
      <c r="J719" s="59" t="s">
        <v>1045</v>
      </c>
      <c r="K719" s="69">
        <v>5403</v>
      </c>
      <c r="L719" s="56">
        <v>207</v>
      </c>
      <c r="M719" s="59" t="s">
        <v>26</v>
      </c>
      <c r="N719" s="61">
        <v>619.25</v>
      </c>
      <c r="O719" s="59" t="s">
        <v>313</v>
      </c>
      <c r="P719" s="62">
        <v>578.74</v>
      </c>
      <c r="Q719" s="63">
        <v>20</v>
      </c>
      <c r="R719" s="62">
        <v>115.75</v>
      </c>
      <c r="S719" s="61">
        <v>0</v>
      </c>
      <c r="T719" s="62">
        <v>40.51</v>
      </c>
    </row>
    <row r="720" spans="1:20" ht="11.1" customHeight="1" x14ac:dyDescent="0.25">
      <c r="O720" s="59" t="s">
        <v>436</v>
      </c>
      <c r="P720" s="62">
        <v>781.3</v>
      </c>
      <c r="Q720" s="63">
        <v>20</v>
      </c>
      <c r="R720" s="62">
        <v>40.51</v>
      </c>
      <c r="S720" s="61">
        <v>0</v>
      </c>
      <c r="T720" s="62">
        <v>0</v>
      </c>
    </row>
    <row r="721" spans="1:20" ht="11.1" customHeight="1" x14ac:dyDescent="0.25">
      <c r="A721" s="56">
        <v>108595</v>
      </c>
      <c r="B721" s="72">
        <v>46029</v>
      </c>
      <c r="C721" s="68">
        <v>46029</v>
      </c>
      <c r="D721" s="58" t="s">
        <v>1053</v>
      </c>
      <c r="E721" s="59" t="s">
        <v>352</v>
      </c>
      <c r="F721" s="56">
        <v>36</v>
      </c>
      <c r="G721" s="73">
        <v>3</v>
      </c>
      <c r="H721" s="74" t="s">
        <v>1043</v>
      </c>
      <c r="I721" s="59" t="s">
        <v>1044</v>
      </c>
      <c r="J721" s="59" t="s">
        <v>1045</v>
      </c>
      <c r="K721" s="69">
        <v>5102</v>
      </c>
      <c r="L721" s="56">
        <v>205</v>
      </c>
      <c r="M721" s="59" t="s">
        <v>26</v>
      </c>
      <c r="N721" s="61">
        <v>536.87</v>
      </c>
      <c r="O721" s="59" t="s">
        <v>313</v>
      </c>
      <c r="P721" s="62">
        <v>536.87</v>
      </c>
      <c r="Q721" s="63">
        <v>20</v>
      </c>
      <c r="R721" s="62">
        <v>107.38</v>
      </c>
      <c r="S721" s="61">
        <v>0</v>
      </c>
      <c r="T721" s="62">
        <v>0</v>
      </c>
    </row>
    <row r="722" spans="1:20" ht="11.1" customHeight="1" x14ac:dyDescent="0.25">
      <c r="A722" s="56">
        <v>108597</v>
      </c>
      <c r="B722" s="72">
        <v>46029</v>
      </c>
      <c r="C722" s="68">
        <v>46029</v>
      </c>
      <c r="D722" s="58" t="s">
        <v>1054</v>
      </c>
      <c r="E722" s="59" t="s">
        <v>352</v>
      </c>
      <c r="F722" s="56">
        <v>36</v>
      </c>
      <c r="G722" s="73">
        <v>3</v>
      </c>
      <c r="H722" s="74" t="s">
        <v>1043</v>
      </c>
      <c r="I722" s="59" t="s">
        <v>1044</v>
      </c>
      <c r="J722" s="59" t="s">
        <v>1045</v>
      </c>
      <c r="K722" s="69">
        <v>5102</v>
      </c>
      <c r="L722" s="56">
        <v>205</v>
      </c>
      <c r="M722" s="59" t="s">
        <v>26</v>
      </c>
      <c r="N722" s="61">
        <v>33.1</v>
      </c>
      <c r="O722" s="59" t="s">
        <v>313</v>
      </c>
      <c r="P722" s="62">
        <v>33.1</v>
      </c>
      <c r="Q722" s="63">
        <v>20</v>
      </c>
      <c r="R722" s="62">
        <v>6.62</v>
      </c>
      <c r="S722" s="61">
        <v>0</v>
      </c>
      <c r="T722" s="62">
        <v>0</v>
      </c>
    </row>
    <row r="723" spans="1:20" ht="11.1" customHeight="1" x14ac:dyDescent="0.25">
      <c r="A723" s="56">
        <v>108618</v>
      </c>
      <c r="B723" s="72">
        <v>46029</v>
      </c>
      <c r="C723" s="68">
        <v>46029</v>
      </c>
      <c r="D723" s="58" t="s">
        <v>1055</v>
      </c>
      <c r="E723" s="59" t="s">
        <v>352</v>
      </c>
      <c r="F723" s="56">
        <v>36</v>
      </c>
      <c r="G723" s="73">
        <v>3</v>
      </c>
      <c r="H723" s="74" t="s">
        <v>1043</v>
      </c>
      <c r="I723" s="59" t="s">
        <v>1044</v>
      </c>
      <c r="J723" s="59" t="s">
        <v>1045</v>
      </c>
      <c r="K723" s="69">
        <v>5403</v>
      </c>
      <c r="L723" s="56">
        <v>207</v>
      </c>
      <c r="M723" s="59" t="s">
        <v>26</v>
      </c>
      <c r="N723" s="61">
        <v>370.01</v>
      </c>
      <c r="O723" s="59" t="s">
        <v>313</v>
      </c>
      <c r="P723" s="62">
        <v>345.8</v>
      </c>
      <c r="Q723" s="63">
        <v>20</v>
      </c>
      <c r="R723" s="62">
        <v>69.16</v>
      </c>
      <c r="S723" s="61">
        <v>0</v>
      </c>
      <c r="T723" s="62">
        <v>24.21</v>
      </c>
    </row>
    <row r="724" spans="1:20" ht="11.1" customHeight="1" x14ac:dyDescent="0.25">
      <c r="O724" s="59" t="s">
        <v>436</v>
      </c>
      <c r="P724" s="62">
        <v>466.83</v>
      </c>
      <c r="Q724" s="63">
        <v>20</v>
      </c>
      <c r="R724" s="62">
        <v>24.21</v>
      </c>
      <c r="S724" s="61">
        <v>0</v>
      </c>
      <c r="T724" s="62">
        <v>0</v>
      </c>
    </row>
    <row r="725" spans="1:20" ht="11.1" customHeight="1" x14ac:dyDescent="0.25">
      <c r="A725" s="56">
        <v>108642</v>
      </c>
      <c r="B725" s="72">
        <v>46030</v>
      </c>
      <c r="C725" s="68">
        <v>46030</v>
      </c>
      <c r="D725" s="58" t="s">
        <v>1056</v>
      </c>
      <c r="E725" s="59" t="s">
        <v>352</v>
      </c>
      <c r="F725" s="56">
        <v>36</v>
      </c>
      <c r="G725" s="73">
        <v>3</v>
      </c>
      <c r="H725" s="74" t="s">
        <v>1043</v>
      </c>
      <c r="I725" s="59" t="s">
        <v>1044</v>
      </c>
      <c r="J725" s="59" t="s">
        <v>1045</v>
      </c>
      <c r="K725" s="69">
        <v>5102</v>
      </c>
      <c r="L725" s="56">
        <v>205</v>
      </c>
      <c r="M725" s="59" t="s">
        <v>26</v>
      </c>
      <c r="N725" s="61">
        <v>147.97999999999999</v>
      </c>
      <c r="O725" s="59" t="s">
        <v>313</v>
      </c>
      <c r="P725" s="62">
        <v>147.97999999999999</v>
      </c>
      <c r="Q725" s="63">
        <v>20</v>
      </c>
      <c r="R725" s="62">
        <v>29.6</v>
      </c>
      <c r="S725" s="61">
        <v>0</v>
      </c>
      <c r="T725" s="62">
        <v>0</v>
      </c>
    </row>
    <row r="726" spans="1:20" ht="11.1" customHeight="1" x14ac:dyDescent="0.25">
      <c r="A726" s="56">
        <v>108655</v>
      </c>
      <c r="B726" s="72">
        <v>46030</v>
      </c>
      <c r="C726" s="68">
        <v>46030</v>
      </c>
      <c r="D726" s="58" t="s">
        <v>1057</v>
      </c>
      <c r="E726" s="59" t="s">
        <v>352</v>
      </c>
      <c r="F726" s="56">
        <v>36</v>
      </c>
      <c r="G726" s="73">
        <v>3</v>
      </c>
      <c r="H726" s="74" t="s">
        <v>1043</v>
      </c>
      <c r="I726" s="59" t="s">
        <v>1044</v>
      </c>
      <c r="J726" s="59" t="s">
        <v>1045</v>
      </c>
      <c r="K726" s="69">
        <v>5102</v>
      </c>
      <c r="L726" s="56">
        <v>205</v>
      </c>
      <c r="M726" s="59" t="s">
        <v>26</v>
      </c>
      <c r="N726" s="61">
        <v>120.56</v>
      </c>
      <c r="O726" s="59" t="s">
        <v>313</v>
      </c>
      <c r="P726" s="62">
        <v>120.56</v>
      </c>
      <c r="Q726" s="63">
        <v>20</v>
      </c>
      <c r="R726" s="62">
        <v>24.11</v>
      </c>
      <c r="S726" s="61">
        <v>0</v>
      </c>
      <c r="T726" s="62">
        <v>0</v>
      </c>
    </row>
    <row r="727" spans="1:20" ht="11.1" customHeight="1" x14ac:dyDescent="0.25">
      <c r="A727" s="56">
        <v>108656</v>
      </c>
      <c r="B727" s="72">
        <v>46030</v>
      </c>
      <c r="C727" s="68">
        <v>46030</v>
      </c>
      <c r="D727" s="58" t="s">
        <v>1057</v>
      </c>
      <c r="E727" s="59" t="s">
        <v>352</v>
      </c>
      <c r="F727" s="56">
        <v>36</v>
      </c>
      <c r="G727" s="73">
        <v>3</v>
      </c>
      <c r="H727" s="74" t="s">
        <v>1043</v>
      </c>
      <c r="I727" s="59" t="s">
        <v>1044</v>
      </c>
      <c r="J727" s="59" t="s">
        <v>1045</v>
      </c>
      <c r="K727" s="69">
        <v>5403</v>
      </c>
      <c r="L727" s="56">
        <v>207</v>
      </c>
      <c r="M727" s="59" t="s">
        <v>26</v>
      </c>
      <c r="N727" s="61">
        <v>456.84</v>
      </c>
      <c r="O727" s="59" t="s">
        <v>313</v>
      </c>
      <c r="P727" s="62">
        <v>426.96</v>
      </c>
      <c r="Q727" s="63">
        <v>20</v>
      </c>
      <c r="R727" s="62">
        <v>85.4</v>
      </c>
      <c r="S727" s="61">
        <v>0</v>
      </c>
      <c r="T727" s="62">
        <v>29.88</v>
      </c>
    </row>
    <row r="728" spans="1:20" ht="11.1" customHeight="1" x14ac:dyDescent="0.25">
      <c r="O728" s="59" t="s">
        <v>436</v>
      </c>
      <c r="P728" s="62">
        <v>576.4</v>
      </c>
      <c r="Q728" s="63">
        <v>20</v>
      </c>
      <c r="R728" s="62">
        <v>29.88</v>
      </c>
      <c r="S728" s="61">
        <v>0</v>
      </c>
      <c r="T728" s="62">
        <v>0</v>
      </c>
    </row>
    <row r="729" spans="1:20" ht="11.1" customHeight="1" x14ac:dyDescent="0.25">
      <c r="A729" s="56">
        <v>108699</v>
      </c>
      <c r="B729" s="72">
        <v>46031</v>
      </c>
      <c r="C729" s="68">
        <v>46031</v>
      </c>
      <c r="D729" s="58" t="s">
        <v>1058</v>
      </c>
      <c r="E729" s="59" t="s">
        <v>352</v>
      </c>
      <c r="F729" s="56">
        <v>36</v>
      </c>
      <c r="G729" s="73">
        <v>3</v>
      </c>
      <c r="H729" s="74" t="s">
        <v>1043</v>
      </c>
      <c r="I729" s="59" t="s">
        <v>1044</v>
      </c>
      <c r="J729" s="59" t="s">
        <v>1045</v>
      </c>
      <c r="K729" s="69">
        <v>5102</v>
      </c>
      <c r="L729" s="56">
        <v>205</v>
      </c>
      <c r="M729" s="59" t="s">
        <v>26</v>
      </c>
      <c r="N729" s="61">
        <v>58.21</v>
      </c>
      <c r="O729" s="59" t="s">
        <v>313</v>
      </c>
      <c r="P729" s="62">
        <v>58.21</v>
      </c>
      <c r="Q729" s="63">
        <v>20</v>
      </c>
      <c r="R729" s="62">
        <v>11.64</v>
      </c>
      <c r="S729" s="61">
        <v>0</v>
      </c>
      <c r="T729" s="62">
        <v>0</v>
      </c>
    </row>
    <row r="730" spans="1:20" ht="11.1" customHeight="1" x14ac:dyDescent="0.25">
      <c r="A730" s="56">
        <v>108700</v>
      </c>
      <c r="B730" s="72">
        <v>46031</v>
      </c>
      <c r="C730" s="68">
        <v>46031</v>
      </c>
      <c r="D730" s="58" t="s">
        <v>1058</v>
      </c>
      <c r="E730" s="59" t="s">
        <v>352</v>
      </c>
      <c r="F730" s="56">
        <v>36</v>
      </c>
      <c r="G730" s="73">
        <v>3</v>
      </c>
      <c r="H730" s="74" t="s">
        <v>1043</v>
      </c>
      <c r="I730" s="59" t="s">
        <v>1044</v>
      </c>
      <c r="J730" s="59" t="s">
        <v>1045</v>
      </c>
      <c r="K730" s="69">
        <v>5403</v>
      </c>
      <c r="L730" s="56">
        <v>207</v>
      </c>
      <c r="M730" s="59" t="s">
        <v>26</v>
      </c>
      <c r="N730" s="61">
        <v>61.46</v>
      </c>
      <c r="O730" s="59" t="s">
        <v>313</v>
      </c>
      <c r="P730" s="62">
        <v>57.44</v>
      </c>
      <c r="Q730" s="63">
        <v>20</v>
      </c>
      <c r="R730" s="62">
        <v>11.49</v>
      </c>
      <c r="S730" s="61">
        <v>0</v>
      </c>
      <c r="T730" s="62">
        <v>4.0199999999999996</v>
      </c>
    </row>
    <row r="731" spans="1:20" ht="11.1" customHeight="1" x14ac:dyDescent="0.25">
      <c r="O731" s="59" t="s">
        <v>436</v>
      </c>
      <c r="P731" s="62">
        <v>77.540000000000006</v>
      </c>
      <c r="Q731" s="63">
        <v>20</v>
      </c>
      <c r="R731" s="62">
        <v>4.0199999999999996</v>
      </c>
      <c r="S731" s="61">
        <v>0</v>
      </c>
      <c r="T731" s="62">
        <v>0</v>
      </c>
    </row>
    <row r="732" spans="1:20" ht="11.1" customHeight="1" x14ac:dyDescent="0.25">
      <c r="A732" s="56">
        <v>108705</v>
      </c>
      <c r="B732" s="72">
        <v>46031</v>
      </c>
      <c r="C732" s="68">
        <v>46031</v>
      </c>
      <c r="D732" s="58" t="s">
        <v>1059</v>
      </c>
      <c r="E732" s="59" t="s">
        <v>352</v>
      </c>
      <c r="F732" s="56">
        <v>36</v>
      </c>
      <c r="G732" s="73">
        <v>3</v>
      </c>
      <c r="H732" s="74" t="s">
        <v>1043</v>
      </c>
      <c r="I732" s="59" t="s">
        <v>1044</v>
      </c>
      <c r="J732" s="59" t="s">
        <v>1045</v>
      </c>
      <c r="K732" s="69">
        <v>5102</v>
      </c>
      <c r="L732" s="56">
        <v>205</v>
      </c>
      <c r="M732" s="59" t="s">
        <v>26</v>
      </c>
      <c r="N732" s="61">
        <v>96.11</v>
      </c>
      <c r="O732" s="59" t="s">
        <v>313</v>
      </c>
      <c r="P732" s="62">
        <v>96.11</v>
      </c>
      <c r="Q732" s="63">
        <v>20</v>
      </c>
      <c r="R732" s="62">
        <v>19.22</v>
      </c>
      <c r="S732" s="61">
        <v>0</v>
      </c>
      <c r="T732" s="62">
        <v>0</v>
      </c>
    </row>
    <row r="733" spans="1:20" ht="11.1" customHeight="1" x14ac:dyDescent="0.25">
      <c r="A733" s="56">
        <v>108746</v>
      </c>
      <c r="B733" s="72">
        <v>46031</v>
      </c>
      <c r="C733" s="68">
        <v>46031</v>
      </c>
      <c r="D733" s="58" t="s">
        <v>1060</v>
      </c>
      <c r="E733" s="59" t="s">
        <v>352</v>
      </c>
      <c r="F733" s="56">
        <v>36</v>
      </c>
      <c r="G733" s="73">
        <v>3</v>
      </c>
      <c r="H733" s="74" t="s">
        <v>1043</v>
      </c>
      <c r="I733" s="59" t="s">
        <v>1044</v>
      </c>
      <c r="J733" s="59" t="s">
        <v>1045</v>
      </c>
      <c r="K733" s="69">
        <v>5102</v>
      </c>
      <c r="L733" s="56">
        <v>205</v>
      </c>
      <c r="M733" s="59" t="s">
        <v>26</v>
      </c>
      <c r="N733" s="61">
        <v>7751.9</v>
      </c>
      <c r="O733" s="59" t="s">
        <v>313</v>
      </c>
      <c r="P733" s="62">
        <v>7751.9</v>
      </c>
      <c r="Q733" s="63">
        <v>20</v>
      </c>
      <c r="R733" s="62">
        <v>1550.39</v>
      </c>
      <c r="S733" s="61">
        <v>0</v>
      </c>
      <c r="T733" s="62">
        <v>0</v>
      </c>
    </row>
    <row r="734" spans="1:20" ht="11.1" customHeight="1" x14ac:dyDescent="0.25">
      <c r="A734" s="56">
        <v>108747</v>
      </c>
      <c r="B734" s="72">
        <v>46031</v>
      </c>
      <c r="C734" s="68">
        <v>46031</v>
      </c>
      <c r="D734" s="58" t="s">
        <v>1060</v>
      </c>
      <c r="E734" s="59" t="s">
        <v>352</v>
      </c>
      <c r="F734" s="56">
        <v>36</v>
      </c>
      <c r="G734" s="73">
        <v>3</v>
      </c>
      <c r="H734" s="74" t="s">
        <v>1043</v>
      </c>
      <c r="I734" s="59" t="s">
        <v>1044</v>
      </c>
      <c r="J734" s="59" t="s">
        <v>1045</v>
      </c>
      <c r="K734" s="69">
        <v>5405</v>
      </c>
      <c r="L734" s="56">
        <v>206</v>
      </c>
      <c r="M734" s="59" t="s">
        <v>26</v>
      </c>
      <c r="N734" s="61">
        <v>174.55</v>
      </c>
      <c r="O734" s="59" t="s">
        <v>313</v>
      </c>
      <c r="P734" s="62">
        <v>0</v>
      </c>
      <c r="Q734" s="63">
        <v>0</v>
      </c>
      <c r="R734" s="62">
        <v>0</v>
      </c>
      <c r="S734" s="61">
        <v>0</v>
      </c>
      <c r="T734" s="62">
        <v>174.55</v>
      </c>
    </row>
    <row r="735" spans="1:20" ht="11.1" customHeight="1" x14ac:dyDescent="0.25">
      <c r="A735" s="56">
        <v>108748</v>
      </c>
      <c r="B735" s="72">
        <v>46031</v>
      </c>
      <c r="C735" s="68">
        <v>46031</v>
      </c>
      <c r="D735" s="58" t="s">
        <v>1060</v>
      </c>
      <c r="E735" s="59" t="s">
        <v>352</v>
      </c>
      <c r="F735" s="56">
        <v>36</v>
      </c>
      <c r="G735" s="73">
        <v>3</v>
      </c>
      <c r="H735" s="74" t="s">
        <v>1043</v>
      </c>
      <c r="I735" s="59" t="s">
        <v>1044</v>
      </c>
      <c r="J735" s="59" t="s">
        <v>1045</v>
      </c>
      <c r="K735" s="69">
        <v>5403</v>
      </c>
      <c r="L735" s="56">
        <v>207</v>
      </c>
      <c r="M735" s="59" t="s">
        <v>26</v>
      </c>
      <c r="N735" s="61">
        <v>7023.67</v>
      </c>
      <c r="O735" s="59" t="s">
        <v>313</v>
      </c>
      <c r="P735" s="62">
        <v>6564.17</v>
      </c>
      <c r="Q735" s="63">
        <v>20</v>
      </c>
      <c r="R735" s="62">
        <v>1312.84</v>
      </c>
      <c r="S735" s="61">
        <v>0</v>
      </c>
      <c r="T735" s="62">
        <v>459.5</v>
      </c>
    </row>
    <row r="736" spans="1:20" ht="11.1" customHeight="1" x14ac:dyDescent="0.25">
      <c r="O736" s="59" t="s">
        <v>436</v>
      </c>
      <c r="P736" s="62">
        <v>8861.64</v>
      </c>
      <c r="Q736" s="63">
        <v>20</v>
      </c>
      <c r="R736" s="62">
        <v>459.5</v>
      </c>
      <c r="S736" s="61">
        <v>0</v>
      </c>
      <c r="T736" s="62">
        <v>0</v>
      </c>
    </row>
    <row r="737" spans="1:20" ht="11.1" customHeight="1" x14ac:dyDescent="0.25">
      <c r="A737" s="56">
        <v>108753</v>
      </c>
      <c r="B737" s="72">
        <v>46031</v>
      </c>
      <c r="C737" s="68">
        <v>46031</v>
      </c>
      <c r="D737" s="58" t="s">
        <v>1061</v>
      </c>
      <c r="E737" s="59" t="s">
        <v>352</v>
      </c>
      <c r="F737" s="56">
        <v>36</v>
      </c>
      <c r="G737" s="73">
        <v>3</v>
      </c>
      <c r="H737" s="74" t="s">
        <v>1043</v>
      </c>
      <c r="I737" s="59" t="s">
        <v>1044</v>
      </c>
      <c r="J737" s="59" t="s">
        <v>1045</v>
      </c>
      <c r="K737" s="69">
        <v>5102</v>
      </c>
      <c r="L737" s="56">
        <v>205</v>
      </c>
      <c r="M737" s="59" t="s">
        <v>26</v>
      </c>
      <c r="N737" s="61">
        <v>388.62</v>
      </c>
      <c r="O737" s="59" t="s">
        <v>313</v>
      </c>
      <c r="P737" s="62">
        <v>388.62</v>
      </c>
      <c r="Q737" s="63">
        <v>20</v>
      </c>
      <c r="R737" s="62">
        <v>77.73</v>
      </c>
      <c r="S737" s="61">
        <v>0</v>
      </c>
      <c r="T737" s="62">
        <v>0</v>
      </c>
    </row>
    <row r="738" spans="1:20" ht="11.1" customHeight="1" x14ac:dyDescent="0.25">
      <c r="A738" s="56">
        <v>108754</v>
      </c>
      <c r="B738" s="72">
        <v>46031</v>
      </c>
      <c r="C738" s="68">
        <v>46031</v>
      </c>
      <c r="D738" s="58" t="s">
        <v>1062</v>
      </c>
      <c r="E738" s="59" t="s">
        <v>352</v>
      </c>
      <c r="F738" s="56">
        <v>36</v>
      </c>
      <c r="G738" s="73">
        <v>3</v>
      </c>
      <c r="H738" s="74" t="s">
        <v>1043</v>
      </c>
      <c r="I738" s="59" t="s">
        <v>1044</v>
      </c>
      <c r="J738" s="59" t="s">
        <v>1045</v>
      </c>
      <c r="K738" s="69">
        <v>5102</v>
      </c>
      <c r="L738" s="56">
        <v>205</v>
      </c>
      <c r="M738" s="59" t="s">
        <v>26</v>
      </c>
      <c r="N738" s="61">
        <v>478.32</v>
      </c>
      <c r="O738" s="59" t="s">
        <v>313</v>
      </c>
      <c r="P738" s="62">
        <v>478.32</v>
      </c>
      <c r="Q738" s="63">
        <v>20</v>
      </c>
      <c r="R738" s="62">
        <v>95.66</v>
      </c>
      <c r="S738" s="61">
        <v>0</v>
      </c>
      <c r="T738" s="62">
        <v>0</v>
      </c>
    </row>
    <row r="739" spans="1:20" ht="11.1" customHeight="1" x14ac:dyDescent="0.25">
      <c r="A739" s="56">
        <v>108755</v>
      </c>
      <c r="B739" s="72">
        <v>46031</v>
      </c>
      <c r="C739" s="68">
        <v>46031</v>
      </c>
      <c r="D739" s="58" t="s">
        <v>1062</v>
      </c>
      <c r="E739" s="59" t="s">
        <v>352</v>
      </c>
      <c r="F739" s="56">
        <v>36</v>
      </c>
      <c r="G739" s="73">
        <v>3</v>
      </c>
      <c r="H739" s="74" t="s">
        <v>1043</v>
      </c>
      <c r="I739" s="59" t="s">
        <v>1044</v>
      </c>
      <c r="J739" s="59" t="s">
        <v>1045</v>
      </c>
      <c r="K739" s="69">
        <v>5403</v>
      </c>
      <c r="L739" s="56">
        <v>207</v>
      </c>
      <c r="M739" s="59" t="s">
        <v>26</v>
      </c>
      <c r="N739" s="61">
        <v>1332.02</v>
      </c>
      <c r="O739" s="59" t="s">
        <v>313</v>
      </c>
      <c r="P739" s="62">
        <v>1244.8800000000001</v>
      </c>
      <c r="Q739" s="63">
        <v>20</v>
      </c>
      <c r="R739" s="62">
        <v>248.98</v>
      </c>
      <c r="S739" s="61">
        <v>0</v>
      </c>
      <c r="T739" s="62">
        <v>87.14</v>
      </c>
    </row>
    <row r="740" spans="1:20" ht="11.1" customHeight="1" x14ac:dyDescent="0.25">
      <c r="O740" s="59" t="s">
        <v>436</v>
      </c>
      <c r="P740" s="62">
        <v>1680.59</v>
      </c>
      <c r="Q740" s="63">
        <v>20</v>
      </c>
      <c r="R740" s="62">
        <v>87.14</v>
      </c>
      <c r="S740" s="61">
        <v>0</v>
      </c>
      <c r="T740" s="62">
        <v>0</v>
      </c>
    </row>
    <row r="741" spans="1:20" ht="11.1" customHeight="1" x14ac:dyDescent="0.25">
      <c r="A741" s="56">
        <v>108759</v>
      </c>
      <c r="B741" s="72">
        <v>46031</v>
      </c>
      <c r="C741" s="68">
        <v>46031</v>
      </c>
      <c r="D741" s="58" t="s">
        <v>1063</v>
      </c>
      <c r="E741" s="59" t="s">
        <v>352</v>
      </c>
      <c r="F741" s="56">
        <v>36</v>
      </c>
      <c r="G741" s="73">
        <v>3</v>
      </c>
      <c r="H741" s="74" t="s">
        <v>1043</v>
      </c>
      <c r="I741" s="59" t="s">
        <v>1044</v>
      </c>
      <c r="J741" s="59" t="s">
        <v>1045</v>
      </c>
      <c r="K741" s="69">
        <v>5102</v>
      </c>
      <c r="L741" s="56">
        <v>205</v>
      </c>
      <c r="M741" s="59" t="s">
        <v>26</v>
      </c>
      <c r="N741" s="61">
        <v>384.66</v>
      </c>
      <c r="O741" s="59" t="s">
        <v>313</v>
      </c>
      <c r="P741" s="62">
        <v>384.66</v>
      </c>
      <c r="Q741" s="63">
        <v>20</v>
      </c>
      <c r="R741" s="62">
        <v>76.930000000000007</v>
      </c>
      <c r="S741" s="61">
        <v>0</v>
      </c>
      <c r="T741" s="62">
        <v>0</v>
      </c>
    </row>
    <row r="742" spans="1:20" ht="11.1" customHeight="1" x14ac:dyDescent="0.25">
      <c r="A742" s="56">
        <v>108760</v>
      </c>
      <c r="B742" s="72">
        <v>46031</v>
      </c>
      <c r="C742" s="68">
        <v>46031</v>
      </c>
      <c r="D742" s="58" t="s">
        <v>1063</v>
      </c>
      <c r="E742" s="59" t="s">
        <v>352</v>
      </c>
      <c r="F742" s="56">
        <v>36</v>
      </c>
      <c r="G742" s="73">
        <v>3</v>
      </c>
      <c r="H742" s="74" t="s">
        <v>1043</v>
      </c>
      <c r="I742" s="59" t="s">
        <v>1044</v>
      </c>
      <c r="J742" s="59" t="s">
        <v>1045</v>
      </c>
      <c r="K742" s="69">
        <v>5403</v>
      </c>
      <c r="L742" s="56">
        <v>207</v>
      </c>
      <c r="M742" s="59" t="s">
        <v>26</v>
      </c>
      <c r="N742" s="61">
        <v>317.39999999999998</v>
      </c>
      <c r="O742" s="59" t="s">
        <v>313</v>
      </c>
      <c r="P742" s="62">
        <v>296.64</v>
      </c>
      <c r="Q742" s="63">
        <v>20</v>
      </c>
      <c r="R742" s="62">
        <v>59.33</v>
      </c>
      <c r="S742" s="61">
        <v>0</v>
      </c>
      <c r="T742" s="62">
        <v>20.76</v>
      </c>
    </row>
    <row r="743" spans="1:20" ht="11.1" customHeight="1" x14ac:dyDescent="0.25">
      <c r="O743" s="59" t="s">
        <v>436</v>
      </c>
      <c r="P743" s="62">
        <v>400.46</v>
      </c>
      <c r="Q743" s="63">
        <v>20</v>
      </c>
      <c r="R743" s="62">
        <v>20.76</v>
      </c>
      <c r="S743" s="61">
        <v>0</v>
      </c>
      <c r="T743" s="62">
        <v>0</v>
      </c>
    </row>
    <row r="744" spans="1:20" ht="11.1" customHeight="1" x14ac:dyDescent="0.25">
      <c r="A744" s="56">
        <v>108763</v>
      </c>
      <c r="B744" s="72">
        <v>46034</v>
      </c>
      <c r="C744" s="68">
        <v>46034</v>
      </c>
      <c r="D744" s="58" t="s">
        <v>1064</v>
      </c>
      <c r="E744" s="59" t="s">
        <v>352</v>
      </c>
      <c r="F744" s="56">
        <v>36</v>
      </c>
      <c r="G744" s="73">
        <v>3</v>
      </c>
      <c r="H744" s="74" t="s">
        <v>1043</v>
      </c>
      <c r="I744" s="59" t="s">
        <v>1044</v>
      </c>
      <c r="J744" s="59" t="s">
        <v>1045</v>
      </c>
      <c r="K744" s="69">
        <v>5102</v>
      </c>
      <c r="L744" s="56">
        <v>205</v>
      </c>
      <c r="M744" s="59" t="s">
        <v>26</v>
      </c>
      <c r="N744" s="61">
        <v>158.16</v>
      </c>
      <c r="O744" s="59" t="s">
        <v>313</v>
      </c>
      <c r="P744" s="62">
        <v>158.16</v>
      </c>
      <c r="Q744" s="63">
        <v>20</v>
      </c>
      <c r="R744" s="62">
        <v>31.63</v>
      </c>
      <c r="S744" s="61">
        <v>0</v>
      </c>
      <c r="T744" s="62">
        <v>0</v>
      </c>
    </row>
    <row r="745" spans="1:20" ht="11.1" customHeight="1" x14ac:dyDescent="0.25">
      <c r="A745" s="56">
        <v>108787</v>
      </c>
      <c r="B745" s="72">
        <v>46034</v>
      </c>
      <c r="C745" s="68">
        <v>46034</v>
      </c>
      <c r="D745" s="58" t="s">
        <v>1065</v>
      </c>
      <c r="E745" s="59" t="s">
        <v>352</v>
      </c>
      <c r="F745" s="56">
        <v>36</v>
      </c>
      <c r="G745" s="73">
        <v>3</v>
      </c>
      <c r="H745" s="74" t="s">
        <v>1043</v>
      </c>
      <c r="I745" s="59" t="s">
        <v>1044</v>
      </c>
      <c r="J745" s="59" t="s">
        <v>1045</v>
      </c>
      <c r="K745" s="69">
        <v>5403</v>
      </c>
      <c r="L745" s="56">
        <v>207</v>
      </c>
      <c r="M745" s="59" t="s">
        <v>26</v>
      </c>
      <c r="N745" s="61">
        <v>149.25</v>
      </c>
      <c r="O745" s="59" t="s">
        <v>313</v>
      </c>
      <c r="P745" s="62">
        <v>139.49</v>
      </c>
      <c r="Q745" s="63">
        <v>20</v>
      </c>
      <c r="R745" s="62">
        <v>27.9</v>
      </c>
      <c r="S745" s="61">
        <v>0</v>
      </c>
      <c r="T745" s="62">
        <v>9.76</v>
      </c>
    </row>
    <row r="746" spans="1:20" ht="11.1" customHeight="1" x14ac:dyDescent="0.25">
      <c r="O746" s="59" t="s">
        <v>436</v>
      </c>
      <c r="P746" s="62">
        <v>188.31</v>
      </c>
      <c r="Q746" s="63">
        <v>20</v>
      </c>
      <c r="R746" s="62">
        <v>9.76</v>
      </c>
      <c r="S746" s="61">
        <v>0</v>
      </c>
      <c r="T746" s="62">
        <v>0</v>
      </c>
    </row>
    <row r="747" spans="1:20" ht="11.1" customHeight="1" x14ac:dyDescent="0.25">
      <c r="A747" s="56">
        <v>108788</v>
      </c>
      <c r="B747" s="72">
        <v>46034</v>
      </c>
      <c r="C747" s="68">
        <v>46034</v>
      </c>
      <c r="D747" s="58" t="s">
        <v>1066</v>
      </c>
      <c r="E747" s="59" t="s">
        <v>352</v>
      </c>
      <c r="F747" s="56">
        <v>36</v>
      </c>
      <c r="G747" s="73">
        <v>3</v>
      </c>
      <c r="H747" s="74" t="s">
        <v>1043</v>
      </c>
      <c r="I747" s="59" t="s">
        <v>1044</v>
      </c>
      <c r="J747" s="59" t="s">
        <v>1045</v>
      </c>
      <c r="K747" s="69">
        <v>5102</v>
      </c>
      <c r="L747" s="56">
        <v>205</v>
      </c>
      <c r="M747" s="59" t="s">
        <v>26</v>
      </c>
      <c r="N747" s="61">
        <v>446</v>
      </c>
      <c r="O747" s="59" t="s">
        <v>313</v>
      </c>
      <c r="P747" s="62">
        <v>446</v>
      </c>
      <c r="Q747" s="63">
        <v>20</v>
      </c>
      <c r="R747" s="62">
        <v>89.2</v>
      </c>
      <c r="S747" s="61">
        <v>0</v>
      </c>
      <c r="T747" s="62">
        <v>0</v>
      </c>
    </row>
    <row r="748" spans="1:20" ht="11.1" customHeight="1" x14ac:dyDescent="0.25">
      <c r="A748" s="56">
        <v>108804</v>
      </c>
      <c r="B748" s="72">
        <v>46034</v>
      </c>
      <c r="C748" s="68">
        <v>46034</v>
      </c>
      <c r="D748" s="58" t="s">
        <v>1067</v>
      </c>
      <c r="E748" s="59" t="s">
        <v>352</v>
      </c>
      <c r="F748" s="56">
        <v>36</v>
      </c>
      <c r="G748" s="73">
        <v>3</v>
      </c>
      <c r="H748" s="74" t="s">
        <v>1043</v>
      </c>
      <c r="I748" s="59" t="s">
        <v>1044</v>
      </c>
      <c r="J748" s="59" t="s">
        <v>1045</v>
      </c>
      <c r="K748" s="69">
        <v>5102</v>
      </c>
      <c r="L748" s="56">
        <v>205</v>
      </c>
      <c r="M748" s="59" t="s">
        <v>26</v>
      </c>
      <c r="N748" s="61">
        <v>85.08</v>
      </c>
      <c r="O748" s="59" t="s">
        <v>313</v>
      </c>
      <c r="P748" s="62">
        <v>85.08</v>
      </c>
      <c r="Q748" s="63">
        <v>20</v>
      </c>
      <c r="R748" s="62">
        <v>17.02</v>
      </c>
      <c r="S748" s="61">
        <v>0</v>
      </c>
      <c r="T748" s="62">
        <v>0</v>
      </c>
    </row>
    <row r="749" spans="1:20" ht="11.1" customHeight="1" x14ac:dyDescent="0.25">
      <c r="A749" s="56">
        <v>108848</v>
      </c>
      <c r="B749" s="72">
        <v>46035</v>
      </c>
      <c r="C749" s="68">
        <v>46035</v>
      </c>
      <c r="D749" s="58" t="s">
        <v>1068</v>
      </c>
      <c r="E749" s="59" t="s">
        <v>352</v>
      </c>
      <c r="F749" s="56">
        <v>36</v>
      </c>
      <c r="G749" s="73">
        <v>3</v>
      </c>
      <c r="H749" s="74" t="s">
        <v>1043</v>
      </c>
      <c r="I749" s="59" t="s">
        <v>1044</v>
      </c>
      <c r="J749" s="59" t="s">
        <v>1045</v>
      </c>
      <c r="K749" s="69">
        <v>5102</v>
      </c>
      <c r="L749" s="56">
        <v>205</v>
      </c>
      <c r="M749" s="59" t="s">
        <v>26</v>
      </c>
      <c r="N749" s="61">
        <v>3804.54</v>
      </c>
      <c r="O749" s="59" t="s">
        <v>313</v>
      </c>
      <c r="P749" s="62">
        <v>3804.54</v>
      </c>
      <c r="Q749" s="63">
        <v>20</v>
      </c>
      <c r="R749" s="62">
        <v>760.9</v>
      </c>
      <c r="S749" s="61">
        <v>0</v>
      </c>
      <c r="T749" s="62">
        <v>0</v>
      </c>
    </row>
    <row r="750" spans="1:20" ht="11.1" customHeight="1" x14ac:dyDescent="0.25">
      <c r="A750" s="56">
        <v>108849</v>
      </c>
      <c r="B750" s="72">
        <v>46035</v>
      </c>
      <c r="C750" s="68">
        <v>46035</v>
      </c>
      <c r="D750" s="58" t="s">
        <v>1068</v>
      </c>
      <c r="E750" s="59" t="s">
        <v>352</v>
      </c>
      <c r="F750" s="56">
        <v>36</v>
      </c>
      <c r="G750" s="73">
        <v>3</v>
      </c>
      <c r="H750" s="74" t="s">
        <v>1043</v>
      </c>
      <c r="I750" s="59" t="s">
        <v>1044</v>
      </c>
      <c r="J750" s="59" t="s">
        <v>1045</v>
      </c>
      <c r="K750" s="69">
        <v>5403</v>
      </c>
      <c r="L750" s="56">
        <v>207</v>
      </c>
      <c r="M750" s="59" t="s">
        <v>26</v>
      </c>
      <c r="N750" s="61">
        <v>450.96</v>
      </c>
      <c r="O750" s="59" t="s">
        <v>313</v>
      </c>
      <c r="P750" s="62">
        <v>421.46</v>
      </c>
      <c r="Q750" s="63">
        <v>20</v>
      </c>
      <c r="R750" s="62">
        <v>84.29</v>
      </c>
      <c r="S750" s="61">
        <v>0</v>
      </c>
      <c r="T750" s="62">
        <v>29.5</v>
      </c>
    </row>
    <row r="751" spans="1:20" ht="11.1" customHeight="1" x14ac:dyDescent="0.25">
      <c r="O751" s="59" t="s">
        <v>436</v>
      </c>
      <c r="P751" s="62">
        <v>568.97</v>
      </c>
      <c r="Q751" s="63">
        <v>20</v>
      </c>
      <c r="R751" s="62">
        <v>29.5</v>
      </c>
      <c r="S751" s="61">
        <v>0</v>
      </c>
      <c r="T751" s="62">
        <v>0</v>
      </c>
    </row>
    <row r="752" spans="1:20" ht="11.1" customHeight="1" x14ac:dyDescent="0.25">
      <c r="A752" s="56">
        <v>108863</v>
      </c>
      <c r="B752" s="72">
        <v>46035</v>
      </c>
      <c r="C752" s="68">
        <v>46035</v>
      </c>
      <c r="D752" s="58" t="s">
        <v>1069</v>
      </c>
      <c r="E752" s="59" t="s">
        <v>352</v>
      </c>
      <c r="F752" s="56">
        <v>36</v>
      </c>
      <c r="G752" s="73">
        <v>3</v>
      </c>
      <c r="H752" s="74" t="s">
        <v>1043</v>
      </c>
      <c r="I752" s="59" t="s">
        <v>1044</v>
      </c>
      <c r="J752" s="59" t="s">
        <v>1045</v>
      </c>
      <c r="K752" s="69">
        <v>5102</v>
      </c>
      <c r="L752" s="56">
        <v>205</v>
      </c>
      <c r="M752" s="59" t="s">
        <v>26</v>
      </c>
      <c r="N752" s="61">
        <v>149.01</v>
      </c>
      <c r="O752" s="59" t="s">
        <v>313</v>
      </c>
      <c r="P752" s="62">
        <v>149.01</v>
      </c>
      <c r="Q752" s="63">
        <v>20</v>
      </c>
      <c r="R752" s="62">
        <v>29.8</v>
      </c>
      <c r="S752" s="61">
        <v>0</v>
      </c>
      <c r="T752" s="62">
        <v>0</v>
      </c>
    </row>
    <row r="753" spans="1:20" ht="11.1" customHeight="1" x14ac:dyDescent="0.25">
      <c r="A753" s="56">
        <v>108864</v>
      </c>
      <c r="B753" s="72">
        <v>46035</v>
      </c>
      <c r="C753" s="68">
        <v>46035</v>
      </c>
      <c r="D753" s="58" t="s">
        <v>1069</v>
      </c>
      <c r="E753" s="59" t="s">
        <v>352</v>
      </c>
      <c r="F753" s="56">
        <v>36</v>
      </c>
      <c r="G753" s="73">
        <v>3</v>
      </c>
      <c r="H753" s="74" t="s">
        <v>1043</v>
      </c>
      <c r="I753" s="59" t="s">
        <v>1044</v>
      </c>
      <c r="J753" s="59" t="s">
        <v>1045</v>
      </c>
      <c r="K753" s="69">
        <v>5403</v>
      </c>
      <c r="L753" s="56">
        <v>207</v>
      </c>
      <c r="M753" s="59" t="s">
        <v>26</v>
      </c>
      <c r="N753" s="61">
        <v>125.11</v>
      </c>
      <c r="O753" s="59" t="s">
        <v>313</v>
      </c>
      <c r="P753" s="62">
        <v>116.92</v>
      </c>
      <c r="Q753" s="63">
        <v>20</v>
      </c>
      <c r="R753" s="62">
        <v>23.38</v>
      </c>
      <c r="S753" s="61">
        <v>0</v>
      </c>
      <c r="T753" s="62">
        <v>8.19</v>
      </c>
    </row>
    <row r="754" spans="1:20" ht="11.1" customHeight="1" x14ac:dyDescent="0.25">
      <c r="O754" s="59" t="s">
        <v>436</v>
      </c>
      <c r="P754" s="62">
        <v>157.84</v>
      </c>
      <c r="Q754" s="63">
        <v>20</v>
      </c>
      <c r="R754" s="62">
        <v>8.19</v>
      </c>
      <c r="S754" s="61">
        <v>0</v>
      </c>
      <c r="T754" s="62">
        <v>0</v>
      </c>
    </row>
    <row r="755" spans="1:20" ht="11.1" customHeight="1" x14ac:dyDescent="0.25">
      <c r="A755" s="56">
        <v>108905</v>
      </c>
      <c r="B755" s="72">
        <v>46036</v>
      </c>
      <c r="C755" s="68">
        <v>46036</v>
      </c>
      <c r="D755" s="58" t="s">
        <v>1070</v>
      </c>
      <c r="E755" s="59" t="s">
        <v>352</v>
      </c>
      <c r="F755" s="56">
        <v>36</v>
      </c>
      <c r="G755" s="73">
        <v>3</v>
      </c>
      <c r="H755" s="74" t="s">
        <v>1043</v>
      </c>
      <c r="I755" s="59" t="s">
        <v>1044</v>
      </c>
      <c r="J755" s="59" t="s">
        <v>1045</v>
      </c>
      <c r="K755" s="69">
        <v>5102</v>
      </c>
      <c r="L755" s="56">
        <v>205</v>
      </c>
      <c r="M755" s="59" t="s">
        <v>26</v>
      </c>
      <c r="N755" s="61">
        <v>1054.8499999999999</v>
      </c>
      <c r="O755" s="59" t="s">
        <v>313</v>
      </c>
      <c r="P755" s="62">
        <v>1054.8499999999999</v>
      </c>
      <c r="Q755" s="63">
        <v>20</v>
      </c>
      <c r="R755" s="62">
        <v>210.97</v>
      </c>
      <c r="S755" s="61">
        <v>0</v>
      </c>
      <c r="T755" s="62">
        <v>0</v>
      </c>
    </row>
    <row r="756" spans="1:20" ht="11.1" customHeight="1" x14ac:dyDescent="0.25">
      <c r="A756" s="56">
        <v>108906</v>
      </c>
      <c r="B756" s="72">
        <v>46036</v>
      </c>
      <c r="C756" s="68">
        <v>46036</v>
      </c>
      <c r="D756" s="58" t="s">
        <v>1070</v>
      </c>
      <c r="E756" s="59" t="s">
        <v>352</v>
      </c>
      <c r="F756" s="56">
        <v>36</v>
      </c>
      <c r="G756" s="73">
        <v>3</v>
      </c>
      <c r="H756" s="74" t="s">
        <v>1043</v>
      </c>
      <c r="I756" s="59" t="s">
        <v>1044</v>
      </c>
      <c r="J756" s="59" t="s">
        <v>1045</v>
      </c>
      <c r="K756" s="69">
        <v>5403</v>
      </c>
      <c r="L756" s="56">
        <v>207</v>
      </c>
      <c r="M756" s="59" t="s">
        <v>26</v>
      </c>
      <c r="N756" s="61">
        <v>880.97</v>
      </c>
      <c r="O756" s="59" t="s">
        <v>313</v>
      </c>
      <c r="P756" s="62">
        <v>823.33</v>
      </c>
      <c r="Q756" s="63">
        <v>20</v>
      </c>
      <c r="R756" s="62">
        <v>164.66</v>
      </c>
      <c r="S756" s="61">
        <v>0</v>
      </c>
      <c r="T756" s="62">
        <v>57.64</v>
      </c>
    </row>
    <row r="757" spans="1:20" ht="11.1" customHeight="1" x14ac:dyDescent="0.25">
      <c r="O757" s="59" t="s">
        <v>436</v>
      </c>
      <c r="P757" s="62">
        <v>1111.5</v>
      </c>
      <c r="Q757" s="63">
        <v>20</v>
      </c>
      <c r="R757" s="62">
        <v>57.64</v>
      </c>
      <c r="S757" s="61">
        <v>0</v>
      </c>
      <c r="T757" s="62">
        <v>0</v>
      </c>
    </row>
    <row r="758" spans="1:20" ht="11.1" customHeight="1" x14ac:dyDescent="0.25">
      <c r="A758" s="56">
        <v>108955</v>
      </c>
      <c r="B758" s="72">
        <v>46037</v>
      </c>
      <c r="C758" s="68">
        <v>46037</v>
      </c>
      <c r="D758" s="58" t="s">
        <v>1071</v>
      </c>
      <c r="E758" s="59" t="s">
        <v>352</v>
      </c>
      <c r="F758" s="56">
        <v>36</v>
      </c>
      <c r="G758" s="73">
        <v>3</v>
      </c>
      <c r="H758" s="74" t="s">
        <v>1043</v>
      </c>
      <c r="I758" s="59" t="s">
        <v>1044</v>
      </c>
      <c r="J758" s="59" t="s">
        <v>1045</v>
      </c>
      <c r="K758" s="69">
        <v>5102</v>
      </c>
      <c r="L758" s="56">
        <v>205</v>
      </c>
      <c r="M758" s="59" t="s">
        <v>26</v>
      </c>
      <c r="N758" s="61">
        <v>423.58</v>
      </c>
      <c r="O758" s="59" t="s">
        <v>313</v>
      </c>
      <c r="P758" s="62">
        <v>423.58</v>
      </c>
      <c r="Q758" s="63">
        <v>20</v>
      </c>
      <c r="R758" s="62">
        <v>84.72</v>
      </c>
      <c r="S758" s="61">
        <v>0</v>
      </c>
      <c r="T758" s="62">
        <v>0</v>
      </c>
    </row>
    <row r="759" spans="1:20" ht="11.1" customHeight="1" x14ac:dyDescent="0.25">
      <c r="A759" s="56">
        <v>108960</v>
      </c>
      <c r="B759" s="72">
        <v>46037</v>
      </c>
      <c r="C759" s="68">
        <v>46037</v>
      </c>
      <c r="D759" s="58" t="s">
        <v>1072</v>
      </c>
      <c r="E759" s="59" t="s">
        <v>352</v>
      </c>
      <c r="F759" s="56">
        <v>36</v>
      </c>
      <c r="G759" s="73">
        <v>3</v>
      </c>
      <c r="H759" s="74" t="s">
        <v>1043</v>
      </c>
      <c r="I759" s="59" t="s">
        <v>1044</v>
      </c>
      <c r="J759" s="59" t="s">
        <v>1045</v>
      </c>
      <c r="K759" s="69">
        <v>5102</v>
      </c>
      <c r="L759" s="56">
        <v>205</v>
      </c>
      <c r="M759" s="59" t="s">
        <v>26</v>
      </c>
      <c r="N759" s="61">
        <v>467.82</v>
      </c>
      <c r="O759" s="59" t="s">
        <v>313</v>
      </c>
      <c r="P759" s="62">
        <v>467.82</v>
      </c>
      <c r="Q759" s="63">
        <v>20</v>
      </c>
      <c r="R759" s="62">
        <v>93.56</v>
      </c>
      <c r="S759" s="61">
        <v>0</v>
      </c>
      <c r="T759" s="62">
        <v>0</v>
      </c>
    </row>
    <row r="760" spans="1:20" ht="11.1" customHeight="1" x14ac:dyDescent="0.25">
      <c r="A760" s="56">
        <v>108970</v>
      </c>
      <c r="B760" s="72">
        <v>46037</v>
      </c>
      <c r="C760" s="68">
        <v>46037</v>
      </c>
      <c r="D760" s="58" t="s">
        <v>1073</v>
      </c>
      <c r="E760" s="59" t="s">
        <v>352</v>
      </c>
      <c r="F760" s="56">
        <v>36</v>
      </c>
      <c r="G760" s="73">
        <v>3</v>
      </c>
      <c r="H760" s="74" t="s">
        <v>1043</v>
      </c>
      <c r="I760" s="59" t="s">
        <v>1044</v>
      </c>
      <c r="J760" s="59" t="s">
        <v>1045</v>
      </c>
      <c r="K760" s="69">
        <v>5403</v>
      </c>
      <c r="L760" s="56">
        <v>207</v>
      </c>
      <c r="M760" s="59" t="s">
        <v>26</v>
      </c>
      <c r="N760" s="61">
        <v>127.44</v>
      </c>
      <c r="O760" s="59" t="s">
        <v>313</v>
      </c>
      <c r="P760" s="62">
        <v>119.1</v>
      </c>
      <c r="Q760" s="63">
        <v>20</v>
      </c>
      <c r="R760" s="62">
        <v>23.82</v>
      </c>
      <c r="S760" s="61">
        <v>0</v>
      </c>
      <c r="T760" s="62">
        <v>8.34</v>
      </c>
    </row>
    <row r="761" spans="1:20" ht="11.1" customHeight="1" x14ac:dyDescent="0.25">
      <c r="O761" s="59" t="s">
        <v>436</v>
      </c>
      <c r="P761" s="62">
        <v>160.79</v>
      </c>
      <c r="Q761" s="63">
        <v>20</v>
      </c>
      <c r="R761" s="62">
        <v>8.34</v>
      </c>
      <c r="S761" s="61">
        <v>0</v>
      </c>
      <c r="T761" s="62">
        <v>0</v>
      </c>
    </row>
    <row r="762" spans="1:20" ht="11.1" customHeight="1" x14ac:dyDescent="0.25">
      <c r="A762" s="56">
        <v>109021</v>
      </c>
      <c r="B762" s="72">
        <v>46038</v>
      </c>
      <c r="C762" s="68">
        <v>46038</v>
      </c>
      <c r="D762" s="58" t="s">
        <v>1074</v>
      </c>
      <c r="E762" s="59" t="s">
        <v>352</v>
      </c>
      <c r="F762" s="56">
        <v>36</v>
      </c>
      <c r="G762" s="73">
        <v>3</v>
      </c>
      <c r="H762" s="74" t="s">
        <v>1043</v>
      </c>
      <c r="I762" s="59" t="s">
        <v>1044</v>
      </c>
      <c r="J762" s="59" t="s">
        <v>1045</v>
      </c>
      <c r="K762" s="69">
        <v>5102</v>
      </c>
      <c r="L762" s="56">
        <v>205</v>
      </c>
      <c r="M762" s="59" t="s">
        <v>26</v>
      </c>
      <c r="N762" s="61">
        <v>311.36</v>
      </c>
      <c r="O762" s="59" t="s">
        <v>313</v>
      </c>
      <c r="P762" s="62">
        <v>311.36</v>
      </c>
      <c r="Q762" s="63">
        <v>20</v>
      </c>
      <c r="R762" s="62">
        <v>62.28</v>
      </c>
      <c r="S762" s="61">
        <v>0</v>
      </c>
      <c r="T762" s="62">
        <v>0</v>
      </c>
    </row>
    <row r="763" spans="1:20" ht="11.1" customHeight="1" x14ac:dyDescent="0.25">
      <c r="A763" s="56">
        <v>109022</v>
      </c>
      <c r="B763" s="72">
        <v>46038</v>
      </c>
      <c r="C763" s="68">
        <v>46038</v>
      </c>
      <c r="D763" s="58" t="s">
        <v>1074</v>
      </c>
      <c r="E763" s="59" t="s">
        <v>352</v>
      </c>
      <c r="F763" s="56">
        <v>36</v>
      </c>
      <c r="G763" s="73">
        <v>3</v>
      </c>
      <c r="H763" s="74" t="s">
        <v>1043</v>
      </c>
      <c r="I763" s="59" t="s">
        <v>1044</v>
      </c>
      <c r="J763" s="59" t="s">
        <v>1045</v>
      </c>
      <c r="K763" s="69">
        <v>5403</v>
      </c>
      <c r="L763" s="56">
        <v>207</v>
      </c>
      <c r="M763" s="59" t="s">
        <v>26</v>
      </c>
      <c r="N763" s="61">
        <v>94.12</v>
      </c>
      <c r="O763" s="59" t="s">
        <v>313</v>
      </c>
      <c r="P763" s="62">
        <v>87.96</v>
      </c>
      <c r="Q763" s="63">
        <v>20</v>
      </c>
      <c r="R763" s="62">
        <v>17.59</v>
      </c>
      <c r="S763" s="61">
        <v>0</v>
      </c>
      <c r="T763" s="62">
        <v>6.16</v>
      </c>
    </row>
    <row r="764" spans="1:20" ht="11.1" customHeight="1" x14ac:dyDescent="0.25">
      <c r="O764" s="59" t="s">
        <v>436</v>
      </c>
      <c r="P764" s="62">
        <v>118.75</v>
      </c>
      <c r="Q764" s="63">
        <v>20</v>
      </c>
      <c r="R764" s="62">
        <v>6.16</v>
      </c>
      <c r="S764" s="61">
        <v>0</v>
      </c>
      <c r="T764" s="62">
        <v>0</v>
      </c>
    </row>
    <row r="765" spans="1:20" ht="11.1" customHeight="1" x14ac:dyDescent="0.25">
      <c r="A765" s="56">
        <v>109064</v>
      </c>
      <c r="B765" s="72">
        <v>46038</v>
      </c>
      <c r="C765" s="68">
        <v>46038</v>
      </c>
      <c r="D765" s="58" t="s">
        <v>1075</v>
      </c>
      <c r="E765" s="59" t="s">
        <v>352</v>
      </c>
      <c r="F765" s="56">
        <v>36</v>
      </c>
      <c r="G765" s="73">
        <v>3</v>
      </c>
      <c r="H765" s="74" t="s">
        <v>1043</v>
      </c>
      <c r="I765" s="59" t="s">
        <v>1044</v>
      </c>
      <c r="J765" s="59" t="s">
        <v>1045</v>
      </c>
      <c r="K765" s="69">
        <v>5102</v>
      </c>
      <c r="L765" s="56">
        <v>205</v>
      </c>
      <c r="M765" s="59" t="s">
        <v>26</v>
      </c>
      <c r="N765" s="61">
        <v>8885.34</v>
      </c>
      <c r="O765" s="59" t="s">
        <v>313</v>
      </c>
      <c r="P765" s="62">
        <v>8885.34</v>
      </c>
      <c r="Q765" s="63">
        <v>20</v>
      </c>
      <c r="R765" s="62">
        <v>1777.08</v>
      </c>
      <c r="S765" s="61">
        <v>0</v>
      </c>
      <c r="T765" s="62">
        <v>0</v>
      </c>
    </row>
    <row r="766" spans="1:20" ht="11.1" customHeight="1" x14ac:dyDescent="0.25">
      <c r="A766" s="56">
        <v>109065</v>
      </c>
      <c r="B766" s="72">
        <v>46038</v>
      </c>
      <c r="C766" s="68">
        <v>46038</v>
      </c>
      <c r="D766" s="58" t="s">
        <v>1075</v>
      </c>
      <c r="E766" s="59" t="s">
        <v>352</v>
      </c>
      <c r="F766" s="56">
        <v>36</v>
      </c>
      <c r="G766" s="73">
        <v>3</v>
      </c>
      <c r="H766" s="74" t="s">
        <v>1043</v>
      </c>
      <c r="I766" s="59" t="s">
        <v>1044</v>
      </c>
      <c r="J766" s="59" t="s">
        <v>1045</v>
      </c>
      <c r="K766" s="69">
        <v>5403</v>
      </c>
      <c r="L766" s="56">
        <v>207</v>
      </c>
      <c r="M766" s="59" t="s">
        <v>26</v>
      </c>
      <c r="N766" s="61">
        <v>13060.98</v>
      </c>
      <c r="O766" s="59" t="s">
        <v>313</v>
      </c>
      <c r="P766" s="62">
        <v>12206.51</v>
      </c>
      <c r="Q766" s="63">
        <v>20</v>
      </c>
      <c r="R766" s="62">
        <v>2441.31</v>
      </c>
      <c r="S766" s="61">
        <v>0</v>
      </c>
      <c r="T766" s="62">
        <v>854.47</v>
      </c>
    </row>
    <row r="767" spans="1:20" ht="11.1" customHeight="1" x14ac:dyDescent="0.25">
      <c r="O767" s="59" t="s">
        <v>436</v>
      </c>
      <c r="P767" s="62">
        <v>16478.82</v>
      </c>
      <c r="Q767" s="63">
        <v>20</v>
      </c>
      <c r="R767" s="62">
        <v>854.47</v>
      </c>
      <c r="S767" s="61">
        <v>0</v>
      </c>
      <c r="T767" s="62">
        <v>0</v>
      </c>
    </row>
    <row r="768" spans="1:20" ht="11.1" customHeight="1" x14ac:dyDescent="0.25">
      <c r="A768" s="56">
        <v>109073</v>
      </c>
      <c r="B768" s="72">
        <v>46041</v>
      </c>
      <c r="C768" s="68">
        <v>46041</v>
      </c>
      <c r="D768" s="58" t="s">
        <v>1076</v>
      </c>
      <c r="E768" s="59" t="s">
        <v>352</v>
      </c>
      <c r="F768" s="56">
        <v>36</v>
      </c>
      <c r="G768" s="73">
        <v>3</v>
      </c>
      <c r="H768" s="74" t="s">
        <v>1043</v>
      </c>
      <c r="I768" s="59" t="s">
        <v>1044</v>
      </c>
      <c r="J768" s="59" t="s">
        <v>1045</v>
      </c>
      <c r="K768" s="69">
        <v>5102</v>
      </c>
      <c r="L768" s="56">
        <v>205</v>
      </c>
      <c r="M768" s="59" t="s">
        <v>26</v>
      </c>
      <c r="N768" s="61">
        <v>4351.96</v>
      </c>
      <c r="O768" s="59" t="s">
        <v>313</v>
      </c>
      <c r="P768" s="62">
        <v>4351.96</v>
      </c>
      <c r="Q768" s="63">
        <v>20</v>
      </c>
      <c r="R768" s="62">
        <v>870.39</v>
      </c>
      <c r="S768" s="61">
        <v>0</v>
      </c>
      <c r="T768" s="62">
        <v>0</v>
      </c>
    </row>
    <row r="769" spans="1:20" ht="11.1" customHeight="1" x14ac:dyDescent="0.25">
      <c r="A769" s="56">
        <v>109100</v>
      </c>
      <c r="B769" s="72">
        <v>46041</v>
      </c>
      <c r="C769" s="68">
        <v>46041</v>
      </c>
      <c r="D769" s="58" t="s">
        <v>1077</v>
      </c>
      <c r="E769" s="59" t="s">
        <v>352</v>
      </c>
      <c r="F769" s="56">
        <v>36</v>
      </c>
      <c r="G769" s="73">
        <v>3</v>
      </c>
      <c r="H769" s="74" t="s">
        <v>1043</v>
      </c>
      <c r="I769" s="59" t="s">
        <v>1044</v>
      </c>
      <c r="J769" s="59" t="s">
        <v>1045</v>
      </c>
      <c r="K769" s="69">
        <v>5102</v>
      </c>
      <c r="L769" s="56">
        <v>205</v>
      </c>
      <c r="M769" s="59" t="s">
        <v>26</v>
      </c>
      <c r="N769" s="61">
        <v>3265.92</v>
      </c>
      <c r="O769" s="59" t="s">
        <v>313</v>
      </c>
      <c r="P769" s="62">
        <v>3265.92</v>
      </c>
      <c r="Q769" s="63">
        <v>20</v>
      </c>
      <c r="R769" s="62">
        <v>653.17999999999995</v>
      </c>
      <c r="S769" s="61">
        <v>0</v>
      </c>
      <c r="T769" s="62">
        <v>0</v>
      </c>
    </row>
    <row r="770" spans="1:20" ht="11.1" customHeight="1" x14ac:dyDescent="0.25">
      <c r="A770" s="56">
        <v>109101</v>
      </c>
      <c r="B770" s="72">
        <v>46041</v>
      </c>
      <c r="C770" s="68">
        <v>46041</v>
      </c>
      <c r="D770" s="58" t="s">
        <v>1077</v>
      </c>
      <c r="E770" s="59" t="s">
        <v>352</v>
      </c>
      <c r="F770" s="56">
        <v>36</v>
      </c>
      <c r="G770" s="73">
        <v>3</v>
      </c>
      <c r="H770" s="74" t="s">
        <v>1043</v>
      </c>
      <c r="I770" s="59" t="s">
        <v>1044</v>
      </c>
      <c r="J770" s="59" t="s">
        <v>1045</v>
      </c>
      <c r="K770" s="69">
        <v>5403</v>
      </c>
      <c r="L770" s="56">
        <v>207</v>
      </c>
      <c r="M770" s="59" t="s">
        <v>26</v>
      </c>
      <c r="N770" s="61">
        <v>294.24</v>
      </c>
      <c r="O770" s="59" t="s">
        <v>313</v>
      </c>
      <c r="P770" s="62">
        <v>274.98</v>
      </c>
      <c r="Q770" s="63">
        <v>20</v>
      </c>
      <c r="R770" s="62">
        <v>54.99</v>
      </c>
      <c r="S770" s="61">
        <v>0</v>
      </c>
      <c r="T770" s="62">
        <v>19.260000000000002</v>
      </c>
    </row>
    <row r="771" spans="1:20" ht="11.1" customHeight="1" x14ac:dyDescent="0.25">
      <c r="O771" s="59" t="s">
        <v>436</v>
      </c>
      <c r="P771" s="62">
        <v>371.23</v>
      </c>
      <c r="Q771" s="63">
        <v>20</v>
      </c>
      <c r="R771" s="62">
        <v>19.260000000000002</v>
      </c>
      <c r="S771" s="61">
        <v>0</v>
      </c>
      <c r="T771" s="62">
        <v>0</v>
      </c>
    </row>
    <row r="772" spans="1:20" ht="11.1" customHeight="1" x14ac:dyDescent="0.25">
      <c r="A772" s="56">
        <v>109106</v>
      </c>
      <c r="B772" s="72">
        <v>46041</v>
      </c>
      <c r="C772" s="68">
        <v>46041</v>
      </c>
      <c r="D772" s="58" t="s">
        <v>1078</v>
      </c>
      <c r="E772" s="59" t="s">
        <v>352</v>
      </c>
      <c r="F772" s="56">
        <v>36</v>
      </c>
      <c r="G772" s="73">
        <v>3</v>
      </c>
      <c r="H772" s="74" t="s">
        <v>1043</v>
      </c>
      <c r="I772" s="59" t="s">
        <v>1044</v>
      </c>
      <c r="J772" s="59" t="s">
        <v>1045</v>
      </c>
      <c r="K772" s="69">
        <v>5403</v>
      </c>
      <c r="L772" s="56">
        <v>207</v>
      </c>
      <c r="M772" s="59" t="s">
        <v>26</v>
      </c>
      <c r="N772" s="61">
        <v>182.72</v>
      </c>
      <c r="O772" s="59" t="s">
        <v>313</v>
      </c>
      <c r="P772" s="62">
        <v>170.76</v>
      </c>
      <c r="Q772" s="63">
        <v>20</v>
      </c>
      <c r="R772" s="62">
        <v>34.15</v>
      </c>
      <c r="S772" s="61">
        <v>0</v>
      </c>
      <c r="T772" s="62">
        <v>11.96</v>
      </c>
    </row>
    <row r="773" spans="1:20" ht="11.1" customHeight="1" x14ac:dyDescent="0.25">
      <c r="O773" s="59" t="s">
        <v>436</v>
      </c>
      <c r="P773" s="62">
        <v>230.53</v>
      </c>
      <c r="Q773" s="63">
        <v>20</v>
      </c>
      <c r="R773" s="62">
        <v>11.96</v>
      </c>
      <c r="S773" s="61">
        <v>0</v>
      </c>
      <c r="T773" s="62">
        <v>0</v>
      </c>
    </row>
    <row r="774" spans="1:20" ht="11.1" customHeight="1" x14ac:dyDescent="0.25">
      <c r="A774" s="56">
        <v>109123</v>
      </c>
      <c r="B774" s="72">
        <v>46041</v>
      </c>
      <c r="C774" s="68">
        <v>46041</v>
      </c>
      <c r="D774" s="58" t="s">
        <v>1079</v>
      </c>
      <c r="E774" s="59" t="s">
        <v>352</v>
      </c>
      <c r="F774" s="56">
        <v>36</v>
      </c>
      <c r="G774" s="73">
        <v>3</v>
      </c>
      <c r="H774" s="74" t="s">
        <v>1043</v>
      </c>
      <c r="I774" s="59" t="s">
        <v>1044</v>
      </c>
      <c r="J774" s="59" t="s">
        <v>1045</v>
      </c>
      <c r="K774" s="69">
        <v>5403</v>
      </c>
      <c r="L774" s="56">
        <v>207</v>
      </c>
      <c r="M774" s="59" t="s">
        <v>26</v>
      </c>
      <c r="N774" s="61">
        <v>151.26</v>
      </c>
      <c r="O774" s="59" t="s">
        <v>313</v>
      </c>
      <c r="P774" s="62">
        <v>141.36000000000001</v>
      </c>
      <c r="Q774" s="63">
        <v>20</v>
      </c>
      <c r="R774" s="62">
        <v>28.27</v>
      </c>
      <c r="S774" s="61">
        <v>0</v>
      </c>
      <c r="T774" s="62">
        <v>9.9</v>
      </c>
    </row>
    <row r="775" spans="1:20" ht="11.1" customHeight="1" x14ac:dyDescent="0.25">
      <c r="O775" s="59" t="s">
        <v>436</v>
      </c>
      <c r="P775" s="62">
        <v>190.84</v>
      </c>
      <c r="Q775" s="63">
        <v>20</v>
      </c>
      <c r="R775" s="62">
        <v>9.9</v>
      </c>
      <c r="S775" s="61">
        <v>0</v>
      </c>
      <c r="T775" s="62">
        <v>0</v>
      </c>
    </row>
    <row r="776" spans="1:20" ht="11.1" customHeight="1" x14ac:dyDescent="0.25">
      <c r="A776" s="56">
        <v>109148</v>
      </c>
      <c r="B776" s="72">
        <v>46042</v>
      </c>
      <c r="C776" s="68">
        <v>46042</v>
      </c>
      <c r="D776" s="58" t="s">
        <v>1080</v>
      </c>
      <c r="E776" s="59" t="s">
        <v>352</v>
      </c>
      <c r="F776" s="56">
        <v>36</v>
      </c>
      <c r="G776" s="73">
        <v>3</v>
      </c>
      <c r="H776" s="74" t="s">
        <v>1043</v>
      </c>
      <c r="I776" s="59" t="s">
        <v>1044</v>
      </c>
      <c r="J776" s="59" t="s">
        <v>1045</v>
      </c>
      <c r="K776" s="69">
        <v>5102</v>
      </c>
      <c r="L776" s="56">
        <v>205</v>
      </c>
      <c r="M776" s="59" t="s">
        <v>26</v>
      </c>
      <c r="N776" s="61">
        <v>102.4</v>
      </c>
      <c r="O776" s="59" t="s">
        <v>313</v>
      </c>
      <c r="P776" s="62">
        <v>102.4</v>
      </c>
      <c r="Q776" s="63">
        <v>20</v>
      </c>
      <c r="R776" s="62">
        <v>20.48</v>
      </c>
      <c r="S776" s="61">
        <v>0</v>
      </c>
      <c r="T776" s="62">
        <v>0</v>
      </c>
    </row>
    <row r="777" spans="1:20" ht="11.1" customHeight="1" x14ac:dyDescent="0.25">
      <c r="A777" s="56">
        <v>109149</v>
      </c>
      <c r="B777" s="72">
        <v>46042</v>
      </c>
      <c r="C777" s="68">
        <v>46042</v>
      </c>
      <c r="D777" s="58" t="s">
        <v>1080</v>
      </c>
      <c r="E777" s="59" t="s">
        <v>352</v>
      </c>
      <c r="F777" s="56">
        <v>36</v>
      </c>
      <c r="G777" s="73">
        <v>3</v>
      </c>
      <c r="H777" s="74" t="s">
        <v>1043</v>
      </c>
      <c r="I777" s="59" t="s">
        <v>1044</v>
      </c>
      <c r="J777" s="59" t="s">
        <v>1045</v>
      </c>
      <c r="K777" s="69">
        <v>5403</v>
      </c>
      <c r="L777" s="56">
        <v>207</v>
      </c>
      <c r="M777" s="59" t="s">
        <v>26</v>
      </c>
      <c r="N777" s="61">
        <v>254.98</v>
      </c>
      <c r="O777" s="59" t="s">
        <v>313</v>
      </c>
      <c r="P777" s="62">
        <v>238.3</v>
      </c>
      <c r="Q777" s="63">
        <v>20</v>
      </c>
      <c r="R777" s="62">
        <v>47.66</v>
      </c>
      <c r="S777" s="61">
        <v>0</v>
      </c>
      <c r="T777" s="62">
        <v>16.68</v>
      </c>
    </row>
    <row r="778" spans="1:20" ht="11.1" customHeight="1" x14ac:dyDescent="0.25">
      <c r="O778" s="59" t="s">
        <v>436</v>
      </c>
      <c r="P778" s="62">
        <v>321.70999999999998</v>
      </c>
      <c r="Q778" s="63">
        <v>20</v>
      </c>
      <c r="R778" s="62">
        <v>16.68</v>
      </c>
      <c r="S778" s="61">
        <v>0</v>
      </c>
      <c r="T778" s="62">
        <v>0</v>
      </c>
    </row>
    <row r="779" spans="1:20" ht="11.1" customHeight="1" x14ac:dyDescent="0.25">
      <c r="A779" s="56">
        <v>109150</v>
      </c>
      <c r="B779" s="72">
        <v>46042</v>
      </c>
      <c r="C779" s="68">
        <v>46042</v>
      </c>
      <c r="D779" s="58" t="s">
        <v>1081</v>
      </c>
      <c r="E779" s="59" t="s">
        <v>352</v>
      </c>
      <c r="F779" s="56">
        <v>36</v>
      </c>
      <c r="G779" s="73">
        <v>3</v>
      </c>
      <c r="H779" s="74" t="s">
        <v>1043</v>
      </c>
      <c r="I779" s="59" t="s">
        <v>1044</v>
      </c>
      <c r="J779" s="59" t="s">
        <v>1045</v>
      </c>
      <c r="K779" s="69">
        <v>5403</v>
      </c>
      <c r="L779" s="56">
        <v>207</v>
      </c>
      <c r="M779" s="59" t="s">
        <v>26</v>
      </c>
      <c r="N779" s="61">
        <v>756.28</v>
      </c>
      <c r="O779" s="59" t="s">
        <v>313</v>
      </c>
      <c r="P779" s="62">
        <v>706.8</v>
      </c>
      <c r="Q779" s="63">
        <v>20</v>
      </c>
      <c r="R779" s="62">
        <v>141.36000000000001</v>
      </c>
      <c r="S779" s="61">
        <v>0</v>
      </c>
      <c r="T779" s="62">
        <v>49.48</v>
      </c>
    </row>
    <row r="780" spans="1:20" ht="11.1" customHeight="1" x14ac:dyDescent="0.25">
      <c r="O780" s="59" t="s">
        <v>436</v>
      </c>
      <c r="P780" s="62">
        <v>954.18</v>
      </c>
      <c r="Q780" s="63">
        <v>20</v>
      </c>
      <c r="R780" s="62">
        <v>49.48</v>
      </c>
      <c r="S780" s="61">
        <v>0</v>
      </c>
      <c r="T780" s="62">
        <v>0</v>
      </c>
    </row>
    <row r="781" spans="1:20" ht="11.1" customHeight="1" x14ac:dyDescent="0.25">
      <c r="A781" s="56">
        <v>109151</v>
      </c>
      <c r="B781" s="72">
        <v>46042</v>
      </c>
      <c r="C781" s="68">
        <v>46042</v>
      </c>
      <c r="D781" s="58" t="s">
        <v>1082</v>
      </c>
      <c r="E781" s="59" t="s">
        <v>352</v>
      </c>
      <c r="F781" s="56">
        <v>36</v>
      </c>
      <c r="G781" s="73">
        <v>3</v>
      </c>
      <c r="H781" s="74" t="s">
        <v>1043</v>
      </c>
      <c r="I781" s="59" t="s">
        <v>1044</v>
      </c>
      <c r="J781" s="59" t="s">
        <v>1045</v>
      </c>
      <c r="K781" s="69">
        <v>5102</v>
      </c>
      <c r="L781" s="56">
        <v>205</v>
      </c>
      <c r="M781" s="59" t="s">
        <v>26</v>
      </c>
      <c r="N781" s="61">
        <v>467.18</v>
      </c>
      <c r="O781" s="59" t="s">
        <v>313</v>
      </c>
      <c r="P781" s="62">
        <v>467.18</v>
      </c>
      <c r="Q781" s="63">
        <v>20</v>
      </c>
      <c r="R781" s="62">
        <v>93.44</v>
      </c>
      <c r="S781" s="61">
        <v>0</v>
      </c>
      <c r="T781" s="62">
        <v>0</v>
      </c>
    </row>
    <row r="782" spans="1:20" ht="11.1" customHeight="1" x14ac:dyDescent="0.25">
      <c r="A782" s="56">
        <v>109152</v>
      </c>
      <c r="B782" s="72">
        <v>46042</v>
      </c>
      <c r="C782" s="68">
        <v>46042</v>
      </c>
      <c r="D782" s="58" t="s">
        <v>1083</v>
      </c>
      <c r="E782" s="59" t="s">
        <v>352</v>
      </c>
      <c r="F782" s="56">
        <v>36</v>
      </c>
      <c r="G782" s="73">
        <v>3</v>
      </c>
      <c r="H782" s="74" t="s">
        <v>1043</v>
      </c>
      <c r="I782" s="59" t="s">
        <v>1044</v>
      </c>
      <c r="J782" s="59" t="s">
        <v>1045</v>
      </c>
      <c r="K782" s="69">
        <v>5102</v>
      </c>
      <c r="L782" s="56">
        <v>205</v>
      </c>
      <c r="M782" s="59" t="s">
        <v>26</v>
      </c>
      <c r="N782" s="61">
        <v>345.24</v>
      </c>
      <c r="O782" s="59" t="s">
        <v>313</v>
      </c>
      <c r="P782" s="62">
        <v>345.24</v>
      </c>
      <c r="Q782" s="63">
        <v>20</v>
      </c>
      <c r="R782" s="62">
        <v>69.05</v>
      </c>
      <c r="S782" s="61">
        <v>0</v>
      </c>
      <c r="T782" s="62">
        <v>0</v>
      </c>
    </row>
    <row r="783" spans="1:20" ht="11.1" customHeight="1" x14ac:dyDescent="0.25">
      <c r="A783" s="56">
        <v>109210</v>
      </c>
      <c r="B783" s="72">
        <v>46043</v>
      </c>
      <c r="C783" s="68">
        <v>46043</v>
      </c>
      <c r="D783" s="58" t="s">
        <v>1084</v>
      </c>
      <c r="E783" s="59" t="s">
        <v>352</v>
      </c>
      <c r="F783" s="56">
        <v>36</v>
      </c>
      <c r="G783" s="73">
        <v>3</v>
      </c>
      <c r="H783" s="74" t="s">
        <v>1043</v>
      </c>
      <c r="I783" s="59" t="s">
        <v>1044</v>
      </c>
      <c r="J783" s="59" t="s">
        <v>1045</v>
      </c>
      <c r="K783" s="69">
        <v>5403</v>
      </c>
      <c r="L783" s="56">
        <v>207</v>
      </c>
      <c r="M783" s="59" t="s">
        <v>26</v>
      </c>
      <c r="N783" s="61">
        <v>174.22</v>
      </c>
      <c r="O783" s="59" t="s">
        <v>313</v>
      </c>
      <c r="P783" s="62">
        <v>162.82</v>
      </c>
      <c r="Q783" s="63">
        <v>20</v>
      </c>
      <c r="R783" s="62">
        <v>32.56</v>
      </c>
      <c r="S783" s="61">
        <v>0</v>
      </c>
      <c r="T783" s="62">
        <v>11.4</v>
      </c>
    </row>
    <row r="784" spans="1:20" ht="11.1" customHeight="1" x14ac:dyDescent="0.25">
      <c r="O784" s="59" t="s">
        <v>436</v>
      </c>
      <c r="P784" s="62">
        <v>219.81</v>
      </c>
      <c r="Q784" s="63">
        <v>20</v>
      </c>
      <c r="R784" s="62">
        <v>11.4</v>
      </c>
      <c r="S784" s="61">
        <v>0</v>
      </c>
      <c r="T784" s="62">
        <v>0</v>
      </c>
    </row>
    <row r="785" spans="1:20" ht="11.1" customHeight="1" x14ac:dyDescent="0.25">
      <c r="A785" s="56">
        <v>109225</v>
      </c>
      <c r="B785" s="72">
        <v>46043</v>
      </c>
      <c r="C785" s="68">
        <v>46043</v>
      </c>
      <c r="D785" s="58" t="s">
        <v>1085</v>
      </c>
      <c r="E785" s="59" t="s">
        <v>352</v>
      </c>
      <c r="F785" s="56">
        <v>36</v>
      </c>
      <c r="G785" s="73">
        <v>3</v>
      </c>
      <c r="H785" s="74" t="s">
        <v>1043</v>
      </c>
      <c r="I785" s="59" t="s">
        <v>1044</v>
      </c>
      <c r="J785" s="59" t="s">
        <v>1045</v>
      </c>
      <c r="K785" s="69">
        <v>5403</v>
      </c>
      <c r="L785" s="56">
        <v>207</v>
      </c>
      <c r="M785" s="59" t="s">
        <v>26</v>
      </c>
      <c r="N785" s="61">
        <v>476.46</v>
      </c>
      <c r="O785" s="59" t="s">
        <v>313</v>
      </c>
      <c r="P785" s="62">
        <v>445.29</v>
      </c>
      <c r="Q785" s="63">
        <v>20</v>
      </c>
      <c r="R785" s="62">
        <v>89.06</v>
      </c>
      <c r="S785" s="61">
        <v>0</v>
      </c>
      <c r="T785" s="62">
        <v>31.17</v>
      </c>
    </row>
    <row r="786" spans="1:20" ht="11.1" customHeight="1" x14ac:dyDescent="0.25">
      <c r="O786" s="59" t="s">
        <v>436</v>
      </c>
      <c r="P786" s="62">
        <v>601.14</v>
      </c>
      <c r="Q786" s="63">
        <v>20</v>
      </c>
      <c r="R786" s="62">
        <v>31.17</v>
      </c>
      <c r="S786" s="61">
        <v>0</v>
      </c>
      <c r="T786" s="62">
        <v>0</v>
      </c>
    </row>
    <row r="787" spans="1:20" ht="11.1" customHeight="1" x14ac:dyDescent="0.25">
      <c r="A787" s="56">
        <v>109245</v>
      </c>
      <c r="B787" s="72">
        <v>46043</v>
      </c>
      <c r="C787" s="68">
        <v>46043</v>
      </c>
      <c r="D787" s="58" t="s">
        <v>1086</v>
      </c>
      <c r="E787" s="59" t="s">
        <v>352</v>
      </c>
      <c r="F787" s="56">
        <v>36</v>
      </c>
      <c r="G787" s="73">
        <v>3</v>
      </c>
      <c r="H787" s="74" t="s">
        <v>1043</v>
      </c>
      <c r="I787" s="59" t="s">
        <v>1044</v>
      </c>
      <c r="J787" s="59" t="s">
        <v>1045</v>
      </c>
      <c r="K787" s="69">
        <v>5102</v>
      </c>
      <c r="L787" s="56">
        <v>205</v>
      </c>
      <c r="M787" s="59" t="s">
        <v>26</v>
      </c>
      <c r="N787" s="61">
        <v>49.78</v>
      </c>
      <c r="O787" s="59" t="s">
        <v>313</v>
      </c>
      <c r="P787" s="62">
        <v>49.78</v>
      </c>
      <c r="Q787" s="63">
        <v>20</v>
      </c>
      <c r="R787" s="62">
        <v>9.9600000000000009</v>
      </c>
      <c r="S787" s="61">
        <v>0</v>
      </c>
      <c r="T787" s="62">
        <v>0</v>
      </c>
    </row>
    <row r="788" spans="1:20" ht="11.1" customHeight="1" x14ac:dyDescent="0.25">
      <c r="A788" s="56">
        <v>109246</v>
      </c>
      <c r="B788" s="72">
        <v>46043</v>
      </c>
      <c r="C788" s="68">
        <v>46043</v>
      </c>
      <c r="D788" s="58" t="s">
        <v>1086</v>
      </c>
      <c r="E788" s="59" t="s">
        <v>352</v>
      </c>
      <c r="F788" s="56">
        <v>36</v>
      </c>
      <c r="G788" s="73">
        <v>3</v>
      </c>
      <c r="H788" s="74" t="s">
        <v>1043</v>
      </c>
      <c r="I788" s="59" t="s">
        <v>1044</v>
      </c>
      <c r="J788" s="59" t="s">
        <v>1045</v>
      </c>
      <c r="K788" s="69">
        <v>5403</v>
      </c>
      <c r="L788" s="56">
        <v>207</v>
      </c>
      <c r="M788" s="59" t="s">
        <v>26</v>
      </c>
      <c r="N788" s="61">
        <v>35.869999999999997</v>
      </c>
      <c r="O788" s="59" t="s">
        <v>313</v>
      </c>
      <c r="P788" s="62">
        <v>33.53</v>
      </c>
      <c r="Q788" s="63">
        <v>20</v>
      </c>
      <c r="R788" s="62">
        <v>6.71</v>
      </c>
      <c r="S788" s="61">
        <v>0</v>
      </c>
      <c r="T788" s="62">
        <v>2.34</v>
      </c>
    </row>
    <row r="789" spans="1:20" ht="11.1" customHeight="1" x14ac:dyDescent="0.25">
      <c r="O789" s="59" t="s">
        <v>436</v>
      </c>
      <c r="P789" s="62">
        <v>45.27</v>
      </c>
      <c r="Q789" s="63">
        <v>20</v>
      </c>
      <c r="R789" s="62">
        <v>2.34</v>
      </c>
      <c r="S789" s="61">
        <v>0</v>
      </c>
      <c r="T789" s="62">
        <v>0</v>
      </c>
    </row>
    <row r="790" spans="1:20" ht="11.1" customHeight="1" x14ac:dyDescent="0.25">
      <c r="A790" s="56">
        <v>109260</v>
      </c>
      <c r="B790" s="72">
        <v>46044</v>
      </c>
      <c r="C790" s="68">
        <v>46044</v>
      </c>
      <c r="D790" s="58" t="s">
        <v>1087</v>
      </c>
      <c r="E790" s="59" t="s">
        <v>352</v>
      </c>
      <c r="F790" s="56">
        <v>36</v>
      </c>
      <c r="G790" s="73">
        <v>3</v>
      </c>
      <c r="H790" s="74" t="s">
        <v>1043</v>
      </c>
      <c r="I790" s="59" t="s">
        <v>1044</v>
      </c>
      <c r="J790" s="59" t="s">
        <v>1045</v>
      </c>
      <c r="K790" s="69">
        <v>5102</v>
      </c>
      <c r="L790" s="56">
        <v>205</v>
      </c>
      <c r="M790" s="59" t="s">
        <v>26</v>
      </c>
      <c r="N790" s="61">
        <v>745.8</v>
      </c>
      <c r="O790" s="59" t="s">
        <v>313</v>
      </c>
      <c r="P790" s="62">
        <v>745.8</v>
      </c>
      <c r="Q790" s="63">
        <v>20</v>
      </c>
      <c r="R790" s="62">
        <v>149.16</v>
      </c>
      <c r="S790" s="61">
        <v>0</v>
      </c>
      <c r="T790" s="62">
        <v>0</v>
      </c>
    </row>
    <row r="791" spans="1:20" ht="11.1" customHeight="1" x14ac:dyDescent="0.25">
      <c r="A791" s="56">
        <v>109261</v>
      </c>
      <c r="B791" s="72">
        <v>46044</v>
      </c>
      <c r="C791" s="68">
        <v>46044</v>
      </c>
      <c r="D791" s="58" t="s">
        <v>1087</v>
      </c>
      <c r="E791" s="59" t="s">
        <v>352</v>
      </c>
      <c r="F791" s="56">
        <v>36</v>
      </c>
      <c r="G791" s="73">
        <v>3</v>
      </c>
      <c r="H791" s="74" t="s">
        <v>1043</v>
      </c>
      <c r="I791" s="59" t="s">
        <v>1044</v>
      </c>
      <c r="J791" s="59" t="s">
        <v>1045</v>
      </c>
      <c r="K791" s="69">
        <v>5403</v>
      </c>
      <c r="L791" s="56">
        <v>207</v>
      </c>
      <c r="M791" s="59" t="s">
        <v>26</v>
      </c>
      <c r="N791" s="61">
        <v>404.08</v>
      </c>
      <c r="O791" s="59" t="s">
        <v>313</v>
      </c>
      <c r="P791" s="62">
        <v>377.64</v>
      </c>
      <c r="Q791" s="63">
        <v>20</v>
      </c>
      <c r="R791" s="62">
        <v>75.52</v>
      </c>
      <c r="S791" s="61">
        <v>0</v>
      </c>
      <c r="T791" s="62">
        <v>26.44</v>
      </c>
    </row>
    <row r="792" spans="1:20" ht="11.1" customHeight="1" x14ac:dyDescent="0.25">
      <c r="O792" s="59" t="s">
        <v>436</v>
      </c>
      <c r="P792" s="62">
        <v>509.81</v>
      </c>
      <c r="Q792" s="63">
        <v>20</v>
      </c>
      <c r="R792" s="62">
        <v>26.44</v>
      </c>
      <c r="S792" s="61">
        <v>0</v>
      </c>
      <c r="T792" s="62">
        <v>0</v>
      </c>
    </row>
    <row r="793" spans="1:20" ht="11.1" customHeight="1" x14ac:dyDescent="0.25">
      <c r="A793" s="56">
        <v>109274</v>
      </c>
      <c r="B793" s="72">
        <v>46044</v>
      </c>
      <c r="C793" s="68">
        <v>46044</v>
      </c>
      <c r="D793" s="58" t="s">
        <v>1088</v>
      </c>
      <c r="E793" s="59" t="s">
        <v>352</v>
      </c>
      <c r="F793" s="56">
        <v>36</v>
      </c>
      <c r="G793" s="73">
        <v>3</v>
      </c>
      <c r="H793" s="74" t="s">
        <v>1043</v>
      </c>
      <c r="I793" s="59" t="s">
        <v>1044</v>
      </c>
      <c r="J793" s="59" t="s">
        <v>1045</v>
      </c>
      <c r="K793" s="69">
        <v>5102</v>
      </c>
      <c r="L793" s="56">
        <v>205</v>
      </c>
      <c r="M793" s="59" t="s">
        <v>26</v>
      </c>
      <c r="N793" s="61">
        <v>1292.8499999999999</v>
      </c>
      <c r="O793" s="59" t="s">
        <v>313</v>
      </c>
      <c r="P793" s="62">
        <v>1292.8499999999999</v>
      </c>
      <c r="Q793" s="63">
        <v>20</v>
      </c>
      <c r="R793" s="62">
        <v>258.57</v>
      </c>
      <c r="S793" s="61">
        <v>0</v>
      </c>
      <c r="T793" s="62">
        <v>0</v>
      </c>
    </row>
    <row r="794" spans="1:20" ht="11.1" customHeight="1" x14ac:dyDescent="0.25">
      <c r="A794" s="56">
        <v>109275</v>
      </c>
      <c r="B794" s="72">
        <v>46044</v>
      </c>
      <c r="C794" s="68">
        <v>46044</v>
      </c>
      <c r="D794" s="58" t="s">
        <v>1089</v>
      </c>
      <c r="E794" s="59" t="s">
        <v>352</v>
      </c>
      <c r="F794" s="56">
        <v>36</v>
      </c>
      <c r="G794" s="73">
        <v>3</v>
      </c>
      <c r="H794" s="74" t="s">
        <v>1043</v>
      </c>
      <c r="I794" s="59" t="s">
        <v>1044</v>
      </c>
      <c r="J794" s="59" t="s">
        <v>1045</v>
      </c>
      <c r="K794" s="69">
        <v>5102</v>
      </c>
      <c r="L794" s="56">
        <v>205</v>
      </c>
      <c r="M794" s="59" t="s">
        <v>26</v>
      </c>
      <c r="N794" s="61">
        <v>658.25</v>
      </c>
      <c r="O794" s="59" t="s">
        <v>313</v>
      </c>
      <c r="P794" s="62">
        <v>658.25</v>
      </c>
      <c r="Q794" s="63">
        <v>20</v>
      </c>
      <c r="R794" s="62">
        <v>131.66</v>
      </c>
      <c r="S794" s="61">
        <v>0</v>
      </c>
      <c r="T794" s="62">
        <v>0</v>
      </c>
    </row>
    <row r="795" spans="1:20" ht="11.1" customHeight="1" x14ac:dyDescent="0.25">
      <c r="A795" s="56">
        <v>109276</v>
      </c>
      <c r="B795" s="72">
        <v>46044</v>
      </c>
      <c r="C795" s="68">
        <v>46044</v>
      </c>
      <c r="D795" s="58" t="s">
        <v>1089</v>
      </c>
      <c r="E795" s="59" t="s">
        <v>352</v>
      </c>
      <c r="F795" s="56">
        <v>36</v>
      </c>
      <c r="G795" s="73">
        <v>3</v>
      </c>
      <c r="H795" s="74" t="s">
        <v>1043</v>
      </c>
      <c r="I795" s="59" t="s">
        <v>1044</v>
      </c>
      <c r="J795" s="59" t="s">
        <v>1045</v>
      </c>
      <c r="K795" s="69">
        <v>5403</v>
      </c>
      <c r="L795" s="56">
        <v>207</v>
      </c>
      <c r="M795" s="59" t="s">
        <v>26</v>
      </c>
      <c r="N795" s="61">
        <v>305.10000000000002</v>
      </c>
      <c r="O795" s="59" t="s">
        <v>313</v>
      </c>
      <c r="P795" s="62">
        <v>285.14</v>
      </c>
      <c r="Q795" s="63">
        <v>20</v>
      </c>
      <c r="R795" s="62">
        <v>57.03</v>
      </c>
      <c r="S795" s="61">
        <v>0</v>
      </c>
      <c r="T795" s="62">
        <v>19.96</v>
      </c>
    </row>
    <row r="796" spans="1:20" ht="11.1" customHeight="1" x14ac:dyDescent="0.25">
      <c r="O796" s="59" t="s">
        <v>436</v>
      </c>
      <c r="P796" s="62">
        <v>384.94</v>
      </c>
      <c r="Q796" s="63">
        <v>20</v>
      </c>
      <c r="R796" s="62">
        <v>19.96</v>
      </c>
      <c r="S796" s="61">
        <v>0</v>
      </c>
      <c r="T796" s="62">
        <v>0</v>
      </c>
    </row>
    <row r="797" spans="1:20" ht="11.1" customHeight="1" x14ac:dyDescent="0.25">
      <c r="A797" s="56">
        <v>109299</v>
      </c>
      <c r="B797" s="72">
        <v>46044</v>
      </c>
      <c r="C797" s="68">
        <v>46044</v>
      </c>
      <c r="D797" s="58" t="s">
        <v>1090</v>
      </c>
      <c r="E797" s="59" t="s">
        <v>352</v>
      </c>
      <c r="F797" s="56">
        <v>36</v>
      </c>
      <c r="G797" s="73">
        <v>3</v>
      </c>
      <c r="H797" s="74" t="s">
        <v>1043</v>
      </c>
      <c r="I797" s="59" t="s">
        <v>1044</v>
      </c>
      <c r="J797" s="59" t="s">
        <v>1045</v>
      </c>
      <c r="K797" s="69">
        <v>5102</v>
      </c>
      <c r="L797" s="56">
        <v>205</v>
      </c>
      <c r="M797" s="59" t="s">
        <v>26</v>
      </c>
      <c r="N797" s="61">
        <v>87.36</v>
      </c>
      <c r="O797" s="59" t="s">
        <v>313</v>
      </c>
      <c r="P797" s="62">
        <v>87.36</v>
      </c>
      <c r="Q797" s="63">
        <v>20</v>
      </c>
      <c r="R797" s="62">
        <v>17.47</v>
      </c>
      <c r="S797" s="61">
        <v>0</v>
      </c>
      <c r="T797" s="62">
        <v>0</v>
      </c>
    </row>
    <row r="798" spans="1:20" ht="11.1" customHeight="1" x14ac:dyDescent="0.25">
      <c r="A798" s="56">
        <v>109300</v>
      </c>
      <c r="B798" s="72">
        <v>46044</v>
      </c>
      <c r="C798" s="68">
        <v>46044</v>
      </c>
      <c r="D798" s="58" t="s">
        <v>1090</v>
      </c>
      <c r="E798" s="59" t="s">
        <v>352</v>
      </c>
      <c r="F798" s="56">
        <v>36</v>
      </c>
      <c r="G798" s="73">
        <v>3</v>
      </c>
      <c r="H798" s="74" t="s">
        <v>1043</v>
      </c>
      <c r="I798" s="59" t="s">
        <v>1044</v>
      </c>
      <c r="J798" s="59" t="s">
        <v>1045</v>
      </c>
      <c r="K798" s="69">
        <v>5403</v>
      </c>
      <c r="L798" s="56">
        <v>207</v>
      </c>
      <c r="M798" s="59" t="s">
        <v>26</v>
      </c>
      <c r="N798" s="61">
        <v>188.24</v>
      </c>
      <c r="O798" s="59" t="s">
        <v>313</v>
      </c>
      <c r="P798" s="62">
        <v>175.92</v>
      </c>
      <c r="Q798" s="63">
        <v>20</v>
      </c>
      <c r="R798" s="62">
        <v>35.18</v>
      </c>
      <c r="S798" s="61">
        <v>0</v>
      </c>
      <c r="T798" s="62">
        <v>12.32</v>
      </c>
    </row>
    <row r="799" spans="1:20" ht="11.1" customHeight="1" x14ac:dyDescent="0.25">
      <c r="O799" s="59" t="s">
        <v>436</v>
      </c>
      <c r="P799" s="62">
        <v>237.49</v>
      </c>
      <c r="Q799" s="63">
        <v>20</v>
      </c>
      <c r="R799" s="62">
        <v>12.32</v>
      </c>
      <c r="S799" s="61">
        <v>0</v>
      </c>
      <c r="T799" s="62">
        <v>0</v>
      </c>
    </row>
    <row r="800" spans="1:20" ht="11.1" customHeight="1" x14ac:dyDescent="0.25">
      <c r="A800" s="56">
        <v>109319</v>
      </c>
      <c r="B800" s="72">
        <v>46044</v>
      </c>
      <c r="C800" s="68">
        <v>46044</v>
      </c>
      <c r="D800" s="58" t="s">
        <v>1091</v>
      </c>
      <c r="E800" s="59" t="s">
        <v>352</v>
      </c>
      <c r="F800" s="56">
        <v>36</v>
      </c>
      <c r="G800" s="73">
        <v>3</v>
      </c>
      <c r="H800" s="74" t="s">
        <v>1043</v>
      </c>
      <c r="I800" s="59" t="s">
        <v>1044</v>
      </c>
      <c r="J800" s="59" t="s">
        <v>1045</v>
      </c>
      <c r="K800" s="69">
        <v>5102</v>
      </c>
      <c r="L800" s="56">
        <v>205</v>
      </c>
      <c r="M800" s="59" t="s">
        <v>26</v>
      </c>
      <c r="N800" s="61">
        <v>353</v>
      </c>
      <c r="O800" s="59" t="s">
        <v>313</v>
      </c>
      <c r="P800" s="62">
        <v>353</v>
      </c>
      <c r="Q800" s="63">
        <v>20</v>
      </c>
      <c r="R800" s="62">
        <v>70.599999999999994</v>
      </c>
      <c r="S800" s="61">
        <v>0</v>
      </c>
      <c r="T800" s="62">
        <v>0</v>
      </c>
    </row>
    <row r="801" spans="1:20" ht="11.1" customHeight="1" x14ac:dyDescent="0.25">
      <c r="A801" s="56">
        <v>109353</v>
      </c>
      <c r="B801" s="72">
        <v>46045</v>
      </c>
      <c r="C801" s="68">
        <v>46045</v>
      </c>
      <c r="D801" s="58" t="s">
        <v>1092</v>
      </c>
      <c r="E801" s="59" t="s">
        <v>352</v>
      </c>
      <c r="F801" s="56">
        <v>36</v>
      </c>
      <c r="G801" s="73">
        <v>3</v>
      </c>
      <c r="H801" s="74" t="s">
        <v>1043</v>
      </c>
      <c r="I801" s="59" t="s">
        <v>1044</v>
      </c>
      <c r="J801" s="59" t="s">
        <v>1045</v>
      </c>
      <c r="K801" s="69">
        <v>5102</v>
      </c>
      <c r="L801" s="56">
        <v>205</v>
      </c>
      <c r="M801" s="59" t="s">
        <v>26</v>
      </c>
      <c r="N801" s="61">
        <v>146.54</v>
      </c>
      <c r="O801" s="59" t="s">
        <v>313</v>
      </c>
      <c r="P801" s="62">
        <v>146.54</v>
      </c>
      <c r="Q801" s="63">
        <v>20</v>
      </c>
      <c r="R801" s="62">
        <v>29.31</v>
      </c>
      <c r="S801" s="61">
        <v>0</v>
      </c>
      <c r="T801" s="62">
        <v>0</v>
      </c>
    </row>
    <row r="802" spans="1:20" ht="11.1" customHeight="1" x14ac:dyDescent="0.25">
      <c r="A802" s="56">
        <v>109354</v>
      </c>
      <c r="B802" s="72">
        <v>46045</v>
      </c>
      <c r="C802" s="68">
        <v>46045</v>
      </c>
      <c r="D802" s="58" t="s">
        <v>1093</v>
      </c>
      <c r="E802" s="59" t="s">
        <v>352</v>
      </c>
      <c r="F802" s="56">
        <v>36</v>
      </c>
      <c r="G802" s="73">
        <v>3</v>
      </c>
      <c r="H802" s="74" t="s">
        <v>1043</v>
      </c>
      <c r="I802" s="59" t="s">
        <v>1044</v>
      </c>
      <c r="J802" s="59" t="s">
        <v>1045</v>
      </c>
      <c r="K802" s="69">
        <v>5403</v>
      </c>
      <c r="L802" s="56">
        <v>207</v>
      </c>
      <c r="M802" s="59" t="s">
        <v>26</v>
      </c>
      <c r="N802" s="61">
        <v>215.26</v>
      </c>
      <c r="O802" s="59" t="s">
        <v>313</v>
      </c>
      <c r="P802" s="62">
        <v>201.18</v>
      </c>
      <c r="Q802" s="63">
        <v>20</v>
      </c>
      <c r="R802" s="62">
        <v>40.24</v>
      </c>
      <c r="S802" s="61">
        <v>0</v>
      </c>
      <c r="T802" s="62">
        <v>14.08</v>
      </c>
    </row>
    <row r="803" spans="1:20" ht="11.1" customHeight="1" x14ac:dyDescent="0.25">
      <c r="O803" s="59" t="s">
        <v>436</v>
      </c>
      <c r="P803" s="62">
        <v>271.58999999999997</v>
      </c>
      <c r="Q803" s="63">
        <v>20</v>
      </c>
      <c r="R803" s="62">
        <v>14.08</v>
      </c>
      <c r="S803" s="61">
        <v>0</v>
      </c>
      <c r="T803" s="62">
        <v>0</v>
      </c>
    </row>
    <row r="804" spans="1:20" ht="11.1" customHeight="1" x14ac:dyDescent="0.25">
      <c r="A804" s="56">
        <v>109383</v>
      </c>
      <c r="B804" s="72">
        <v>46045</v>
      </c>
      <c r="C804" s="68">
        <v>46045</v>
      </c>
      <c r="D804" s="58" t="s">
        <v>1094</v>
      </c>
      <c r="E804" s="59" t="s">
        <v>352</v>
      </c>
      <c r="F804" s="56">
        <v>36</v>
      </c>
      <c r="G804" s="73">
        <v>3</v>
      </c>
      <c r="H804" s="74" t="s">
        <v>1043</v>
      </c>
      <c r="I804" s="59" t="s">
        <v>1044</v>
      </c>
      <c r="J804" s="59" t="s">
        <v>1045</v>
      </c>
      <c r="K804" s="69">
        <v>5403</v>
      </c>
      <c r="L804" s="56">
        <v>207</v>
      </c>
      <c r="M804" s="59" t="s">
        <v>26</v>
      </c>
      <c r="N804" s="61">
        <v>34.19</v>
      </c>
      <c r="O804" s="59" t="s">
        <v>313</v>
      </c>
      <c r="P804" s="62">
        <v>31.95</v>
      </c>
      <c r="Q804" s="63">
        <v>20</v>
      </c>
      <c r="R804" s="62">
        <v>6.39</v>
      </c>
      <c r="S804" s="61">
        <v>0</v>
      </c>
      <c r="T804" s="62">
        <v>2.2400000000000002</v>
      </c>
    </row>
    <row r="805" spans="1:20" ht="11.1" customHeight="1" x14ac:dyDescent="0.25">
      <c r="O805" s="59" t="s">
        <v>436</v>
      </c>
      <c r="P805" s="62">
        <v>43.13</v>
      </c>
      <c r="Q805" s="63">
        <v>20</v>
      </c>
      <c r="R805" s="62">
        <v>2.2400000000000002</v>
      </c>
      <c r="S805" s="61">
        <v>0</v>
      </c>
      <c r="T805" s="62">
        <v>0</v>
      </c>
    </row>
    <row r="806" spans="1:20" ht="11.1" customHeight="1" x14ac:dyDescent="0.25">
      <c r="A806" s="56">
        <v>109387</v>
      </c>
      <c r="B806" s="72">
        <v>46045</v>
      </c>
      <c r="C806" s="68">
        <v>46045</v>
      </c>
      <c r="D806" s="58" t="s">
        <v>1095</v>
      </c>
      <c r="E806" s="59" t="s">
        <v>352</v>
      </c>
      <c r="F806" s="56">
        <v>36</v>
      </c>
      <c r="G806" s="73">
        <v>3</v>
      </c>
      <c r="H806" s="74" t="s">
        <v>1043</v>
      </c>
      <c r="I806" s="59" t="s">
        <v>1044</v>
      </c>
      <c r="J806" s="59" t="s">
        <v>1045</v>
      </c>
      <c r="K806" s="69">
        <v>5102</v>
      </c>
      <c r="L806" s="56">
        <v>205</v>
      </c>
      <c r="M806" s="59" t="s">
        <v>26</v>
      </c>
      <c r="N806" s="61">
        <v>8014.91</v>
      </c>
      <c r="O806" s="59" t="s">
        <v>313</v>
      </c>
      <c r="P806" s="62">
        <v>8014.91</v>
      </c>
      <c r="Q806" s="63">
        <v>20</v>
      </c>
      <c r="R806" s="62">
        <v>1602.98</v>
      </c>
      <c r="S806" s="61">
        <v>0</v>
      </c>
      <c r="T806" s="62">
        <v>0</v>
      </c>
    </row>
    <row r="807" spans="1:20" ht="11.1" customHeight="1" x14ac:dyDescent="0.25">
      <c r="A807" s="56">
        <v>109388</v>
      </c>
      <c r="B807" s="72">
        <v>46045</v>
      </c>
      <c r="C807" s="68">
        <v>46045</v>
      </c>
      <c r="D807" s="58" t="s">
        <v>1095</v>
      </c>
      <c r="E807" s="59" t="s">
        <v>352</v>
      </c>
      <c r="F807" s="56">
        <v>36</v>
      </c>
      <c r="G807" s="73">
        <v>3</v>
      </c>
      <c r="H807" s="74" t="s">
        <v>1043</v>
      </c>
      <c r="I807" s="59" t="s">
        <v>1044</v>
      </c>
      <c r="J807" s="59" t="s">
        <v>1045</v>
      </c>
      <c r="K807" s="69">
        <v>5405</v>
      </c>
      <c r="L807" s="56">
        <v>206</v>
      </c>
      <c r="M807" s="59" t="s">
        <v>26</v>
      </c>
      <c r="N807" s="61">
        <v>424.44</v>
      </c>
      <c r="O807" s="59" t="s">
        <v>313</v>
      </c>
      <c r="P807" s="62">
        <v>0</v>
      </c>
      <c r="Q807" s="63">
        <v>0</v>
      </c>
      <c r="R807" s="62">
        <v>0</v>
      </c>
      <c r="S807" s="61">
        <v>0</v>
      </c>
      <c r="T807" s="62">
        <v>424.44</v>
      </c>
    </row>
    <row r="808" spans="1:20" ht="11.1" customHeight="1" x14ac:dyDescent="0.25">
      <c r="A808" s="56">
        <v>109389</v>
      </c>
      <c r="B808" s="72">
        <v>46045</v>
      </c>
      <c r="C808" s="68">
        <v>46045</v>
      </c>
      <c r="D808" s="58" t="s">
        <v>1095</v>
      </c>
      <c r="E808" s="59" t="s">
        <v>352</v>
      </c>
      <c r="F808" s="56">
        <v>36</v>
      </c>
      <c r="G808" s="73">
        <v>3</v>
      </c>
      <c r="H808" s="74" t="s">
        <v>1043</v>
      </c>
      <c r="I808" s="59" t="s">
        <v>1044</v>
      </c>
      <c r="J808" s="59" t="s">
        <v>1045</v>
      </c>
      <c r="K808" s="69">
        <v>5403</v>
      </c>
      <c r="L808" s="56">
        <v>207</v>
      </c>
      <c r="M808" s="59" t="s">
        <v>26</v>
      </c>
      <c r="N808" s="61">
        <v>8011.29</v>
      </c>
      <c r="O808" s="59" t="s">
        <v>313</v>
      </c>
      <c r="P808" s="62">
        <v>7487.18</v>
      </c>
      <c r="Q808" s="63">
        <v>20</v>
      </c>
      <c r="R808" s="62">
        <v>1497.44</v>
      </c>
      <c r="S808" s="61">
        <v>0</v>
      </c>
      <c r="T808" s="62">
        <v>524.11</v>
      </c>
    </row>
    <row r="809" spans="1:20" ht="11.1" customHeight="1" x14ac:dyDescent="0.25">
      <c r="O809" s="59" t="s">
        <v>436</v>
      </c>
      <c r="P809" s="62">
        <v>10107.719999999999</v>
      </c>
      <c r="Q809" s="63">
        <v>20</v>
      </c>
      <c r="R809" s="62">
        <v>524.11</v>
      </c>
      <c r="S809" s="61">
        <v>0</v>
      </c>
      <c r="T809" s="62">
        <v>0</v>
      </c>
    </row>
    <row r="810" spans="1:20" ht="11.1" customHeight="1" x14ac:dyDescent="0.25">
      <c r="A810" s="56">
        <v>109395</v>
      </c>
      <c r="B810" s="72">
        <v>46045</v>
      </c>
      <c r="C810" s="68">
        <v>46045</v>
      </c>
      <c r="D810" s="58" t="s">
        <v>1096</v>
      </c>
      <c r="E810" s="59" t="s">
        <v>352</v>
      </c>
      <c r="F810" s="56">
        <v>36</v>
      </c>
      <c r="G810" s="73">
        <v>3</v>
      </c>
      <c r="H810" s="74" t="s">
        <v>1043</v>
      </c>
      <c r="I810" s="59" t="s">
        <v>1044</v>
      </c>
      <c r="J810" s="59" t="s">
        <v>1045</v>
      </c>
      <c r="K810" s="69">
        <v>5405</v>
      </c>
      <c r="L810" s="56">
        <v>206</v>
      </c>
      <c r="M810" s="59" t="s">
        <v>26</v>
      </c>
      <c r="N810" s="61">
        <v>324.36</v>
      </c>
      <c r="O810" s="59" t="s">
        <v>313</v>
      </c>
      <c r="P810" s="62">
        <v>0</v>
      </c>
      <c r="Q810" s="63">
        <v>0</v>
      </c>
      <c r="R810" s="62">
        <v>0</v>
      </c>
      <c r="S810" s="61">
        <v>0</v>
      </c>
      <c r="T810" s="62">
        <v>324.36</v>
      </c>
    </row>
    <row r="811" spans="1:20" ht="11.1" customHeight="1" x14ac:dyDescent="0.25">
      <c r="A811" s="56">
        <v>109396</v>
      </c>
      <c r="B811" s="72">
        <v>46045</v>
      </c>
      <c r="C811" s="68">
        <v>46045</v>
      </c>
      <c r="D811" s="58" t="s">
        <v>1097</v>
      </c>
      <c r="E811" s="59" t="s">
        <v>352</v>
      </c>
      <c r="F811" s="56">
        <v>36</v>
      </c>
      <c r="G811" s="73">
        <v>3</v>
      </c>
      <c r="H811" s="74" t="s">
        <v>1043</v>
      </c>
      <c r="I811" s="59" t="s">
        <v>1044</v>
      </c>
      <c r="J811" s="59" t="s">
        <v>1045</v>
      </c>
      <c r="K811" s="69">
        <v>5102</v>
      </c>
      <c r="L811" s="56">
        <v>205</v>
      </c>
      <c r="M811" s="59" t="s">
        <v>26</v>
      </c>
      <c r="N811" s="61">
        <v>973.88</v>
      </c>
      <c r="O811" s="59" t="s">
        <v>313</v>
      </c>
      <c r="P811" s="62">
        <v>973.88</v>
      </c>
      <c r="Q811" s="63">
        <v>20</v>
      </c>
      <c r="R811" s="62">
        <v>194.78</v>
      </c>
      <c r="S811" s="61">
        <v>0</v>
      </c>
      <c r="T811" s="62">
        <v>0</v>
      </c>
    </row>
    <row r="812" spans="1:20" ht="11.1" customHeight="1" x14ac:dyDescent="0.25">
      <c r="A812" s="56">
        <v>109397</v>
      </c>
      <c r="B812" s="72">
        <v>46045</v>
      </c>
      <c r="C812" s="68">
        <v>46045</v>
      </c>
      <c r="D812" s="58" t="s">
        <v>1097</v>
      </c>
      <c r="E812" s="59" t="s">
        <v>352</v>
      </c>
      <c r="F812" s="56">
        <v>36</v>
      </c>
      <c r="G812" s="73">
        <v>3</v>
      </c>
      <c r="H812" s="74" t="s">
        <v>1043</v>
      </c>
      <c r="I812" s="59" t="s">
        <v>1044</v>
      </c>
      <c r="J812" s="59" t="s">
        <v>1045</v>
      </c>
      <c r="K812" s="69">
        <v>5403</v>
      </c>
      <c r="L812" s="56">
        <v>207</v>
      </c>
      <c r="M812" s="59" t="s">
        <v>26</v>
      </c>
      <c r="N812" s="61">
        <v>662.93</v>
      </c>
      <c r="O812" s="59" t="s">
        <v>313</v>
      </c>
      <c r="P812" s="62">
        <v>619.55999999999995</v>
      </c>
      <c r="Q812" s="63">
        <v>20</v>
      </c>
      <c r="R812" s="62">
        <v>123.91</v>
      </c>
      <c r="S812" s="61">
        <v>0</v>
      </c>
      <c r="T812" s="62">
        <v>43.37</v>
      </c>
    </row>
    <row r="813" spans="1:20" ht="11.1" customHeight="1" x14ac:dyDescent="0.25">
      <c r="O813" s="59" t="s">
        <v>436</v>
      </c>
      <c r="P813" s="62">
        <v>836.41</v>
      </c>
      <c r="Q813" s="63">
        <v>20</v>
      </c>
      <c r="R813" s="62">
        <v>43.37</v>
      </c>
      <c r="S813" s="61">
        <v>0</v>
      </c>
      <c r="T813" s="62">
        <v>0</v>
      </c>
    </row>
    <row r="814" spans="1:20" ht="11.1" customHeight="1" x14ac:dyDescent="0.25">
      <c r="A814" s="56">
        <v>109420</v>
      </c>
      <c r="B814" s="72">
        <v>46048</v>
      </c>
      <c r="C814" s="68">
        <v>46048</v>
      </c>
      <c r="D814" s="58" t="s">
        <v>1098</v>
      </c>
      <c r="E814" s="59" t="s">
        <v>352</v>
      </c>
      <c r="F814" s="56">
        <v>36</v>
      </c>
      <c r="G814" s="73">
        <v>3</v>
      </c>
      <c r="H814" s="74" t="s">
        <v>1043</v>
      </c>
      <c r="I814" s="59" t="s">
        <v>1044</v>
      </c>
      <c r="J814" s="59" t="s">
        <v>1045</v>
      </c>
      <c r="K814" s="69">
        <v>5102</v>
      </c>
      <c r="L814" s="56">
        <v>205</v>
      </c>
      <c r="M814" s="59" t="s">
        <v>26</v>
      </c>
      <c r="N814" s="61">
        <v>344.64</v>
      </c>
      <c r="O814" s="59" t="s">
        <v>313</v>
      </c>
      <c r="P814" s="62">
        <v>344.64</v>
      </c>
      <c r="Q814" s="63">
        <v>20</v>
      </c>
      <c r="R814" s="62">
        <v>68.930000000000007</v>
      </c>
      <c r="S814" s="61">
        <v>0</v>
      </c>
      <c r="T814" s="62">
        <v>0</v>
      </c>
    </row>
    <row r="815" spans="1:20" ht="11.1" customHeight="1" x14ac:dyDescent="0.25">
      <c r="A815" s="56">
        <v>109422</v>
      </c>
      <c r="B815" s="72">
        <v>46048</v>
      </c>
      <c r="C815" s="68">
        <v>46048</v>
      </c>
      <c r="D815" s="58" t="s">
        <v>1099</v>
      </c>
      <c r="E815" s="59" t="s">
        <v>352</v>
      </c>
      <c r="F815" s="56">
        <v>36</v>
      </c>
      <c r="G815" s="73">
        <v>3</v>
      </c>
      <c r="H815" s="74" t="s">
        <v>1043</v>
      </c>
      <c r="I815" s="59" t="s">
        <v>1044</v>
      </c>
      <c r="J815" s="59" t="s">
        <v>1045</v>
      </c>
      <c r="K815" s="69">
        <v>5102</v>
      </c>
      <c r="L815" s="56">
        <v>205</v>
      </c>
      <c r="M815" s="59" t="s">
        <v>26</v>
      </c>
      <c r="N815" s="61">
        <v>49.47</v>
      </c>
      <c r="O815" s="59" t="s">
        <v>313</v>
      </c>
      <c r="P815" s="62">
        <v>49.47</v>
      </c>
      <c r="Q815" s="63">
        <v>20</v>
      </c>
      <c r="R815" s="62">
        <v>9.89</v>
      </c>
      <c r="S815" s="61">
        <v>0</v>
      </c>
      <c r="T815" s="62">
        <v>0</v>
      </c>
    </row>
    <row r="816" spans="1:20" ht="11.1" customHeight="1" x14ac:dyDescent="0.25">
      <c r="A816" s="56">
        <v>109423</v>
      </c>
      <c r="B816" s="72">
        <v>46048</v>
      </c>
      <c r="C816" s="68">
        <v>46048</v>
      </c>
      <c r="D816" s="58" t="s">
        <v>1099</v>
      </c>
      <c r="E816" s="59" t="s">
        <v>352</v>
      </c>
      <c r="F816" s="56">
        <v>36</v>
      </c>
      <c r="G816" s="73">
        <v>3</v>
      </c>
      <c r="H816" s="74" t="s">
        <v>1043</v>
      </c>
      <c r="I816" s="59" t="s">
        <v>1044</v>
      </c>
      <c r="J816" s="59" t="s">
        <v>1045</v>
      </c>
      <c r="K816" s="69">
        <v>5403</v>
      </c>
      <c r="L816" s="56">
        <v>207</v>
      </c>
      <c r="M816" s="59" t="s">
        <v>26</v>
      </c>
      <c r="N816" s="61">
        <v>184.38</v>
      </c>
      <c r="O816" s="59" t="s">
        <v>313</v>
      </c>
      <c r="P816" s="62">
        <v>172.32</v>
      </c>
      <c r="Q816" s="63">
        <v>20</v>
      </c>
      <c r="R816" s="62">
        <v>34.47</v>
      </c>
      <c r="S816" s="61">
        <v>0</v>
      </c>
      <c r="T816" s="62">
        <v>12.06</v>
      </c>
    </row>
    <row r="817" spans="1:20" ht="11.1" customHeight="1" x14ac:dyDescent="0.25">
      <c r="O817" s="59" t="s">
        <v>436</v>
      </c>
      <c r="P817" s="62">
        <v>232.63</v>
      </c>
      <c r="Q817" s="63">
        <v>20</v>
      </c>
      <c r="R817" s="62">
        <v>12.06</v>
      </c>
      <c r="S817" s="61">
        <v>0</v>
      </c>
      <c r="T817" s="62">
        <v>0</v>
      </c>
    </row>
    <row r="818" spans="1:20" ht="11.1" customHeight="1" x14ac:dyDescent="0.25">
      <c r="A818" s="56">
        <v>109436</v>
      </c>
      <c r="B818" s="72">
        <v>46048</v>
      </c>
      <c r="C818" s="68">
        <v>46048</v>
      </c>
      <c r="D818" s="58" t="s">
        <v>1100</v>
      </c>
      <c r="E818" s="59" t="s">
        <v>352</v>
      </c>
      <c r="F818" s="56">
        <v>36</v>
      </c>
      <c r="G818" s="73">
        <v>3</v>
      </c>
      <c r="H818" s="74" t="s">
        <v>1043</v>
      </c>
      <c r="I818" s="59" t="s">
        <v>1044</v>
      </c>
      <c r="J818" s="59" t="s">
        <v>1045</v>
      </c>
      <c r="K818" s="69">
        <v>5102</v>
      </c>
      <c r="L818" s="56">
        <v>205</v>
      </c>
      <c r="M818" s="59" t="s">
        <v>26</v>
      </c>
      <c r="N818" s="61">
        <v>373.21</v>
      </c>
      <c r="O818" s="59" t="s">
        <v>313</v>
      </c>
      <c r="P818" s="62">
        <v>373.21</v>
      </c>
      <c r="Q818" s="63">
        <v>20</v>
      </c>
      <c r="R818" s="62">
        <v>74.650000000000006</v>
      </c>
      <c r="S818" s="61">
        <v>0</v>
      </c>
      <c r="T818" s="62">
        <v>0</v>
      </c>
    </row>
    <row r="819" spans="1:20" ht="11.1" customHeight="1" x14ac:dyDescent="0.25">
      <c r="A819" s="56">
        <v>109441</v>
      </c>
      <c r="B819" s="72">
        <v>46048</v>
      </c>
      <c r="C819" s="68">
        <v>46048</v>
      </c>
      <c r="D819" s="58" t="s">
        <v>1101</v>
      </c>
      <c r="E819" s="59" t="s">
        <v>352</v>
      </c>
      <c r="F819" s="56">
        <v>36</v>
      </c>
      <c r="G819" s="73">
        <v>3</v>
      </c>
      <c r="H819" s="74" t="s">
        <v>1043</v>
      </c>
      <c r="I819" s="59" t="s">
        <v>1044</v>
      </c>
      <c r="J819" s="59" t="s">
        <v>1045</v>
      </c>
      <c r="K819" s="69">
        <v>5102</v>
      </c>
      <c r="L819" s="56">
        <v>205</v>
      </c>
      <c r="M819" s="59" t="s">
        <v>26</v>
      </c>
      <c r="N819" s="61">
        <v>74.7</v>
      </c>
      <c r="O819" s="59" t="s">
        <v>313</v>
      </c>
      <c r="P819" s="62">
        <v>74.7</v>
      </c>
      <c r="Q819" s="63">
        <v>20</v>
      </c>
      <c r="R819" s="62">
        <v>14.94</v>
      </c>
      <c r="S819" s="61">
        <v>0</v>
      </c>
      <c r="T819" s="62">
        <v>0</v>
      </c>
    </row>
    <row r="820" spans="1:20" ht="11.1" customHeight="1" x14ac:dyDescent="0.25">
      <c r="A820" s="56">
        <v>109464</v>
      </c>
      <c r="B820" s="72">
        <v>46048</v>
      </c>
      <c r="C820" s="68">
        <v>46048</v>
      </c>
      <c r="D820" s="58" t="s">
        <v>1102</v>
      </c>
      <c r="E820" s="59" t="s">
        <v>352</v>
      </c>
      <c r="F820" s="56">
        <v>36</v>
      </c>
      <c r="G820" s="73">
        <v>3</v>
      </c>
      <c r="H820" s="74" t="s">
        <v>1043</v>
      </c>
      <c r="I820" s="59" t="s">
        <v>1044</v>
      </c>
      <c r="J820" s="59" t="s">
        <v>1045</v>
      </c>
      <c r="K820" s="69">
        <v>5403</v>
      </c>
      <c r="L820" s="56">
        <v>207</v>
      </c>
      <c r="M820" s="59" t="s">
        <v>26</v>
      </c>
      <c r="N820" s="61">
        <v>39.630000000000003</v>
      </c>
      <c r="O820" s="59" t="s">
        <v>313</v>
      </c>
      <c r="P820" s="62">
        <v>37.04</v>
      </c>
      <c r="Q820" s="63">
        <v>20</v>
      </c>
      <c r="R820" s="62">
        <v>7.41</v>
      </c>
      <c r="S820" s="61">
        <v>0</v>
      </c>
      <c r="T820" s="62">
        <v>2.59</v>
      </c>
    </row>
    <row r="821" spans="1:20" ht="11.1" customHeight="1" x14ac:dyDescent="0.25">
      <c r="O821" s="59" t="s">
        <v>436</v>
      </c>
      <c r="P821" s="62">
        <v>50</v>
      </c>
      <c r="Q821" s="63">
        <v>20</v>
      </c>
      <c r="R821" s="62">
        <v>2.59</v>
      </c>
      <c r="S821" s="61">
        <v>0</v>
      </c>
      <c r="T821" s="62">
        <v>0</v>
      </c>
    </row>
    <row r="822" spans="1:20" ht="11.1" customHeight="1" x14ac:dyDescent="0.25">
      <c r="A822" s="56">
        <v>109490</v>
      </c>
      <c r="B822" s="72">
        <v>46049</v>
      </c>
      <c r="C822" s="68">
        <v>46049</v>
      </c>
      <c r="D822" s="58" t="s">
        <v>1103</v>
      </c>
      <c r="E822" s="59" t="s">
        <v>352</v>
      </c>
      <c r="F822" s="56">
        <v>36</v>
      </c>
      <c r="G822" s="73">
        <v>3</v>
      </c>
      <c r="H822" s="74" t="s">
        <v>1043</v>
      </c>
      <c r="I822" s="59" t="s">
        <v>1044</v>
      </c>
      <c r="J822" s="59" t="s">
        <v>1045</v>
      </c>
      <c r="K822" s="69">
        <v>5102</v>
      </c>
      <c r="L822" s="56">
        <v>205</v>
      </c>
      <c r="M822" s="59" t="s">
        <v>26</v>
      </c>
      <c r="N822" s="61">
        <v>412.98</v>
      </c>
      <c r="O822" s="59" t="s">
        <v>313</v>
      </c>
      <c r="P822" s="62">
        <v>412.98</v>
      </c>
      <c r="Q822" s="63">
        <v>20</v>
      </c>
      <c r="R822" s="62">
        <v>82.6</v>
      </c>
      <c r="S822" s="61">
        <v>0</v>
      </c>
      <c r="T822" s="62">
        <v>0</v>
      </c>
    </row>
    <row r="823" spans="1:20" ht="11.1" customHeight="1" x14ac:dyDescent="0.25">
      <c r="A823" s="56">
        <v>109491</v>
      </c>
      <c r="B823" s="72">
        <v>46049</v>
      </c>
      <c r="C823" s="68">
        <v>46049</v>
      </c>
      <c r="D823" s="58" t="s">
        <v>1103</v>
      </c>
      <c r="E823" s="59" t="s">
        <v>352</v>
      </c>
      <c r="F823" s="56">
        <v>36</v>
      </c>
      <c r="G823" s="73">
        <v>3</v>
      </c>
      <c r="H823" s="74" t="s">
        <v>1043</v>
      </c>
      <c r="I823" s="59" t="s">
        <v>1044</v>
      </c>
      <c r="J823" s="59" t="s">
        <v>1045</v>
      </c>
      <c r="K823" s="69">
        <v>5403</v>
      </c>
      <c r="L823" s="56">
        <v>207</v>
      </c>
      <c r="M823" s="59" t="s">
        <v>26</v>
      </c>
      <c r="N823" s="61">
        <v>627.58000000000004</v>
      </c>
      <c r="O823" s="59" t="s">
        <v>313</v>
      </c>
      <c r="P823" s="62">
        <v>586.53</v>
      </c>
      <c r="Q823" s="63">
        <v>20</v>
      </c>
      <c r="R823" s="62">
        <v>117.31</v>
      </c>
      <c r="S823" s="61">
        <v>0</v>
      </c>
      <c r="T823" s="62">
        <v>41.05</v>
      </c>
    </row>
    <row r="824" spans="1:20" ht="11.1" customHeight="1" x14ac:dyDescent="0.25">
      <c r="O824" s="59" t="s">
        <v>436</v>
      </c>
      <c r="P824" s="62">
        <v>791.82</v>
      </c>
      <c r="Q824" s="63">
        <v>20</v>
      </c>
      <c r="R824" s="62">
        <v>41.05</v>
      </c>
      <c r="S824" s="61">
        <v>0</v>
      </c>
      <c r="T824" s="62">
        <v>0</v>
      </c>
    </row>
    <row r="825" spans="1:20" ht="11.1" customHeight="1" x14ac:dyDescent="0.25">
      <c r="A825" s="56">
        <v>109515</v>
      </c>
      <c r="B825" s="72">
        <v>46049</v>
      </c>
      <c r="C825" s="68">
        <v>46049</v>
      </c>
      <c r="D825" s="58" t="s">
        <v>1104</v>
      </c>
      <c r="E825" s="59" t="s">
        <v>352</v>
      </c>
      <c r="F825" s="56">
        <v>36</v>
      </c>
      <c r="G825" s="73">
        <v>3</v>
      </c>
      <c r="H825" s="74" t="s">
        <v>1043</v>
      </c>
      <c r="I825" s="59" t="s">
        <v>1044</v>
      </c>
      <c r="J825" s="59" t="s">
        <v>1045</v>
      </c>
      <c r="K825" s="69">
        <v>5102</v>
      </c>
      <c r="L825" s="56">
        <v>205</v>
      </c>
      <c r="M825" s="59" t="s">
        <v>26</v>
      </c>
      <c r="N825" s="61">
        <v>939.5</v>
      </c>
      <c r="O825" s="59" t="s">
        <v>313</v>
      </c>
      <c r="P825" s="62">
        <v>939.5</v>
      </c>
      <c r="Q825" s="63">
        <v>20</v>
      </c>
      <c r="R825" s="62">
        <v>187.9</v>
      </c>
      <c r="S825" s="61">
        <v>0</v>
      </c>
      <c r="T825" s="62">
        <v>0</v>
      </c>
    </row>
    <row r="826" spans="1:20" ht="11.1" customHeight="1" x14ac:dyDescent="0.25">
      <c r="A826" s="56">
        <v>109516</v>
      </c>
      <c r="B826" s="72">
        <v>46049</v>
      </c>
      <c r="C826" s="68">
        <v>46049</v>
      </c>
      <c r="D826" s="58" t="s">
        <v>1105</v>
      </c>
      <c r="E826" s="59" t="s">
        <v>352</v>
      </c>
      <c r="F826" s="56">
        <v>36</v>
      </c>
      <c r="G826" s="73">
        <v>3</v>
      </c>
      <c r="H826" s="74" t="s">
        <v>1043</v>
      </c>
      <c r="I826" s="59" t="s">
        <v>1044</v>
      </c>
      <c r="J826" s="59" t="s">
        <v>1045</v>
      </c>
      <c r="K826" s="69">
        <v>5102</v>
      </c>
      <c r="L826" s="56">
        <v>205</v>
      </c>
      <c r="M826" s="59" t="s">
        <v>26</v>
      </c>
      <c r="N826" s="61">
        <v>280.67</v>
      </c>
      <c r="O826" s="59" t="s">
        <v>313</v>
      </c>
      <c r="P826" s="62">
        <v>280.67</v>
      </c>
      <c r="Q826" s="63">
        <v>20</v>
      </c>
      <c r="R826" s="62">
        <v>56.14</v>
      </c>
      <c r="S826" s="61">
        <v>0</v>
      </c>
      <c r="T826" s="62">
        <v>0</v>
      </c>
    </row>
    <row r="827" spans="1:20" ht="11.1" customHeight="1" x14ac:dyDescent="0.25">
      <c r="A827" s="56">
        <v>109517</v>
      </c>
      <c r="B827" s="72">
        <v>46049</v>
      </c>
      <c r="C827" s="68">
        <v>46049</v>
      </c>
      <c r="D827" s="58" t="s">
        <v>1105</v>
      </c>
      <c r="E827" s="59" t="s">
        <v>352</v>
      </c>
      <c r="F827" s="56">
        <v>36</v>
      </c>
      <c r="G827" s="73">
        <v>3</v>
      </c>
      <c r="H827" s="74" t="s">
        <v>1043</v>
      </c>
      <c r="I827" s="59" t="s">
        <v>1044</v>
      </c>
      <c r="J827" s="59" t="s">
        <v>1045</v>
      </c>
      <c r="K827" s="69">
        <v>5403</v>
      </c>
      <c r="L827" s="56">
        <v>207</v>
      </c>
      <c r="M827" s="59" t="s">
        <v>26</v>
      </c>
      <c r="N827" s="61">
        <v>211.83</v>
      </c>
      <c r="O827" s="59" t="s">
        <v>313</v>
      </c>
      <c r="P827" s="62">
        <v>197.97</v>
      </c>
      <c r="Q827" s="63">
        <v>20</v>
      </c>
      <c r="R827" s="62">
        <v>39.590000000000003</v>
      </c>
      <c r="S827" s="61">
        <v>0</v>
      </c>
      <c r="T827" s="62">
        <v>13.86</v>
      </c>
    </row>
    <row r="828" spans="1:20" ht="11.1" customHeight="1" x14ac:dyDescent="0.25">
      <c r="O828" s="59" t="s">
        <v>436</v>
      </c>
      <c r="P828" s="62">
        <v>267.26</v>
      </c>
      <c r="Q828" s="63">
        <v>20</v>
      </c>
      <c r="R828" s="62">
        <v>13.86</v>
      </c>
      <c r="S828" s="61">
        <v>0</v>
      </c>
      <c r="T828" s="62">
        <v>0</v>
      </c>
    </row>
    <row r="829" spans="1:20" ht="11.1" customHeight="1" x14ac:dyDescent="0.25">
      <c r="A829" s="56">
        <v>109548</v>
      </c>
      <c r="B829" s="72">
        <v>46050</v>
      </c>
      <c r="C829" s="68">
        <v>46050</v>
      </c>
      <c r="D829" s="58" t="s">
        <v>1106</v>
      </c>
      <c r="E829" s="59" t="s">
        <v>352</v>
      </c>
      <c r="F829" s="56">
        <v>36</v>
      </c>
      <c r="G829" s="73">
        <v>3</v>
      </c>
      <c r="H829" s="74" t="s">
        <v>1043</v>
      </c>
      <c r="I829" s="59" t="s">
        <v>1044</v>
      </c>
      <c r="J829" s="59" t="s">
        <v>1045</v>
      </c>
      <c r="K829" s="69">
        <v>5403</v>
      </c>
      <c r="L829" s="56">
        <v>207</v>
      </c>
      <c r="M829" s="59" t="s">
        <v>26</v>
      </c>
      <c r="N829" s="61">
        <v>338.7</v>
      </c>
      <c r="O829" s="59" t="s">
        <v>313</v>
      </c>
      <c r="P829" s="62">
        <v>316.54000000000002</v>
      </c>
      <c r="Q829" s="63">
        <v>20</v>
      </c>
      <c r="R829" s="62">
        <v>63.31</v>
      </c>
      <c r="S829" s="61">
        <v>0</v>
      </c>
      <c r="T829" s="62">
        <v>22.16</v>
      </c>
    </row>
    <row r="830" spans="1:20" ht="11.1" customHeight="1" x14ac:dyDescent="0.25">
      <c r="O830" s="59" t="s">
        <v>436</v>
      </c>
      <c r="P830" s="62">
        <v>427.33</v>
      </c>
      <c r="Q830" s="63">
        <v>20</v>
      </c>
      <c r="R830" s="62">
        <v>22.16</v>
      </c>
      <c r="S830" s="61">
        <v>0</v>
      </c>
      <c r="T830" s="62">
        <v>0</v>
      </c>
    </row>
    <row r="831" spans="1:20" ht="11.1" customHeight="1" x14ac:dyDescent="0.25">
      <c r="A831" s="56">
        <v>109553</v>
      </c>
      <c r="B831" s="72">
        <v>46050</v>
      </c>
      <c r="C831" s="68">
        <v>46050</v>
      </c>
      <c r="D831" s="58" t="s">
        <v>1107</v>
      </c>
      <c r="E831" s="59" t="s">
        <v>352</v>
      </c>
      <c r="F831" s="56">
        <v>36</v>
      </c>
      <c r="G831" s="73">
        <v>3</v>
      </c>
      <c r="H831" s="74" t="s">
        <v>1043</v>
      </c>
      <c r="I831" s="59" t="s">
        <v>1044</v>
      </c>
      <c r="J831" s="59" t="s">
        <v>1045</v>
      </c>
      <c r="K831" s="69">
        <v>5102</v>
      </c>
      <c r="L831" s="56">
        <v>205</v>
      </c>
      <c r="M831" s="59" t="s">
        <v>26</v>
      </c>
      <c r="N831" s="61">
        <v>424</v>
      </c>
      <c r="O831" s="59" t="s">
        <v>313</v>
      </c>
      <c r="P831" s="62">
        <v>424</v>
      </c>
      <c r="Q831" s="63">
        <v>20</v>
      </c>
      <c r="R831" s="62">
        <v>84.8</v>
      </c>
      <c r="S831" s="61">
        <v>0</v>
      </c>
      <c r="T831" s="62">
        <v>0</v>
      </c>
    </row>
    <row r="832" spans="1:20" ht="11.1" customHeight="1" x14ac:dyDescent="0.25">
      <c r="A832" s="56">
        <v>109554</v>
      </c>
      <c r="B832" s="72">
        <v>46050</v>
      </c>
      <c r="C832" s="68">
        <v>46050</v>
      </c>
      <c r="D832" s="58" t="s">
        <v>1107</v>
      </c>
      <c r="E832" s="59" t="s">
        <v>352</v>
      </c>
      <c r="F832" s="56">
        <v>36</v>
      </c>
      <c r="G832" s="73">
        <v>3</v>
      </c>
      <c r="H832" s="74" t="s">
        <v>1043</v>
      </c>
      <c r="I832" s="59" t="s">
        <v>1044</v>
      </c>
      <c r="J832" s="59" t="s">
        <v>1045</v>
      </c>
      <c r="K832" s="69">
        <v>5403</v>
      </c>
      <c r="L832" s="56">
        <v>207</v>
      </c>
      <c r="M832" s="59" t="s">
        <v>26</v>
      </c>
      <c r="N832" s="61">
        <v>335.31</v>
      </c>
      <c r="O832" s="59" t="s">
        <v>313</v>
      </c>
      <c r="P832" s="62">
        <v>313.37</v>
      </c>
      <c r="Q832" s="63">
        <v>20</v>
      </c>
      <c r="R832" s="62">
        <v>62.67</v>
      </c>
      <c r="S832" s="61">
        <v>0</v>
      </c>
      <c r="T832" s="62">
        <v>21.94</v>
      </c>
    </row>
    <row r="833" spans="1:20" ht="11.1" customHeight="1" x14ac:dyDescent="0.25">
      <c r="O833" s="59" t="s">
        <v>436</v>
      </c>
      <c r="P833" s="62">
        <v>423.05</v>
      </c>
      <c r="Q833" s="63">
        <v>20</v>
      </c>
      <c r="R833" s="62">
        <v>21.94</v>
      </c>
      <c r="S833" s="61">
        <v>0</v>
      </c>
      <c r="T833" s="62">
        <v>0</v>
      </c>
    </row>
    <row r="834" spans="1:20" ht="11.1" customHeight="1" x14ac:dyDescent="0.25">
      <c r="A834" s="56">
        <v>109557</v>
      </c>
      <c r="B834" s="72">
        <v>46050</v>
      </c>
      <c r="C834" s="68">
        <v>46050</v>
      </c>
      <c r="D834" s="58" t="s">
        <v>1108</v>
      </c>
      <c r="E834" s="59" t="s">
        <v>352</v>
      </c>
      <c r="F834" s="56">
        <v>36</v>
      </c>
      <c r="G834" s="73">
        <v>3</v>
      </c>
      <c r="H834" s="74" t="s">
        <v>1043</v>
      </c>
      <c r="I834" s="59" t="s">
        <v>1044</v>
      </c>
      <c r="J834" s="59" t="s">
        <v>1045</v>
      </c>
      <c r="K834" s="69">
        <v>5403</v>
      </c>
      <c r="L834" s="56">
        <v>207</v>
      </c>
      <c r="M834" s="59" t="s">
        <v>26</v>
      </c>
      <c r="N834" s="61">
        <v>115.65</v>
      </c>
      <c r="O834" s="59" t="s">
        <v>313</v>
      </c>
      <c r="P834" s="62">
        <v>108.09</v>
      </c>
      <c r="Q834" s="63">
        <v>20</v>
      </c>
      <c r="R834" s="62">
        <v>21.62</v>
      </c>
      <c r="S834" s="61">
        <v>0</v>
      </c>
      <c r="T834" s="62">
        <v>7.56</v>
      </c>
    </row>
    <row r="835" spans="1:20" ht="11.1" customHeight="1" x14ac:dyDescent="0.25">
      <c r="O835" s="59" t="s">
        <v>436</v>
      </c>
      <c r="P835" s="62">
        <v>145.91999999999999</v>
      </c>
      <c r="Q835" s="63">
        <v>20</v>
      </c>
      <c r="R835" s="62">
        <v>7.56</v>
      </c>
      <c r="S835" s="61">
        <v>0</v>
      </c>
      <c r="T835" s="62">
        <v>0</v>
      </c>
    </row>
    <row r="836" spans="1:20" ht="11.1" customHeight="1" x14ac:dyDescent="0.25">
      <c r="A836" s="56">
        <v>109568</v>
      </c>
      <c r="B836" s="72">
        <v>46050</v>
      </c>
      <c r="C836" s="68">
        <v>46050</v>
      </c>
      <c r="D836" s="58" t="s">
        <v>1109</v>
      </c>
      <c r="E836" s="59" t="s">
        <v>352</v>
      </c>
      <c r="F836" s="56">
        <v>36</v>
      </c>
      <c r="G836" s="73">
        <v>3</v>
      </c>
      <c r="H836" s="74" t="s">
        <v>1043</v>
      </c>
      <c r="I836" s="59" t="s">
        <v>1044</v>
      </c>
      <c r="J836" s="59" t="s">
        <v>1045</v>
      </c>
      <c r="K836" s="69">
        <v>5102</v>
      </c>
      <c r="L836" s="56">
        <v>205</v>
      </c>
      <c r="M836" s="59" t="s">
        <v>26</v>
      </c>
      <c r="N836" s="61">
        <v>87.36</v>
      </c>
      <c r="O836" s="59" t="s">
        <v>313</v>
      </c>
      <c r="P836" s="62">
        <v>87.36</v>
      </c>
      <c r="Q836" s="63">
        <v>20</v>
      </c>
      <c r="R836" s="62">
        <v>17.47</v>
      </c>
      <c r="S836" s="61">
        <v>0</v>
      </c>
      <c r="T836" s="62">
        <v>0</v>
      </c>
    </row>
    <row r="837" spans="1:20" ht="11.1" customHeight="1" x14ac:dyDescent="0.25">
      <c r="A837" s="56">
        <v>109569</v>
      </c>
      <c r="B837" s="72">
        <v>46050</v>
      </c>
      <c r="C837" s="68">
        <v>46050</v>
      </c>
      <c r="D837" s="58" t="s">
        <v>1109</v>
      </c>
      <c r="E837" s="59" t="s">
        <v>352</v>
      </c>
      <c r="F837" s="56">
        <v>36</v>
      </c>
      <c r="G837" s="73">
        <v>3</v>
      </c>
      <c r="H837" s="74" t="s">
        <v>1043</v>
      </c>
      <c r="I837" s="59" t="s">
        <v>1044</v>
      </c>
      <c r="J837" s="59" t="s">
        <v>1045</v>
      </c>
      <c r="K837" s="69">
        <v>5403</v>
      </c>
      <c r="L837" s="56">
        <v>207</v>
      </c>
      <c r="M837" s="59" t="s">
        <v>26</v>
      </c>
      <c r="N837" s="61">
        <v>188.24</v>
      </c>
      <c r="O837" s="59" t="s">
        <v>313</v>
      </c>
      <c r="P837" s="62">
        <v>175.92</v>
      </c>
      <c r="Q837" s="63">
        <v>20</v>
      </c>
      <c r="R837" s="62">
        <v>35.18</v>
      </c>
      <c r="S837" s="61">
        <v>0</v>
      </c>
      <c r="T837" s="62">
        <v>12.32</v>
      </c>
    </row>
    <row r="838" spans="1:20" ht="11.1" customHeight="1" x14ac:dyDescent="0.25">
      <c r="O838" s="59" t="s">
        <v>436</v>
      </c>
      <c r="P838" s="62">
        <v>237.49</v>
      </c>
      <c r="Q838" s="63">
        <v>20</v>
      </c>
      <c r="R838" s="62">
        <v>12.32</v>
      </c>
      <c r="S838" s="61">
        <v>0</v>
      </c>
      <c r="T838" s="62">
        <v>0</v>
      </c>
    </row>
    <row r="839" spans="1:20" ht="11.1" customHeight="1" x14ac:dyDescent="0.25">
      <c r="A839" s="56">
        <v>109605</v>
      </c>
      <c r="B839" s="72">
        <v>46051</v>
      </c>
      <c r="C839" s="68">
        <v>46051</v>
      </c>
      <c r="D839" s="58" t="s">
        <v>1110</v>
      </c>
      <c r="E839" s="59" t="s">
        <v>352</v>
      </c>
      <c r="F839" s="56">
        <v>36</v>
      </c>
      <c r="G839" s="73">
        <v>3</v>
      </c>
      <c r="H839" s="74" t="s">
        <v>1043</v>
      </c>
      <c r="I839" s="59" t="s">
        <v>1044</v>
      </c>
      <c r="J839" s="59" t="s">
        <v>1045</v>
      </c>
      <c r="K839" s="69">
        <v>5102</v>
      </c>
      <c r="L839" s="56">
        <v>205</v>
      </c>
      <c r="M839" s="59" t="s">
        <v>26</v>
      </c>
      <c r="N839" s="61">
        <v>306.45999999999998</v>
      </c>
      <c r="O839" s="59" t="s">
        <v>313</v>
      </c>
      <c r="P839" s="62">
        <v>306.45999999999998</v>
      </c>
      <c r="Q839" s="63">
        <v>20</v>
      </c>
      <c r="R839" s="62">
        <v>61.29</v>
      </c>
      <c r="S839" s="61">
        <v>0</v>
      </c>
      <c r="T839" s="62">
        <v>0</v>
      </c>
    </row>
    <row r="840" spans="1:20" ht="11.1" customHeight="1" x14ac:dyDescent="0.25">
      <c r="A840" s="56">
        <v>109606</v>
      </c>
      <c r="B840" s="72">
        <v>46051</v>
      </c>
      <c r="C840" s="68">
        <v>46051</v>
      </c>
      <c r="D840" s="58" t="s">
        <v>1110</v>
      </c>
      <c r="E840" s="59" t="s">
        <v>352</v>
      </c>
      <c r="F840" s="56">
        <v>36</v>
      </c>
      <c r="G840" s="73">
        <v>3</v>
      </c>
      <c r="H840" s="74" t="s">
        <v>1043</v>
      </c>
      <c r="I840" s="59" t="s">
        <v>1044</v>
      </c>
      <c r="J840" s="59" t="s">
        <v>1045</v>
      </c>
      <c r="K840" s="69">
        <v>5403</v>
      </c>
      <c r="L840" s="56">
        <v>207</v>
      </c>
      <c r="M840" s="59" t="s">
        <v>26</v>
      </c>
      <c r="N840" s="61">
        <v>317.76</v>
      </c>
      <c r="O840" s="59" t="s">
        <v>313</v>
      </c>
      <c r="P840" s="62">
        <v>296.98</v>
      </c>
      <c r="Q840" s="63">
        <v>20</v>
      </c>
      <c r="R840" s="62">
        <v>59.4</v>
      </c>
      <c r="S840" s="61">
        <v>0</v>
      </c>
      <c r="T840" s="62">
        <v>20.78</v>
      </c>
    </row>
    <row r="841" spans="1:20" ht="11.1" customHeight="1" x14ac:dyDescent="0.25">
      <c r="O841" s="59" t="s">
        <v>436</v>
      </c>
      <c r="P841" s="62">
        <v>400.92</v>
      </c>
      <c r="Q841" s="63">
        <v>20</v>
      </c>
      <c r="R841" s="62">
        <v>20.78</v>
      </c>
      <c r="S841" s="61">
        <v>0</v>
      </c>
      <c r="T841" s="62">
        <v>0</v>
      </c>
    </row>
    <row r="842" spans="1:20" ht="11.1" customHeight="1" x14ac:dyDescent="0.25">
      <c r="A842" s="56">
        <v>109623</v>
      </c>
      <c r="B842" s="72">
        <v>46051</v>
      </c>
      <c r="C842" s="68">
        <v>46051</v>
      </c>
      <c r="D842" s="58" t="s">
        <v>1111</v>
      </c>
      <c r="E842" s="59" t="s">
        <v>352</v>
      </c>
      <c r="F842" s="56">
        <v>36</v>
      </c>
      <c r="G842" s="73">
        <v>3</v>
      </c>
      <c r="H842" s="74" t="s">
        <v>1043</v>
      </c>
      <c r="I842" s="59" t="s">
        <v>1044</v>
      </c>
      <c r="J842" s="59" t="s">
        <v>1045</v>
      </c>
      <c r="K842" s="69">
        <v>5102</v>
      </c>
      <c r="L842" s="56">
        <v>205</v>
      </c>
      <c r="M842" s="59" t="s">
        <v>26</v>
      </c>
      <c r="N842" s="61">
        <v>535.02</v>
      </c>
      <c r="O842" s="59" t="s">
        <v>313</v>
      </c>
      <c r="P842" s="62">
        <v>535.02</v>
      </c>
      <c r="Q842" s="63">
        <v>20</v>
      </c>
      <c r="R842" s="62">
        <v>107.01</v>
      </c>
      <c r="S842" s="61">
        <v>0</v>
      </c>
      <c r="T842" s="62">
        <v>0</v>
      </c>
    </row>
    <row r="843" spans="1:20" ht="11.1" customHeight="1" x14ac:dyDescent="0.25">
      <c r="A843" s="56">
        <v>109624</v>
      </c>
      <c r="B843" s="72">
        <v>46051</v>
      </c>
      <c r="C843" s="68">
        <v>46051</v>
      </c>
      <c r="D843" s="58" t="s">
        <v>1111</v>
      </c>
      <c r="E843" s="59" t="s">
        <v>352</v>
      </c>
      <c r="F843" s="56">
        <v>36</v>
      </c>
      <c r="G843" s="73">
        <v>3</v>
      </c>
      <c r="H843" s="74" t="s">
        <v>1043</v>
      </c>
      <c r="I843" s="59" t="s">
        <v>1044</v>
      </c>
      <c r="J843" s="59" t="s">
        <v>1045</v>
      </c>
      <c r="K843" s="69">
        <v>5403</v>
      </c>
      <c r="L843" s="56">
        <v>207</v>
      </c>
      <c r="M843" s="59" t="s">
        <v>26</v>
      </c>
      <c r="N843" s="61">
        <v>252.99</v>
      </c>
      <c r="O843" s="59" t="s">
        <v>313</v>
      </c>
      <c r="P843" s="62">
        <v>236.44</v>
      </c>
      <c r="Q843" s="63">
        <v>20</v>
      </c>
      <c r="R843" s="62">
        <v>47.29</v>
      </c>
      <c r="S843" s="61">
        <v>0</v>
      </c>
      <c r="T843" s="62">
        <v>16.55</v>
      </c>
    </row>
    <row r="844" spans="1:20" ht="11.1" customHeight="1" x14ac:dyDescent="0.25">
      <c r="O844" s="59" t="s">
        <v>436</v>
      </c>
      <c r="P844" s="62">
        <v>319.19</v>
      </c>
      <c r="Q844" s="63">
        <v>20</v>
      </c>
      <c r="R844" s="62">
        <v>16.55</v>
      </c>
      <c r="S844" s="61">
        <v>0</v>
      </c>
      <c r="T844" s="62">
        <v>0</v>
      </c>
    </row>
    <row r="845" spans="1:20" ht="11.1" customHeight="1" x14ac:dyDescent="0.25">
      <c r="A845" s="56">
        <v>109625</v>
      </c>
      <c r="B845" s="72">
        <v>46051</v>
      </c>
      <c r="C845" s="68">
        <v>46051</v>
      </c>
      <c r="D845" s="58" t="s">
        <v>1112</v>
      </c>
      <c r="E845" s="59" t="s">
        <v>352</v>
      </c>
      <c r="F845" s="56">
        <v>36</v>
      </c>
      <c r="G845" s="73">
        <v>3</v>
      </c>
      <c r="H845" s="74" t="s">
        <v>1043</v>
      </c>
      <c r="I845" s="59" t="s">
        <v>1044</v>
      </c>
      <c r="J845" s="59" t="s">
        <v>1045</v>
      </c>
      <c r="K845" s="69">
        <v>5102</v>
      </c>
      <c r="L845" s="56">
        <v>205</v>
      </c>
      <c r="M845" s="59" t="s">
        <v>26</v>
      </c>
      <c r="N845" s="61">
        <v>149.52000000000001</v>
      </c>
      <c r="O845" s="59" t="s">
        <v>313</v>
      </c>
      <c r="P845" s="62">
        <v>149.52000000000001</v>
      </c>
      <c r="Q845" s="63">
        <v>20</v>
      </c>
      <c r="R845" s="62">
        <v>29.9</v>
      </c>
      <c r="S845" s="61">
        <v>0</v>
      </c>
      <c r="T845" s="62">
        <v>0</v>
      </c>
    </row>
    <row r="846" spans="1:20" ht="11.1" customHeight="1" x14ac:dyDescent="0.25">
      <c r="A846" s="56">
        <v>109657</v>
      </c>
      <c r="B846" s="72">
        <v>46052</v>
      </c>
      <c r="C846" s="68">
        <v>46052</v>
      </c>
      <c r="D846" s="58" t="s">
        <v>1113</v>
      </c>
      <c r="E846" s="59" t="s">
        <v>352</v>
      </c>
      <c r="F846" s="56">
        <v>36</v>
      </c>
      <c r="G846" s="73">
        <v>3</v>
      </c>
      <c r="H846" s="74" t="s">
        <v>1043</v>
      </c>
      <c r="I846" s="59" t="s">
        <v>1044</v>
      </c>
      <c r="J846" s="59" t="s">
        <v>1045</v>
      </c>
      <c r="K846" s="69">
        <v>5102</v>
      </c>
      <c r="L846" s="56">
        <v>205</v>
      </c>
      <c r="M846" s="59" t="s">
        <v>26</v>
      </c>
      <c r="N846" s="61">
        <v>860.4</v>
      </c>
      <c r="O846" s="59" t="s">
        <v>313</v>
      </c>
      <c r="P846" s="62">
        <v>860.4</v>
      </c>
      <c r="Q846" s="63">
        <v>20</v>
      </c>
      <c r="R846" s="62">
        <v>172.08</v>
      </c>
      <c r="S846" s="61">
        <v>0</v>
      </c>
      <c r="T846" s="62">
        <v>0</v>
      </c>
    </row>
    <row r="847" spans="1:20" ht="11.1" customHeight="1" x14ac:dyDescent="0.25">
      <c r="A847" s="56">
        <v>109663</v>
      </c>
      <c r="B847" s="72">
        <v>46052</v>
      </c>
      <c r="C847" s="68">
        <v>46052</v>
      </c>
      <c r="D847" s="58" t="s">
        <v>1114</v>
      </c>
      <c r="E847" s="59" t="s">
        <v>352</v>
      </c>
      <c r="F847" s="56">
        <v>36</v>
      </c>
      <c r="G847" s="73">
        <v>3</v>
      </c>
      <c r="H847" s="74" t="s">
        <v>1043</v>
      </c>
      <c r="I847" s="59" t="s">
        <v>1044</v>
      </c>
      <c r="J847" s="59" t="s">
        <v>1045</v>
      </c>
      <c r="K847" s="69">
        <v>5102</v>
      </c>
      <c r="L847" s="56">
        <v>205</v>
      </c>
      <c r="M847" s="59" t="s">
        <v>26</v>
      </c>
      <c r="N847" s="61">
        <v>911.76</v>
      </c>
      <c r="O847" s="59" t="s">
        <v>313</v>
      </c>
      <c r="P847" s="62">
        <v>911.76</v>
      </c>
      <c r="Q847" s="63">
        <v>20</v>
      </c>
      <c r="R847" s="62">
        <v>182.35</v>
      </c>
      <c r="S847" s="61">
        <v>0</v>
      </c>
      <c r="T847" s="62">
        <v>0</v>
      </c>
    </row>
    <row r="848" spans="1:20" ht="11.1" customHeight="1" x14ac:dyDescent="0.25">
      <c r="A848" s="56">
        <v>109667</v>
      </c>
      <c r="B848" s="72">
        <v>46052</v>
      </c>
      <c r="C848" s="68">
        <v>46052</v>
      </c>
      <c r="D848" s="58" t="s">
        <v>1115</v>
      </c>
      <c r="E848" s="59" t="s">
        <v>352</v>
      </c>
      <c r="F848" s="56">
        <v>36</v>
      </c>
      <c r="G848" s="73">
        <v>3</v>
      </c>
      <c r="H848" s="74" t="s">
        <v>1043</v>
      </c>
      <c r="I848" s="59" t="s">
        <v>1044</v>
      </c>
      <c r="J848" s="59" t="s">
        <v>1045</v>
      </c>
      <c r="K848" s="69">
        <v>5403</v>
      </c>
      <c r="L848" s="56">
        <v>207</v>
      </c>
      <c r="M848" s="59" t="s">
        <v>26</v>
      </c>
      <c r="N848" s="61">
        <v>168.78</v>
      </c>
      <c r="O848" s="59" t="s">
        <v>313</v>
      </c>
      <c r="P848" s="62">
        <v>157.74</v>
      </c>
      <c r="Q848" s="63">
        <v>20</v>
      </c>
      <c r="R848" s="62">
        <v>31.55</v>
      </c>
      <c r="S848" s="61">
        <v>0</v>
      </c>
      <c r="T848" s="62">
        <v>11.04</v>
      </c>
    </row>
    <row r="849" spans="1:20" ht="11.1" customHeight="1" x14ac:dyDescent="0.25">
      <c r="O849" s="59" t="s">
        <v>436</v>
      </c>
      <c r="P849" s="62">
        <v>212.95</v>
      </c>
      <c r="Q849" s="63">
        <v>20</v>
      </c>
      <c r="R849" s="62">
        <v>11.04</v>
      </c>
      <c r="S849" s="61">
        <v>0</v>
      </c>
      <c r="T849" s="62">
        <v>0</v>
      </c>
    </row>
    <row r="850" spans="1:20" ht="11.1" customHeight="1" x14ac:dyDescent="0.25">
      <c r="A850" s="56">
        <v>109668</v>
      </c>
      <c r="B850" s="72">
        <v>46052</v>
      </c>
      <c r="C850" s="68">
        <v>46052</v>
      </c>
      <c r="D850" s="58" t="s">
        <v>1116</v>
      </c>
      <c r="E850" s="59" t="s">
        <v>352</v>
      </c>
      <c r="F850" s="56">
        <v>36</v>
      </c>
      <c r="G850" s="73">
        <v>3</v>
      </c>
      <c r="H850" s="74" t="s">
        <v>1043</v>
      </c>
      <c r="I850" s="59" t="s">
        <v>1044</v>
      </c>
      <c r="J850" s="59" t="s">
        <v>1045</v>
      </c>
      <c r="K850" s="69">
        <v>5403</v>
      </c>
      <c r="L850" s="56">
        <v>207</v>
      </c>
      <c r="M850" s="59" t="s">
        <v>26</v>
      </c>
      <c r="N850" s="61">
        <v>307.08999999999997</v>
      </c>
      <c r="O850" s="59" t="s">
        <v>313</v>
      </c>
      <c r="P850" s="62">
        <v>287</v>
      </c>
      <c r="Q850" s="63">
        <v>20</v>
      </c>
      <c r="R850" s="62">
        <v>57.4</v>
      </c>
      <c r="S850" s="61">
        <v>0</v>
      </c>
      <c r="T850" s="62">
        <v>20.09</v>
      </c>
    </row>
    <row r="851" spans="1:20" ht="11.1" customHeight="1" x14ac:dyDescent="0.25">
      <c r="O851" s="59" t="s">
        <v>436</v>
      </c>
      <c r="P851" s="62">
        <v>387.45</v>
      </c>
      <c r="Q851" s="63">
        <v>20</v>
      </c>
      <c r="R851" s="62">
        <v>20.09</v>
      </c>
      <c r="S851" s="61">
        <v>0</v>
      </c>
      <c r="T851" s="62">
        <v>0</v>
      </c>
    </row>
    <row r="852" spans="1:20" ht="11.1" customHeight="1" x14ac:dyDescent="0.25">
      <c r="A852" s="56">
        <v>109688</v>
      </c>
      <c r="B852" s="72">
        <v>46052</v>
      </c>
      <c r="C852" s="68">
        <v>46052</v>
      </c>
      <c r="D852" s="58" t="s">
        <v>1117</v>
      </c>
      <c r="E852" s="59" t="s">
        <v>352</v>
      </c>
      <c r="F852" s="56">
        <v>36</v>
      </c>
      <c r="G852" s="73">
        <v>3</v>
      </c>
      <c r="H852" s="74" t="s">
        <v>1043</v>
      </c>
      <c r="I852" s="59" t="s">
        <v>1044</v>
      </c>
      <c r="J852" s="59" t="s">
        <v>1045</v>
      </c>
      <c r="K852" s="69">
        <v>5102</v>
      </c>
      <c r="L852" s="56">
        <v>205</v>
      </c>
      <c r="M852" s="59" t="s">
        <v>26</v>
      </c>
      <c r="N852" s="61">
        <v>17763.97</v>
      </c>
      <c r="O852" s="59" t="s">
        <v>313</v>
      </c>
      <c r="P852" s="62">
        <v>206.16</v>
      </c>
      <c r="Q852" s="63">
        <v>12</v>
      </c>
      <c r="R852" s="62">
        <v>24.74</v>
      </c>
      <c r="S852" s="61">
        <v>0</v>
      </c>
      <c r="T852" s="62">
        <v>0</v>
      </c>
    </row>
    <row r="853" spans="1:20" ht="11.1" customHeight="1" x14ac:dyDescent="0.25">
      <c r="O853" s="59" t="s">
        <v>313</v>
      </c>
      <c r="P853" s="62">
        <v>17557.810000000001</v>
      </c>
      <c r="Q853" s="63">
        <v>20</v>
      </c>
      <c r="R853" s="62">
        <v>3511.6</v>
      </c>
      <c r="S853" s="61">
        <v>0</v>
      </c>
      <c r="T853" s="62">
        <v>0</v>
      </c>
    </row>
    <row r="854" spans="1:20" ht="11.1" customHeight="1" x14ac:dyDescent="0.25">
      <c r="A854" s="56">
        <v>109689</v>
      </c>
      <c r="B854" s="72">
        <v>46052</v>
      </c>
      <c r="C854" s="68">
        <v>46052</v>
      </c>
      <c r="D854" s="58" t="s">
        <v>1117</v>
      </c>
      <c r="E854" s="59" t="s">
        <v>352</v>
      </c>
      <c r="F854" s="56">
        <v>36</v>
      </c>
      <c r="G854" s="73">
        <v>3</v>
      </c>
      <c r="H854" s="74" t="s">
        <v>1043</v>
      </c>
      <c r="I854" s="59" t="s">
        <v>1044</v>
      </c>
      <c r="J854" s="59" t="s">
        <v>1045</v>
      </c>
      <c r="K854" s="69">
        <v>5405</v>
      </c>
      <c r="L854" s="56">
        <v>206</v>
      </c>
      <c r="M854" s="59" t="s">
        <v>26</v>
      </c>
      <c r="N854" s="61">
        <v>60.42</v>
      </c>
      <c r="O854" s="59" t="s">
        <v>313</v>
      </c>
      <c r="P854" s="62">
        <v>0</v>
      </c>
      <c r="Q854" s="63">
        <v>0</v>
      </c>
      <c r="R854" s="62">
        <v>0</v>
      </c>
      <c r="S854" s="61">
        <v>0</v>
      </c>
      <c r="T854" s="62">
        <v>60.42</v>
      </c>
    </row>
    <row r="855" spans="1:20" ht="11.1" customHeight="1" x14ac:dyDescent="0.25">
      <c r="A855" s="56">
        <v>109690</v>
      </c>
      <c r="B855" s="72">
        <v>46052</v>
      </c>
      <c r="C855" s="68">
        <v>46052</v>
      </c>
      <c r="D855" s="58" t="s">
        <v>1117</v>
      </c>
      <c r="E855" s="59" t="s">
        <v>352</v>
      </c>
      <c r="F855" s="56">
        <v>36</v>
      </c>
      <c r="G855" s="73">
        <v>3</v>
      </c>
      <c r="H855" s="74" t="s">
        <v>1043</v>
      </c>
      <c r="I855" s="59" t="s">
        <v>1044</v>
      </c>
      <c r="J855" s="59" t="s">
        <v>1045</v>
      </c>
      <c r="K855" s="69">
        <v>5403</v>
      </c>
      <c r="L855" s="56">
        <v>207</v>
      </c>
      <c r="M855" s="59" t="s">
        <v>26</v>
      </c>
      <c r="N855" s="61">
        <v>18169.919999999998</v>
      </c>
      <c r="O855" s="59" t="s">
        <v>313</v>
      </c>
      <c r="P855" s="62">
        <v>16981.189999999999</v>
      </c>
      <c r="Q855" s="63">
        <v>20</v>
      </c>
      <c r="R855" s="62">
        <v>3396.21</v>
      </c>
      <c r="S855" s="61">
        <v>0</v>
      </c>
      <c r="T855" s="62">
        <v>1188.73</v>
      </c>
    </row>
    <row r="856" spans="1:20" ht="11.1" customHeight="1" x14ac:dyDescent="0.25">
      <c r="O856" s="59" t="s">
        <v>436</v>
      </c>
      <c r="P856" s="62">
        <v>22924.61</v>
      </c>
      <c r="Q856" s="63">
        <v>20</v>
      </c>
      <c r="R856" s="62">
        <v>1188.73</v>
      </c>
      <c r="S856" s="61">
        <v>0</v>
      </c>
      <c r="T856" s="62">
        <v>0</v>
      </c>
    </row>
    <row r="857" spans="1:20" ht="11.85" customHeight="1" x14ac:dyDescent="0.25">
      <c r="A857" s="71" t="s">
        <v>620</v>
      </c>
      <c r="B857" s="71"/>
      <c r="C857" s="71"/>
      <c r="D857" s="71"/>
      <c r="E857" s="71"/>
      <c r="F857" s="71"/>
      <c r="G857" s="71"/>
      <c r="H857" s="71"/>
    </row>
    <row r="858" spans="1:20" ht="11.1" customHeight="1" x14ac:dyDescent="0.25">
      <c r="O858" s="59" t="s">
        <v>313</v>
      </c>
      <c r="P858" s="62">
        <v>166715.68</v>
      </c>
      <c r="R858" s="62">
        <v>33326.76</v>
      </c>
      <c r="S858" s="61">
        <v>0</v>
      </c>
      <c r="T858" s="62">
        <v>6536.59</v>
      </c>
    </row>
    <row r="859" spans="1:20" ht="11.1" customHeight="1" x14ac:dyDescent="0.25">
      <c r="O859" s="59" t="s">
        <v>436</v>
      </c>
      <c r="P859" s="62">
        <v>101708.6</v>
      </c>
      <c r="R859" s="62">
        <v>5273.88</v>
      </c>
      <c r="S859" s="61">
        <v>0</v>
      </c>
      <c r="T859" s="62">
        <v>0</v>
      </c>
    </row>
    <row r="860" spans="1:20" ht="11.1" customHeight="1" x14ac:dyDescent="0.25">
      <c r="A860" s="56">
        <v>108430</v>
      </c>
      <c r="B860" s="72">
        <v>46027</v>
      </c>
      <c r="C860" s="68">
        <v>46027</v>
      </c>
      <c r="D860" s="58" t="s">
        <v>1118</v>
      </c>
      <c r="E860" s="59" t="s">
        <v>352</v>
      </c>
      <c r="F860" s="56">
        <v>36</v>
      </c>
      <c r="G860" s="73">
        <v>351</v>
      </c>
      <c r="H860" s="74" t="s">
        <v>1119</v>
      </c>
      <c r="I860" s="59" t="s">
        <v>1120</v>
      </c>
      <c r="J860" s="59" t="s">
        <v>1121</v>
      </c>
      <c r="K860" s="69">
        <v>5403</v>
      </c>
      <c r="L860" s="56">
        <v>207</v>
      </c>
      <c r="M860" s="59" t="s">
        <v>26</v>
      </c>
      <c r="N860" s="61">
        <v>52.31</v>
      </c>
      <c r="O860" s="59" t="s">
        <v>313</v>
      </c>
      <c r="P860" s="62">
        <v>48.89</v>
      </c>
      <c r="Q860" s="63">
        <v>20</v>
      </c>
      <c r="R860" s="62">
        <v>9.7799999999999994</v>
      </c>
      <c r="S860" s="61">
        <v>0</v>
      </c>
      <c r="T860" s="62">
        <v>3.42</v>
      </c>
    </row>
    <row r="861" spans="1:20" ht="11.1" customHeight="1" x14ac:dyDescent="0.25">
      <c r="O861" s="59" t="s">
        <v>436</v>
      </c>
      <c r="P861" s="62">
        <v>66</v>
      </c>
      <c r="Q861" s="63">
        <v>20</v>
      </c>
      <c r="R861" s="62">
        <v>3.42</v>
      </c>
      <c r="S861" s="61">
        <v>0</v>
      </c>
      <c r="T861" s="62">
        <v>0</v>
      </c>
    </row>
    <row r="862" spans="1:20" ht="11.1" customHeight="1" x14ac:dyDescent="0.25">
      <c r="A862" s="56">
        <v>108439</v>
      </c>
      <c r="B862" s="72">
        <v>46027</v>
      </c>
      <c r="C862" s="68">
        <v>46027</v>
      </c>
      <c r="D862" s="58" t="s">
        <v>1122</v>
      </c>
      <c r="E862" s="59" t="s">
        <v>352</v>
      </c>
      <c r="F862" s="56">
        <v>36</v>
      </c>
      <c r="G862" s="73">
        <v>351</v>
      </c>
      <c r="H862" s="74" t="s">
        <v>1119</v>
      </c>
      <c r="I862" s="59" t="s">
        <v>1120</v>
      </c>
      <c r="J862" s="59" t="s">
        <v>1121</v>
      </c>
      <c r="K862" s="69">
        <v>5102</v>
      </c>
      <c r="L862" s="56">
        <v>205</v>
      </c>
      <c r="M862" s="59" t="s">
        <v>26</v>
      </c>
      <c r="N862" s="61">
        <v>175.65</v>
      </c>
      <c r="O862" s="59" t="s">
        <v>313</v>
      </c>
      <c r="P862" s="62">
        <v>175.65</v>
      </c>
      <c r="Q862" s="63">
        <v>20</v>
      </c>
      <c r="R862" s="62">
        <v>35.130000000000003</v>
      </c>
      <c r="S862" s="61">
        <v>0</v>
      </c>
      <c r="T862" s="62">
        <v>0</v>
      </c>
    </row>
    <row r="863" spans="1:20" ht="11.1" customHeight="1" x14ac:dyDescent="0.25">
      <c r="A863" s="56">
        <v>108491</v>
      </c>
      <c r="B863" s="72">
        <v>46028</v>
      </c>
      <c r="C863" s="68">
        <v>46028</v>
      </c>
      <c r="D863" s="58" t="s">
        <v>1123</v>
      </c>
      <c r="E863" s="59" t="s">
        <v>352</v>
      </c>
      <c r="F863" s="56">
        <v>36</v>
      </c>
      <c r="G863" s="73">
        <v>351</v>
      </c>
      <c r="H863" s="74" t="s">
        <v>1119</v>
      </c>
      <c r="I863" s="59" t="s">
        <v>1120</v>
      </c>
      <c r="J863" s="59" t="s">
        <v>1121</v>
      </c>
      <c r="K863" s="69">
        <v>5403</v>
      </c>
      <c r="L863" s="56">
        <v>207</v>
      </c>
      <c r="M863" s="59" t="s">
        <v>26</v>
      </c>
      <c r="N863" s="61">
        <v>614.78</v>
      </c>
      <c r="O863" s="59" t="s">
        <v>313</v>
      </c>
      <c r="P863" s="62">
        <v>574.55999999999995</v>
      </c>
      <c r="Q863" s="63">
        <v>20</v>
      </c>
      <c r="R863" s="62">
        <v>114.91</v>
      </c>
      <c r="S863" s="61">
        <v>0</v>
      </c>
      <c r="T863" s="62">
        <v>40.22</v>
      </c>
    </row>
    <row r="864" spans="1:20" ht="11.1" customHeight="1" x14ac:dyDescent="0.25">
      <c r="O864" s="59" t="s">
        <v>436</v>
      </c>
      <c r="P864" s="62">
        <v>775.66</v>
      </c>
      <c r="Q864" s="63">
        <v>20</v>
      </c>
      <c r="R864" s="62">
        <v>40.22</v>
      </c>
      <c r="S864" s="61">
        <v>0</v>
      </c>
      <c r="T864" s="62">
        <v>0</v>
      </c>
    </row>
    <row r="865" spans="1:20" ht="11.1" customHeight="1" x14ac:dyDescent="0.25">
      <c r="A865" s="56">
        <v>108497</v>
      </c>
      <c r="B865" s="72">
        <v>46028</v>
      </c>
      <c r="C865" s="68">
        <v>46028</v>
      </c>
      <c r="D865" s="58" t="s">
        <v>1124</v>
      </c>
      <c r="E865" s="59" t="s">
        <v>352</v>
      </c>
      <c r="F865" s="56">
        <v>36</v>
      </c>
      <c r="G865" s="73">
        <v>351</v>
      </c>
      <c r="H865" s="74" t="s">
        <v>1119</v>
      </c>
      <c r="I865" s="59" t="s">
        <v>1120</v>
      </c>
      <c r="J865" s="59" t="s">
        <v>1121</v>
      </c>
      <c r="K865" s="69">
        <v>5102</v>
      </c>
      <c r="L865" s="56">
        <v>205</v>
      </c>
      <c r="M865" s="59" t="s">
        <v>26</v>
      </c>
      <c r="N865" s="61">
        <v>356.7</v>
      </c>
      <c r="O865" s="59" t="s">
        <v>313</v>
      </c>
      <c r="P865" s="62">
        <v>356.7</v>
      </c>
      <c r="Q865" s="63">
        <v>20</v>
      </c>
      <c r="R865" s="62">
        <v>71.34</v>
      </c>
      <c r="S865" s="61">
        <v>0</v>
      </c>
      <c r="T865" s="62">
        <v>0</v>
      </c>
    </row>
    <row r="866" spans="1:20" ht="11.1" customHeight="1" x14ac:dyDescent="0.25">
      <c r="A866" s="56">
        <v>108498</v>
      </c>
      <c r="B866" s="72">
        <v>46028</v>
      </c>
      <c r="C866" s="68">
        <v>46028</v>
      </c>
      <c r="D866" s="58" t="s">
        <v>1124</v>
      </c>
      <c r="E866" s="59" t="s">
        <v>352</v>
      </c>
      <c r="F866" s="56">
        <v>36</v>
      </c>
      <c r="G866" s="73">
        <v>351</v>
      </c>
      <c r="H866" s="74" t="s">
        <v>1119</v>
      </c>
      <c r="I866" s="59" t="s">
        <v>1120</v>
      </c>
      <c r="J866" s="59" t="s">
        <v>1121</v>
      </c>
      <c r="K866" s="69">
        <v>5403</v>
      </c>
      <c r="L866" s="56">
        <v>207</v>
      </c>
      <c r="M866" s="59" t="s">
        <v>26</v>
      </c>
      <c r="N866" s="61">
        <v>569.54999999999995</v>
      </c>
      <c r="O866" s="59" t="s">
        <v>313</v>
      </c>
      <c r="P866" s="62">
        <v>532.28</v>
      </c>
      <c r="Q866" s="63">
        <v>20</v>
      </c>
      <c r="R866" s="62">
        <v>106.45</v>
      </c>
      <c r="S866" s="61">
        <v>0</v>
      </c>
      <c r="T866" s="62">
        <v>37.270000000000003</v>
      </c>
    </row>
    <row r="867" spans="1:20" ht="11.1" customHeight="1" x14ac:dyDescent="0.25">
      <c r="O867" s="59" t="s">
        <v>436</v>
      </c>
      <c r="P867" s="62">
        <v>718.58</v>
      </c>
      <c r="Q867" s="63">
        <v>20</v>
      </c>
      <c r="R867" s="62">
        <v>37.270000000000003</v>
      </c>
      <c r="S867" s="61">
        <v>0</v>
      </c>
      <c r="T867" s="62">
        <v>0</v>
      </c>
    </row>
    <row r="868" spans="1:20" ht="11.1" customHeight="1" x14ac:dyDescent="0.25">
      <c r="A868" s="56">
        <v>108532</v>
      </c>
      <c r="B868" s="72">
        <v>46028</v>
      </c>
      <c r="C868" s="68">
        <v>46028</v>
      </c>
      <c r="D868" s="58" t="s">
        <v>1125</v>
      </c>
      <c r="E868" s="59" t="s">
        <v>352</v>
      </c>
      <c r="F868" s="56">
        <v>36</v>
      </c>
      <c r="G868" s="73">
        <v>351</v>
      </c>
      <c r="H868" s="74" t="s">
        <v>1119</v>
      </c>
      <c r="I868" s="59" t="s">
        <v>1120</v>
      </c>
      <c r="J868" s="59" t="s">
        <v>1121</v>
      </c>
      <c r="K868" s="69">
        <v>5102</v>
      </c>
      <c r="L868" s="56">
        <v>205</v>
      </c>
      <c r="M868" s="59" t="s">
        <v>26</v>
      </c>
      <c r="N868" s="61">
        <v>39.9</v>
      </c>
      <c r="O868" s="59" t="s">
        <v>313</v>
      </c>
      <c r="P868" s="62">
        <v>39.9</v>
      </c>
      <c r="Q868" s="63">
        <v>20</v>
      </c>
      <c r="R868" s="62">
        <v>7.98</v>
      </c>
      <c r="S868" s="61">
        <v>0</v>
      </c>
      <c r="T868" s="62">
        <v>0</v>
      </c>
    </row>
    <row r="869" spans="1:20" ht="11.1" customHeight="1" x14ac:dyDescent="0.25">
      <c r="A869" s="56">
        <v>108546</v>
      </c>
      <c r="B869" s="72">
        <v>46028</v>
      </c>
      <c r="C869" s="68">
        <v>46028</v>
      </c>
      <c r="D869" s="58" t="s">
        <v>1126</v>
      </c>
      <c r="E869" s="59" t="s">
        <v>352</v>
      </c>
      <c r="F869" s="56">
        <v>36</v>
      </c>
      <c r="G869" s="73">
        <v>351</v>
      </c>
      <c r="H869" s="74" t="s">
        <v>1119</v>
      </c>
      <c r="I869" s="59" t="s">
        <v>1120</v>
      </c>
      <c r="J869" s="59" t="s">
        <v>1121</v>
      </c>
      <c r="K869" s="69">
        <v>5403</v>
      </c>
      <c r="L869" s="56">
        <v>207</v>
      </c>
      <c r="M869" s="59" t="s">
        <v>26</v>
      </c>
      <c r="N869" s="61">
        <v>348.43</v>
      </c>
      <c r="O869" s="59" t="s">
        <v>313</v>
      </c>
      <c r="P869" s="62">
        <v>325.64</v>
      </c>
      <c r="Q869" s="63">
        <v>20</v>
      </c>
      <c r="R869" s="62">
        <v>65.13</v>
      </c>
      <c r="S869" s="61">
        <v>0</v>
      </c>
      <c r="T869" s="62">
        <v>22.79</v>
      </c>
    </row>
    <row r="870" spans="1:20" ht="11.1" customHeight="1" x14ac:dyDescent="0.25">
      <c r="O870" s="59" t="s">
        <v>436</v>
      </c>
      <c r="P870" s="62">
        <v>439.61</v>
      </c>
      <c r="Q870" s="63">
        <v>20</v>
      </c>
      <c r="R870" s="62">
        <v>22.79</v>
      </c>
      <c r="S870" s="61">
        <v>0</v>
      </c>
      <c r="T870" s="62">
        <v>0</v>
      </c>
    </row>
    <row r="871" spans="1:20" ht="11.1" customHeight="1" x14ac:dyDescent="0.25">
      <c r="A871" s="56">
        <v>108575</v>
      </c>
      <c r="B871" s="72">
        <v>46029</v>
      </c>
      <c r="C871" s="68">
        <v>46029</v>
      </c>
      <c r="D871" s="58" t="s">
        <v>1127</v>
      </c>
      <c r="E871" s="59" t="s">
        <v>352</v>
      </c>
      <c r="F871" s="56">
        <v>36</v>
      </c>
      <c r="G871" s="73">
        <v>351</v>
      </c>
      <c r="H871" s="74" t="s">
        <v>1119</v>
      </c>
      <c r="I871" s="59" t="s">
        <v>1120</v>
      </c>
      <c r="J871" s="59" t="s">
        <v>1121</v>
      </c>
      <c r="K871" s="69">
        <v>5102</v>
      </c>
      <c r="L871" s="56">
        <v>205</v>
      </c>
      <c r="M871" s="59" t="s">
        <v>26</v>
      </c>
      <c r="N871" s="61">
        <v>110.16</v>
      </c>
      <c r="O871" s="59" t="s">
        <v>313</v>
      </c>
      <c r="P871" s="62">
        <v>110.16</v>
      </c>
      <c r="Q871" s="63">
        <v>20</v>
      </c>
      <c r="R871" s="62">
        <v>22.03</v>
      </c>
      <c r="S871" s="61">
        <v>0</v>
      </c>
      <c r="T871" s="62">
        <v>0</v>
      </c>
    </row>
    <row r="872" spans="1:20" ht="11.1" customHeight="1" x14ac:dyDescent="0.25">
      <c r="A872" s="56">
        <v>108576</v>
      </c>
      <c r="B872" s="72">
        <v>46029</v>
      </c>
      <c r="C872" s="68">
        <v>46029</v>
      </c>
      <c r="D872" s="58" t="s">
        <v>1127</v>
      </c>
      <c r="E872" s="59" t="s">
        <v>352</v>
      </c>
      <c r="F872" s="56">
        <v>36</v>
      </c>
      <c r="G872" s="73">
        <v>351</v>
      </c>
      <c r="H872" s="74" t="s">
        <v>1119</v>
      </c>
      <c r="I872" s="59" t="s">
        <v>1120</v>
      </c>
      <c r="J872" s="59" t="s">
        <v>1121</v>
      </c>
      <c r="K872" s="69">
        <v>5403</v>
      </c>
      <c r="L872" s="56">
        <v>207</v>
      </c>
      <c r="M872" s="59" t="s">
        <v>26</v>
      </c>
      <c r="N872" s="61">
        <v>2768.79</v>
      </c>
      <c r="O872" s="59" t="s">
        <v>313</v>
      </c>
      <c r="P872" s="62">
        <v>2587.66</v>
      </c>
      <c r="Q872" s="63">
        <v>20</v>
      </c>
      <c r="R872" s="62">
        <v>517.54</v>
      </c>
      <c r="S872" s="61">
        <v>0</v>
      </c>
      <c r="T872" s="62">
        <v>181.13</v>
      </c>
    </row>
    <row r="873" spans="1:20" ht="11.1" customHeight="1" x14ac:dyDescent="0.25">
      <c r="O873" s="59" t="s">
        <v>436</v>
      </c>
      <c r="P873" s="62">
        <v>3493.34</v>
      </c>
      <c r="Q873" s="63">
        <v>20</v>
      </c>
      <c r="R873" s="62">
        <v>181.13</v>
      </c>
      <c r="S873" s="61">
        <v>0</v>
      </c>
      <c r="T873" s="62">
        <v>0</v>
      </c>
    </row>
    <row r="874" spans="1:20" ht="11.1" customHeight="1" x14ac:dyDescent="0.25">
      <c r="A874" s="56">
        <v>108585</v>
      </c>
      <c r="B874" s="72">
        <v>46029</v>
      </c>
      <c r="C874" s="68">
        <v>46029</v>
      </c>
      <c r="D874" s="58" t="s">
        <v>1128</v>
      </c>
      <c r="E874" s="59" t="s">
        <v>352</v>
      </c>
      <c r="F874" s="56">
        <v>36</v>
      </c>
      <c r="G874" s="73">
        <v>351</v>
      </c>
      <c r="H874" s="74" t="s">
        <v>1119</v>
      </c>
      <c r="I874" s="59" t="s">
        <v>1120</v>
      </c>
      <c r="J874" s="59" t="s">
        <v>1121</v>
      </c>
      <c r="K874" s="69">
        <v>5102</v>
      </c>
      <c r="L874" s="56">
        <v>205</v>
      </c>
      <c r="M874" s="59" t="s">
        <v>26</v>
      </c>
      <c r="N874" s="61">
        <v>55.08</v>
      </c>
      <c r="O874" s="59" t="s">
        <v>313</v>
      </c>
      <c r="P874" s="62">
        <v>55.08</v>
      </c>
      <c r="Q874" s="63">
        <v>20</v>
      </c>
      <c r="R874" s="62">
        <v>11.02</v>
      </c>
      <c r="S874" s="61">
        <v>0</v>
      </c>
      <c r="T874" s="62">
        <v>0</v>
      </c>
    </row>
    <row r="875" spans="1:20" ht="11.1" customHeight="1" x14ac:dyDescent="0.25">
      <c r="A875" s="56">
        <v>108608</v>
      </c>
      <c r="B875" s="72">
        <v>46029</v>
      </c>
      <c r="C875" s="68">
        <v>46029</v>
      </c>
      <c r="D875" s="58" t="s">
        <v>1129</v>
      </c>
      <c r="E875" s="59" t="s">
        <v>352</v>
      </c>
      <c r="F875" s="56">
        <v>36</v>
      </c>
      <c r="G875" s="73">
        <v>351</v>
      </c>
      <c r="H875" s="74" t="s">
        <v>1119</v>
      </c>
      <c r="I875" s="59" t="s">
        <v>1120</v>
      </c>
      <c r="J875" s="59" t="s">
        <v>1121</v>
      </c>
      <c r="K875" s="69">
        <v>5102</v>
      </c>
      <c r="L875" s="56">
        <v>205</v>
      </c>
      <c r="M875" s="59" t="s">
        <v>26</v>
      </c>
      <c r="N875" s="61">
        <v>548.70000000000005</v>
      </c>
      <c r="O875" s="59" t="s">
        <v>313</v>
      </c>
      <c r="P875" s="62">
        <v>548.70000000000005</v>
      </c>
      <c r="Q875" s="63">
        <v>20</v>
      </c>
      <c r="R875" s="62">
        <v>109.74</v>
      </c>
      <c r="S875" s="61">
        <v>0</v>
      </c>
      <c r="T875" s="62">
        <v>0</v>
      </c>
    </row>
    <row r="876" spans="1:20" ht="11.1" customHeight="1" x14ac:dyDescent="0.25">
      <c r="A876" s="56">
        <v>108610</v>
      </c>
      <c r="B876" s="72">
        <v>46029</v>
      </c>
      <c r="C876" s="68">
        <v>46029</v>
      </c>
      <c r="D876" s="58" t="s">
        <v>1130</v>
      </c>
      <c r="E876" s="59" t="s">
        <v>352</v>
      </c>
      <c r="F876" s="56">
        <v>36</v>
      </c>
      <c r="G876" s="73">
        <v>351</v>
      </c>
      <c r="H876" s="74" t="s">
        <v>1119</v>
      </c>
      <c r="I876" s="59" t="s">
        <v>1120</v>
      </c>
      <c r="J876" s="59" t="s">
        <v>1121</v>
      </c>
      <c r="K876" s="69">
        <v>5403</v>
      </c>
      <c r="L876" s="56">
        <v>207</v>
      </c>
      <c r="M876" s="59" t="s">
        <v>26</v>
      </c>
      <c r="N876" s="61">
        <v>17.8</v>
      </c>
      <c r="O876" s="59" t="s">
        <v>313</v>
      </c>
      <c r="P876" s="62">
        <v>16.64</v>
      </c>
      <c r="Q876" s="63">
        <v>20</v>
      </c>
      <c r="R876" s="62">
        <v>3.33</v>
      </c>
      <c r="S876" s="61">
        <v>0</v>
      </c>
      <c r="T876" s="62">
        <v>1.1599999999999999</v>
      </c>
    </row>
    <row r="877" spans="1:20" ht="11.1" customHeight="1" x14ac:dyDescent="0.25">
      <c r="O877" s="59" t="s">
        <v>436</v>
      </c>
      <c r="P877" s="62">
        <v>22.46</v>
      </c>
      <c r="Q877" s="63">
        <v>20</v>
      </c>
      <c r="R877" s="62">
        <v>1.1599999999999999</v>
      </c>
      <c r="S877" s="61">
        <v>0</v>
      </c>
      <c r="T877" s="62">
        <v>0</v>
      </c>
    </row>
    <row r="878" spans="1:20" ht="11.1" customHeight="1" x14ac:dyDescent="0.25">
      <c r="A878" s="56">
        <v>108637</v>
      </c>
      <c r="B878" s="72">
        <v>46030</v>
      </c>
      <c r="C878" s="68">
        <v>46030</v>
      </c>
      <c r="D878" s="58" t="s">
        <v>1131</v>
      </c>
      <c r="E878" s="59" t="s">
        <v>352</v>
      </c>
      <c r="F878" s="56">
        <v>36</v>
      </c>
      <c r="G878" s="73">
        <v>351</v>
      </c>
      <c r="H878" s="74" t="s">
        <v>1119</v>
      </c>
      <c r="I878" s="59" t="s">
        <v>1120</v>
      </c>
      <c r="J878" s="59" t="s">
        <v>1121</v>
      </c>
      <c r="K878" s="69">
        <v>5102</v>
      </c>
      <c r="L878" s="56">
        <v>205</v>
      </c>
      <c r="M878" s="59" t="s">
        <v>26</v>
      </c>
      <c r="N878" s="61">
        <v>755.46</v>
      </c>
      <c r="O878" s="59" t="s">
        <v>313</v>
      </c>
      <c r="P878" s="62">
        <v>755.46</v>
      </c>
      <c r="Q878" s="63">
        <v>20</v>
      </c>
      <c r="R878" s="62">
        <v>151.1</v>
      </c>
      <c r="S878" s="61">
        <v>0</v>
      </c>
      <c r="T878" s="62">
        <v>0</v>
      </c>
    </row>
    <row r="879" spans="1:20" ht="11.1" customHeight="1" x14ac:dyDescent="0.25">
      <c r="A879" s="56">
        <v>108647</v>
      </c>
      <c r="B879" s="72">
        <v>46030</v>
      </c>
      <c r="C879" s="68">
        <v>46030</v>
      </c>
      <c r="D879" s="58" t="s">
        <v>1132</v>
      </c>
      <c r="E879" s="59" t="s">
        <v>352</v>
      </c>
      <c r="F879" s="56">
        <v>36</v>
      </c>
      <c r="G879" s="73">
        <v>351</v>
      </c>
      <c r="H879" s="74" t="s">
        <v>1119</v>
      </c>
      <c r="I879" s="59" t="s">
        <v>1120</v>
      </c>
      <c r="J879" s="59" t="s">
        <v>1121</v>
      </c>
      <c r="K879" s="69">
        <v>5102</v>
      </c>
      <c r="L879" s="56">
        <v>205</v>
      </c>
      <c r="M879" s="59" t="s">
        <v>26</v>
      </c>
      <c r="N879" s="61">
        <v>980.08</v>
      </c>
      <c r="O879" s="59" t="s">
        <v>313</v>
      </c>
      <c r="P879" s="62">
        <v>980.08</v>
      </c>
      <c r="Q879" s="63">
        <v>20</v>
      </c>
      <c r="R879" s="62">
        <v>196.01</v>
      </c>
      <c r="S879" s="61">
        <v>0</v>
      </c>
      <c r="T879" s="62">
        <v>0</v>
      </c>
    </row>
    <row r="880" spans="1:20" ht="11.1" customHeight="1" x14ac:dyDescent="0.25">
      <c r="A880" s="56">
        <v>108657</v>
      </c>
      <c r="B880" s="72">
        <v>46030</v>
      </c>
      <c r="C880" s="68">
        <v>46030</v>
      </c>
      <c r="D880" s="58" t="s">
        <v>1133</v>
      </c>
      <c r="E880" s="59" t="s">
        <v>352</v>
      </c>
      <c r="F880" s="56">
        <v>36</v>
      </c>
      <c r="G880" s="73">
        <v>351</v>
      </c>
      <c r="H880" s="74" t="s">
        <v>1119</v>
      </c>
      <c r="I880" s="59" t="s">
        <v>1120</v>
      </c>
      <c r="J880" s="59" t="s">
        <v>1121</v>
      </c>
      <c r="K880" s="69">
        <v>5102</v>
      </c>
      <c r="L880" s="56">
        <v>205</v>
      </c>
      <c r="M880" s="59" t="s">
        <v>26</v>
      </c>
      <c r="N880" s="61">
        <v>2939.58</v>
      </c>
      <c r="O880" s="59" t="s">
        <v>313</v>
      </c>
      <c r="P880" s="62">
        <v>2939.58</v>
      </c>
      <c r="Q880" s="63">
        <v>20</v>
      </c>
      <c r="R880" s="62">
        <v>587.91999999999996</v>
      </c>
      <c r="S880" s="61">
        <v>0</v>
      </c>
      <c r="T880" s="62">
        <v>0</v>
      </c>
    </row>
    <row r="881" spans="1:20" ht="11.1" customHeight="1" x14ac:dyDescent="0.25">
      <c r="A881" s="56">
        <v>108658</v>
      </c>
      <c r="B881" s="72">
        <v>46030</v>
      </c>
      <c r="C881" s="68">
        <v>46030</v>
      </c>
      <c r="D881" s="58" t="s">
        <v>1133</v>
      </c>
      <c r="E881" s="59" t="s">
        <v>352</v>
      </c>
      <c r="F881" s="56">
        <v>36</v>
      </c>
      <c r="G881" s="73">
        <v>351</v>
      </c>
      <c r="H881" s="74" t="s">
        <v>1119</v>
      </c>
      <c r="I881" s="59" t="s">
        <v>1120</v>
      </c>
      <c r="J881" s="59" t="s">
        <v>1121</v>
      </c>
      <c r="K881" s="69">
        <v>5403</v>
      </c>
      <c r="L881" s="56">
        <v>207</v>
      </c>
      <c r="M881" s="59" t="s">
        <v>26</v>
      </c>
      <c r="N881" s="61">
        <v>105.8</v>
      </c>
      <c r="O881" s="59" t="s">
        <v>313</v>
      </c>
      <c r="P881" s="62">
        <v>98.88</v>
      </c>
      <c r="Q881" s="63">
        <v>20</v>
      </c>
      <c r="R881" s="62">
        <v>19.78</v>
      </c>
      <c r="S881" s="61">
        <v>0</v>
      </c>
      <c r="T881" s="62">
        <v>6.92</v>
      </c>
    </row>
    <row r="882" spans="1:20" ht="11.1" customHeight="1" x14ac:dyDescent="0.25">
      <c r="O882" s="59" t="s">
        <v>436</v>
      </c>
      <c r="P882" s="62">
        <v>133.49</v>
      </c>
      <c r="Q882" s="63">
        <v>20</v>
      </c>
      <c r="R882" s="62">
        <v>6.92</v>
      </c>
      <c r="S882" s="61">
        <v>0</v>
      </c>
      <c r="T882" s="62">
        <v>0</v>
      </c>
    </row>
    <row r="883" spans="1:20" ht="11.1" customHeight="1" x14ac:dyDescent="0.25">
      <c r="A883" s="56">
        <v>108659</v>
      </c>
      <c r="B883" s="72">
        <v>46030</v>
      </c>
      <c r="C883" s="68">
        <v>46030</v>
      </c>
      <c r="D883" s="58" t="s">
        <v>1134</v>
      </c>
      <c r="E883" s="59" t="s">
        <v>352</v>
      </c>
      <c r="F883" s="56">
        <v>36</v>
      </c>
      <c r="G883" s="73">
        <v>351</v>
      </c>
      <c r="H883" s="74" t="s">
        <v>1119</v>
      </c>
      <c r="I883" s="59" t="s">
        <v>1120</v>
      </c>
      <c r="J883" s="59" t="s">
        <v>1121</v>
      </c>
      <c r="K883" s="69">
        <v>5102</v>
      </c>
      <c r="L883" s="56">
        <v>205</v>
      </c>
      <c r="M883" s="59" t="s">
        <v>26</v>
      </c>
      <c r="N883" s="61">
        <v>158.16</v>
      </c>
      <c r="O883" s="59" t="s">
        <v>313</v>
      </c>
      <c r="P883" s="62">
        <v>158.16</v>
      </c>
      <c r="Q883" s="63">
        <v>20</v>
      </c>
      <c r="R883" s="62">
        <v>31.63</v>
      </c>
      <c r="S883" s="61">
        <v>0</v>
      </c>
      <c r="T883" s="62">
        <v>0</v>
      </c>
    </row>
    <row r="884" spans="1:20" ht="11.1" customHeight="1" x14ac:dyDescent="0.25">
      <c r="A884" s="56">
        <v>108689</v>
      </c>
      <c r="B884" s="72">
        <v>46031</v>
      </c>
      <c r="C884" s="68">
        <v>46031</v>
      </c>
      <c r="D884" s="58" t="s">
        <v>1135</v>
      </c>
      <c r="E884" s="59" t="s">
        <v>352</v>
      </c>
      <c r="F884" s="56">
        <v>36</v>
      </c>
      <c r="G884" s="73">
        <v>351</v>
      </c>
      <c r="H884" s="74" t="s">
        <v>1119</v>
      </c>
      <c r="I884" s="59" t="s">
        <v>1120</v>
      </c>
      <c r="J884" s="59" t="s">
        <v>1121</v>
      </c>
      <c r="K884" s="69">
        <v>5403</v>
      </c>
      <c r="L884" s="56">
        <v>207</v>
      </c>
      <c r="M884" s="59" t="s">
        <v>26</v>
      </c>
      <c r="N884" s="61">
        <v>779.26</v>
      </c>
      <c r="O884" s="59" t="s">
        <v>313</v>
      </c>
      <c r="P884" s="62">
        <v>728.28</v>
      </c>
      <c r="Q884" s="63">
        <v>20</v>
      </c>
      <c r="R884" s="62">
        <v>145.66</v>
      </c>
      <c r="S884" s="61">
        <v>0</v>
      </c>
      <c r="T884" s="62">
        <v>50.98</v>
      </c>
    </row>
    <row r="885" spans="1:20" ht="11.1" customHeight="1" x14ac:dyDescent="0.25">
      <c r="O885" s="59" t="s">
        <v>436</v>
      </c>
      <c r="P885" s="62">
        <v>983.18</v>
      </c>
      <c r="Q885" s="63">
        <v>20</v>
      </c>
      <c r="R885" s="62">
        <v>50.98</v>
      </c>
      <c r="S885" s="61">
        <v>0</v>
      </c>
      <c r="T885" s="62">
        <v>0</v>
      </c>
    </row>
    <row r="886" spans="1:20" ht="11.1" customHeight="1" x14ac:dyDescent="0.25">
      <c r="A886" s="56">
        <v>108694</v>
      </c>
      <c r="B886" s="72">
        <v>46031</v>
      </c>
      <c r="C886" s="68">
        <v>46031</v>
      </c>
      <c r="D886" s="58" t="s">
        <v>1136</v>
      </c>
      <c r="E886" s="59" t="s">
        <v>352</v>
      </c>
      <c r="F886" s="56">
        <v>36</v>
      </c>
      <c r="G886" s="73">
        <v>351</v>
      </c>
      <c r="H886" s="74" t="s">
        <v>1119</v>
      </c>
      <c r="I886" s="59" t="s">
        <v>1120</v>
      </c>
      <c r="J886" s="59" t="s">
        <v>1121</v>
      </c>
      <c r="K886" s="69">
        <v>5102</v>
      </c>
      <c r="L886" s="56">
        <v>205</v>
      </c>
      <c r="M886" s="59" t="s">
        <v>26</v>
      </c>
      <c r="N886" s="61">
        <v>109.95</v>
      </c>
      <c r="O886" s="59" t="s">
        <v>313</v>
      </c>
      <c r="P886" s="62">
        <v>109.95</v>
      </c>
      <c r="Q886" s="63">
        <v>20</v>
      </c>
      <c r="R886" s="62">
        <v>21.99</v>
      </c>
      <c r="S886" s="61">
        <v>0</v>
      </c>
      <c r="T886" s="62">
        <v>0</v>
      </c>
    </row>
    <row r="887" spans="1:20" ht="11.1" customHeight="1" x14ac:dyDescent="0.25">
      <c r="A887" s="56">
        <v>108703</v>
      </c>
      <c r="B887" s="72">
        <v>46031</v>
      </c>
      <c r="C887" s="68">
        <v>46031</v>
      </c>
      <c r="D887" s="58" t="s">
        <v>1137</v>
      </c>
      <c r="E887" s="59" t="s">
        <v>352</v>
      </c>
      <c r="F887" s="56">
        <v>36</v>
      </c>
      <c r="G887" s="73">
        <v>351</v>
      </c>
      <c r="H887" s="74" t="s">
        <v>1119</v>
      </c>
      <c r="I887" s="59" t="s">
        <v>1120</v>
      </c>
      <c r="J887" s="59" t="s">
        <v>1121</v>
      </c>
      <c r="K887" s="69">
        <v>5102</v>
      </c>
      <c r="L887" s="56">
        <v>205</v>
      </c>
      <c r="M887" s="59" t="s">
        <v>26</v>
      </c>
      <c r="N887" s="61">
        <v>661.95</v>
      </c>
      <c r="O887" s="59" t="s">
        <v>313</v>
      </c>
      <c r="P887" s="62">
        <v>661.95</v>
      </c>
      <c r="Q887" s="63">
        <v>20</v>
      </c>
      <c r="R887" s="62">
        <v>132.38999999999999</v>
      </c>
      <c r="S887" s="61">
        <v>0</v>
      </c>
      <c r="T887" s="62">
        <v>0</v>
      </c>
    </row>
    <row r="888" spans="1:20" ht="11.1" customHeight="1" x14ac:dyDescent="0.25">
      <c r="A888" s="56">
        <v>108704</v>
      </c>
      <c r="B888" s="72">
        <v>46031</v>
      </c>
      <c r="C888" s="68">
        <v>46031</v>
      </c>
      <c r="D888" s="58" t="s">
        <v>1137</v>
      </c>
      <c r="E888" s="59" t="s">
        <v>352</v>
      </c>
      <c r="F888" s="56">
        <v>36</v>
      </c>
      <c r="G888" s="73">
        <v>351</v>
      </c>
      <c r="H888" s="74" t="s">
        <v>1119</v>
      </c>
      <c r="I888" s="59" t="s">
        <v>1120</v>
      </c>
      <c r="J888" s="59" t="s">
        <v>1121</v>
      </c>
      <c r="K888" s="69">
        <v>5403</v>
      </c>
      <c r="L888" s="56">
        <v>207</v>
      </c>
      <c r="M888" s="59" t="s">
        <v>26</v>
      </c>
      <c r="N888" s="61">
        <v>852.01</v>
      </c>
      <c r="O888" s="59" t="s">
        <v>313</v>
      </c>
      <c r="P888" s="62">
        <v>796.27</v>
      </c>
      <c r="Q888" s="63">
        <v>20</v>
      </c>
      <c r="R888" s="62">
        <v>159.26</v>
      </c>
      <c r="S888" s="61">
        <v>0</v>
      </c>
      <c r="T888" s="62">
        <v>55.74</v>
      </c>
    </row>
    <row r="889" spans="1:20" ht="11.1" customHeight="1" x14ac:dyDescent="0.25">
      <c r="O889" s="59" t="s">
        <v>436</v>
      </c>
      <c r="P889" s="62">
        <v>1074.97</v>
      </c>
      <c r="Q889" s="63">
        <v>20</v>
      </c>
      <c r="R889" s="62">
        <v>55.74</v>
      </c>
      <c r="S889" s="61">
        <v>0</v>
      </c>
      <c r="T889" s="62">
        <v>0</v>
      </c>
    </row>
    <row r="890" spans="1:20" ht="11.1" customHeight="1" x14ac:dyDescent="0.25">
      <c r="A890" s="56">
        <v>108706</v>
      </c>
      <c r="B890" s="72">
        <v>46031</v>
      </c>
      <c r="C890" s="68">
        <v>46031</v>
      </c>
      <c r="D890" s="58" t="s">
        <v>1138</v>
      </c>
      <c r="E890" s="59" t="s">
        <v>352</v>
      </c>
      <c r="F890" s="56">
        <v>36</v>
      </c>
      <c r="G890" s="73">
        <v>351</v>
      </c>
      <c r="H890" s="74" t="s">
        <v>1119</v>
      </c>
      <c r="I890" s="59" t="s">
        <v>1120</v>
      </c>
      <c r="J890" s="59" t="s">
        <v>1121</v>
      </c>
      <c r="K890" s="69">
        <v>5102</v>
      </c>
      <c r="L890" s="56">
        <v>205</v>
      </c>
      <c r="M890" s="59" t="s">
        <v>26</v>
      </c>
      <c r="N890" s="61">
        <v>119.7</v>
      </c>
      <c r="O890" s="59" t="s">
        <v>313</v>
      </c>
      <c r="P890" s="62">
        <v>119.7</v>
      </c>
      <c r="Q890" s="63">
        <v>20</v>
      </c>
      <c r="R890" s="62">
        <v>23.94</v>
      </c>
      <c r="S890" s="61">
        <v>0</v>
      </c>
      <c r="T890" s="62">
        <v>0</v>
      </c>
    </row>
    <row r="891" spans="1:20" ht="11.1" customHeight="1" x14ac:dyDescent="0.25">
      <c r="A891" s="56">
        <v>108731</v>
      </c>
      <c r="B891" s="72">
        <v>46031</v>
      </c>
      <c r="C891" s="68">
        <v>46031</v>
      </c>
      <c r="D891" s="58" t="s">
        <v>1139</v>
      </c>
      <c r="E891" s="59" t="s">
        <v>352</v>
      </c>
      <c r="F891" s="56">
        <v>36</v>
      </c>
      <c r="G891" s="73">
        <v>351</v>
      </c>
      <c r="H891" s="74" t="s">
        <v>1119</v>
      </c>
      <c r="I891" s="59" t="s">
        <v>1120</v>
      </c>
      <c r="J891" s="59" t="s">
        <v>1121</v>
      </c>
      <c r="K891" s="69">
        <v>5102</v>
      </c>
      <c r="L891" s="56">
        <v>205</v>
      </c>
      <c r="M891" s="59" t="s">
        <v>26</v>
      </c>
      <c r="N891" s="61">
        <v>819.17</v>
      </c>
      <c r="O891" s="59" t="s">
        <v>313</v>
      </c>
      <c r="P891" s="62">
        <v>819.17</v>
      </c>
      <c r="Q891" s="63">
        <v>20</v>
      </c>
      <c r="R891" s="62">
        <v>163.84</v>
      </c>
      <c r="S891" s="61">
        <v>0</v>
      </c>
      <c r="T891" s="62">
        <v>0</v>
      </c>
    </row>
    <row r="892" spans="1:20" ht="11.1" customHeight="1" x14ac:dyDescent="0.25">
      <c r="A892" s="56">
        <v>108732</v>
      </c>
      <c r="B892" s="72">
        <v>46031</v>
      </c>
      <c r="C892" s="68">
        <v>46031</v>
      </c>
      <c r="D892" s="58" t="s">
        <v>1139</v>
      </c>
      <c r="E892" s="59" t="s">
        <v>352</v>
      </c>
      <c r="F892" s="56">
        <v>36</v>
      </c>
      <c r="G892" s="73">
        <v>351</v>
      </c>
      <c r="H892" s="74" t="s">
        <v>1119</v>
      </c>
      <c r="I892" s="59" t="s">
        <v>1120</v>
      </c>
      <c r="J892" s="59" t="s">
        <v>1121</v>
      </c>
      <c r="K892" s="69">
        <v>5403</v>
      </c>
      <c r="L892" s="56">
        <v>207</v>
      </c>
      <c r="M892" s="59" t="s">
        <v>26</v>
      </c>
      <c r="N892" s="61">
        <v>366.84</v>
      </c>
      <c r="O892" s="59" t="s">
        <v>313</v>
      </c>
      <c r="P892" s="62">
        <v>342.84</v>
      </c>
      <c r="Q892" s="63">
        <v>20</v>
      </c>
      <c r="R892" s="62">
        <v>68.569999999999993</v>
      </c>
      <c r="S892" s="61">
        <v>0</v>
      </c>
      <c r="T892" s="62">
        <v>24</v>
      </c>
    </row>
    <row r="893" spans="1:20" ht="11.1" customHeight="1" x14ac:dyDescent="0.25">
      <c r="O893" s="59" t="s">
        <v>436</v>
      </c>
      <c r="P893" s="62">
        <v>462.83</v>
      </c>
      <c r="Q893" s="63">
        <v>20</v>
      </c>
      <c r="R893" s="62">
        <v>24</v>
      </c>
      <c r="S893" s="61">
        <v>0</v>
      </c>
      <c r="T893" s="62">
        <v>0</v>
      </c>
    </row>
    <row r="894" spans="1:20" ht="11.1" customHeight="1" x14ac:dyDescent="0.25">
      <c r="A894" s="56">
        <v>108738</v>
      </c>
      <c r="B894" s="72">
        <v>46031</v>
      </c>
      <c r="C894" s="68">
        <v>46031</v>
      </c>
      <c r="D894" s="58" t="s">
        <v>1140</v>
      </c>
      <c r="E894" s="59" t="s">
        <v>352</v>
      </c>
      <c r="F894" s="56">
        <v>36</v>
      </c>
      <c r="G894" s="73">
        <v>351</v>
      </c>
      <c r="H894" s="74" t="s">
        <v>1119</v>
      </c>
      <c r="I894" s="59" t="s">
        <v>1120</v>
      </c>
      <c r="J894" s="59" t="s">
        <v>1121</v>
      </c>
      <c r="K894" s="69">
        <v>5102</v>
      </c>
      <c r="L894" s="56">
        <v>205</v>
      </c>
      <c r="M894" s="59" t="s">
        <v>26</v>
      </c>
      <c r="N894" s="61">
        <v>610.70000000000005</v>
      </c>
      <c r="O894" s="59" t="s">
        <v>313</v>
      </c>
      <c r="P894" s="62">
        <v>610.70000000000005</v>
      </c>
      <c r="Q894" s="63">
        <v>20</v>
      </c>
      <c r="R894" s="62">
        <v>122.14</v>
      </c>
      <c r="S894" s="61">
        <v>0</v>
      </c>
      <c r="T894" s="62">
        <v>0</v>
      </c>
    </row>
    <row r="895" spans="1:20" ht="11.1" customHeight="1" x14ac:dyDescent="0.25">
      <c r="A895" s="56">
        <v>108786</v>
      </c>
      <c r="B895" s="72">
        <v>46034</v>
      </c>
      <c r="C895" s="68">
        <v>46034</v>
      </c>
      <c r="D895" s="58" t="s">
        <v>1141</v>
      </c>
      <c r="E895" s="59" t="s">
        <v>352</v>
      </c>
      <c r="F895" s="56">
        <v>36</v>
      </c>
      <c r="G895" s="73">
        <v>351</v>
      </c>
      <c r="H895" s="74" t="s">
        <v>1119</v>
      </c>
      <c r="I895" s="59" t="s">
        <v>1120</v>
      </c>
      <c r="J895" s="59" t="s">
        <v>1121</v>
      </c>
      <c r="K895" s="69">
        <v>5102</v>
      </c>
      <c r="L895" s="56">
        <v>205</v>
      </c>
      <c r="M895" s="59" t="s">
        <v>26</v>
      </c>
      <c r="N895" s="61">
        <v>116</v>
      </c>
      <c r="O895" s="59" t="s">
        <v>313</v>
      </c>
      <c r="P895" s="62">
        <v>116</v>
      </c>
      <c r="Q895" s="63">
        <v>20</v>
      </c>
      <c r="R895" s="62">
        <v>23.2</v>
      </c>
      <c r="S895" s="61">
        <v>0</v>
      </c>
      <c r="T895" s="62">
        <v>0</v>
      </c>
    </row>
    <row r="896" spans="1:20" ht="11.1" customHeight="1" x14ac:dyDescent="0.25">
      <c r="A896" s="56">
        <v>108794</v>
      </c>
      <c r="B896" s="72">
        <v>46034</v>
      </c>
      <c r="C896" s="68">
        <v>46034</v>
      </c>
      <c r="D896" s="58" t="s">
        <v>1142</v>
      </c>
      <c r="E896" s="59" t="s">
        <v>352</v>
      </c>
      <c r="F896" s="56">
        <v>36</v>
      </c>
      <c r="G896" s="73">
        <v>351</v>
      </c>
      <c r="H896" s="74" t="s">
        <v>1119</v>
      </c>
      <c r="I896" s="59" t="s">
        <v>1120</v>
      </c>
      <c r="J896" s="59" t="s">
        <v>1121</v>
      </c>
      <c r="K896" s="69">
        <v>5102</v>
      </c>
      <c r="L896" s="56">
        <v>205</v>
      </c>
      <c r="M896" s="59" t="s">
        <v>26</v>
      </c>
      <c r="N896" s="61">
        <v>605.28</v>
      </c>
      <c r="O896" s="59" t="s">
        <v>313</v>
      </c>
      <c r="P896" s="62">
        <v>605.28</v>
      </c>
      <c r="Q896" s="63">
        <v>20</v>
      </c>
      <c r="R896" s="62">
        <v>121.05</v>
      </c>
      <c r="S896" s="61">
        <v>0</v>
      </c>
      <c r="T896" s="62">
        <v>0</v>
      </c>
    </row>
    <row r="897" spans="1:20" ht="11.1" customHeight="1" x14ac:dyDescent="0.25">
      <c r="A897" s="56">
        <v>108806</v>
      </c>
      <c r="B897" s="72">
        <v>46034</v>
      </c>
      <c r="C897" s="68">
        <v>46034</v>
      </c>
      <c r="D897" s="58" t="s">
        <v>1143</v>
      </c>
      <c r="E897" s="59" t="s">
        <v>352</v>
      </c>
      <c r="F897" s="56">
        <v>36</v>
      </c>
      <c r="G897" s="73">
        <v>351</v>
      </c>
      <c r="H897" s="74" t="s">
        <v>1119</v>
      </c>
      <c r="I897" s="59" t="s">
        <v>1120</v>
      </c>
      <c r="J897" s="59" t="s">
        <v>1121</v>
      </c>
      <c r="K897" s="69">
        <v>5102</v>
      </c>
      <c r="L897" s="56">
        <v>205</v>
      </c>
      <c r="M897" s="59" t="s">
        <v>26</v>
      </c>
      <c r="N897" s="61">
        <v>19350.36</v>
      </c>
      <c r="O897" s="59" t="s">
        <v>313</v>
      </c>
      <c r="P897" s="62">
        <v>19350.36</v>
      </c>
      <c r="Q897" s="63">
        <v>20</v>
      </c>
      <c r="R897" s="62">
        <v>3870.04</v>
      </c>
      <c r="S897" s="61">
        <v>0</v>
      </c>
      <c r="T897" s="62">
        <v>0</v>
      </c>
    </row>
    <row r="898" spans="1:20" ht="11.1" customHeight="1" x14ac:dyDescent="0.25">
      <c r="A898" s="56">
        <v>108807</v>
      </c>
      <c r="B898" s="72">
        <v>46034</v>
      </c>
      <c r="C898" s="68">
        <v>46034</v>
      </c>
      <c r="D898" s="58" t="s">
        <v>1143</v>
      </c>
      <c r="E898" s="59" t="s">
        <v>352</v>
      </c>
      <c r="F898" s="56">
        <v>36</v>
      </c>
      <c r="G898" s="73">
        <v>351</v>
      </c>
      <c r="H898" s="74" t="s">
        <v>1119</v>
      </c>
      <c r="I898" s="59" t="s">
        <v>1120</v>
      </c>
      <c r="J898" s="59" t="s">
        <v>1121</v>
      </c>
      <c r="K898" s="69">
        <v>5405</v>
      </c>
      <c r="L898" s="56">
        <v>206</v>
      </c>
      <c r="M898" s="59" t="s">
        <v>26</v>
      </c>
      <c r="N898" s="61">
        <v>69.48</v>
      </c>
      <c r="O898" s="59" t="s">
        <v>313</v>
      </c>
      <c r="P898" s="62">
        <v>0</v>
      </c>
      <c r="Q898" s="63">
        <v>0</v>
      </c>
      <c r="R898" s="62">
        <v>0</v>
      </c>
      <c r="S898" s="61">
        <v>0</v>
      </c>
      <c r="T898" s="62">
        <v>69.48</v>
      </c>
    </row>
    <row r="899" spans="1:20" ht="11.1" customHeight="1" x14ac:dyDescent="0.25">
      <c r="A899" s="56">
        <v>108808</v>
      </c>
      <c r="B899" s="72">
        <v>46034</v>
      </c>
      <c r="C899" s="68">
        <v>46034</v>
      </c>
      <c r="D899" s="58" t="s">
        <v>1143</v>
      </c>
      <c r="E899" s="59" t="s">
        <v>352</v>
      </c>
      <c r="F899" s="56">
        <v>36</v>
      </c>
      <c r="G899" s="73">
        <v>351</v>
      </c>
      <c r="H899" s="74" t="s">
        <v>1119</v>
      </c>
      <c r="I899" s="59" t="s">
        <v>1120</v>
      </c>
      <c r="J899" s="59" t="s">
        <v>1121</v>
      </c>
      <c r="K899" s="69">
        <v>5403</v>
      </c>
      <c r="L899" s="56">
        <v>207</v>
      </c>
      <c r="M899" s="59" t="s">
        <v>26</v>
      </c>
      <c r="N899" s="61">
        <v>17624.8</v>
      </c>
      <c r="O899" s="59" t="s">
        <v>313</v>
      </c>
      <c r="P899" s="62">
        <v>16471.810000000001</v>
      </c>
      <c r="Q899" s="63">
        <v>20</v>
      </c>
      <c r="R899" s="62">
        <v>3294.38</v>
      </c>
      <c r="S899" s="61">
        <v>0</v>
      </c>
      <c r="T899" s="62">
        <v>1152.99</v>
      </c>
    </row>
    <row r="900" spans="1:20" ht="11.1" customHeight="1" x14ac:dyDescent="0.25">
      <c r="O900" s="59" t="s">
        <v>436</v>
      </c>
      <c r="P900" s="62">
        <v>22236.99</v>
      </c>
      <c r="Q900" s="63">
        <v>20</v>
      </c>
      <c r="R900" s="62">
        <v>1152.99</v>
      </c>
      <c r="S900" s="61">
        <v>0</v>
      </c>
      <c r="T900" s="62">
        <v>0</v>
      </c>
    </row>
    <row r="901" spans="1:20" ht="11.1" customHeight="1" x14ac:dyDescent="0.25">
      <c r="A901" s="56">
        <v>108846</v>
      </c>
      <c r="B901" s="72">
        <v>46035</v>
      </c>
      <c r="C901" s="68">
        <v>46035</v>
      </c>
      <c r="D901" s="58" t="s">
        <v>1144</v>
      </c>
      <c r="E901" s="59" t="s">
        <v>352</v>
      </c>
      <c r="F901" s="56">
        <v>36</v>
      </c>
      <c r="G901" s="73">
        <v>351</v>
      </c>
      <c r="H901" s="74" t="s">
        <v>1119</v>
      </c>
      <c r="I901" s="59" t="s">
        <v>1120</v>
      </c>
      <c r="J901" s="59" t="s">
        <v>1121</v>
      </c>
      <c r="K901" s="69">
        <v>5102</v>
      </c>
      <c r="L901" s="56">
        <v>205</v>
      </c>
      <c r="M901" s="59" t="s">
        <v>26</v>
      </c>
      <c r="N901" s="61">
        <v>68.37</v>
      </c>
      <c r="O901" s="59" t="s">
        <v>313</v>
      </c>
      <c r="P901" s="62">
        <v>68.37</v>
      </c>
      <c r="Q901" s="63">
        <v>20</v>
      </c>
      <c r="R901" s="62">
        <v>13.67</v>
      </c>
      <c r="S901" s="61">
        <v>0</v>
      </c>
      <c r="T901" s="62">
        <v>0</v>
      </c>
    </row>
    <row r="902" spans="1:20" ht="11.1" customHeight="1" x14ac:dyDescent="0.25">
      <c r="A902" s="56">
        <v>108847</v>
      </c>
      <c r="B902" s="72">
        <v>46035</v>
      </c>
      <c r="C902" s="68">
        <v>46035</v>
      </c>
      <c r="D902" s="58" t="s">
        <v>1145</v>
      </c>
      <c r="E902" s="59" t="s">
        <v>352</v>
      </c>
      <c r="F902" s="56">
        <v>36</v>
      </c>
      <c r="G902" s="73">
        <v>351</v>
      </c>
      <c r="H902" s="74" t="s">
        <v>1119</v>
      </c>
      <c r="I902" s="59" t="s">
        <v>1120</v>
      </c>
      <c r="J902" s="59" t="s">
        <v>1121</v>
      </c>
      <c r="K902" s="69">
        <v>5102</v>
      </c>
      <c r="L902" s="56">
        <v>205</v>
      </c>
      <c r="M902" s="59" t="s">
        <v>26</v>
      </c>
      <c r="N902" s="61">
        <v>1813.68</v>
      </c>
      <c r="O902" s="59" t="s">
        <v>313</v>
      </c>
      <c r="P902" s="62">
        <v>1813.68</v>
      </c>
      <c r="Q902" s="63">
        <v>20</v>
      </c>
      <c r="R902" s="62">
        <v>362.74</v>
      </c>
      <c r="S902" s="61">
        <v>0</v>
      </c>
      <c r="T902" s="62">
        <v>0</v>
      </c>
    </row>
    <row r="903" spans="1:20" ht="11.1" customHeight="1" x14ac:dyDescent="0.25">
      <c r="A903" s="56">
        <v>108850</v>
      </c>
      <c r="B903" s="72">
        <v>46035</v>
      </c>
      <c r="C903" s="68">
        <v>46035</v>
      </c>
      <c r="D903" s="58" t="s">
        <v>1146</v>
      </c>
      <c r="E903" s="59" t="s">
        <v>352</v>
      </c>
      <c r="F903" s="56">
        <v>36</v>
      </c>
      <c r="G903" s="73">
        <v>351</v>
      </c>
      <c r="H903" s="74" t="s">
        <v>1119</v>
      </c>
      <c r="I903" s="59" t="s">
        <v>1120</v>
      </c>
      <c r="J903" s="59" t="s">
        <v>1121</v>
      </c>
      <c r="K903" s="69">
        <v>5102</v>
      </c>
      <c r="L903" s="56">
        <v>205</v>
      </c>
      <c r="M903" s="59" t="s">
        <v>26</v>
      </c>
      <c r="N903" s="61">
        <v>336.17</v>
      </c>
      <c r="O903" s="59" t="s">
        <v>313</v>
      </c>
      <c r="P903" s="62">
        <v>336.17</v>
      </c>
      <c r="Q903" s="63">
        <v>20</v>
      </c>
      <c r="R903" s="62">
        <v>67.239999999999995</v>
      </c>
      <c r="S903" s="61">
        <v>0</v>
      </c>
      <c r="T903" s="62">
        <v>0</v>
      </c>
    </row>
    <row r="904" spans="1:20" ht="11.1" customHeight="1" x14ac:dyDescent="0.25">
      <c r="A904" s="56">
        <v>108851</v>
      </c>
      <c r="B904" s="72">
        <v>46035</v>
      </c>
      <c r="C904" s="68">
        <v>46035</v>
      </c>
      <c r="D904" s="58" t="s">
        <v>1146</v>
      </c>
      <c r="E904" s="59" t="s">
        <v>352</v>
      </c>
      <c r="F904" s="56">
        <v>36</v>
      </c>
      <c r="G904" s="73">
        <v>351</v>
      </c>
      <c r="H904" s="74" t="s">
        <v>1119</v>
      </c>
      <c r="I904" s="59" t="s">
        <v>1120</v>
      </c>
      <c r="J904" s="59" t="s">
        <v>1121</v>
      </c>
      <c r="K904" s="69">
        <v>5403</v>
      </c>
      <c r="L904" s="56">
        <v>207</v>
      </c>
      <c r="M904" s="59" t="s">
        <v>26</v>
      </c>
      <c r="N904" s="61">
        <v>255.85</v>
      </c>
      <c r="O904" s="59" t="s">
        <v>313</v>
      </c>
      <c r="P904" s="62">
        <v>239.11</v>
      </c>
      <c r="Q904" s="63">
        <v>20</v>
      </c>
      <c r="R904" s="62">
        <v>47.82</v>
      </c>
      <c r="S904" s="61">
        <v>0</v>
      </c>
      <c r="T904" s="62">
        <v>16.739999999999998</v>
      </c>
    </row>
    <row r="905" spans="1:20" ht="11.1" customHeight="1" x14ac:dyDescent="0.25">
      <c r="O905" s="59" t="s">
        <v>436</v>
      </c>
      <c r="P905" s="62">
        <v>322.79000000000002</v>
      </c>
      <c r="Q905" s="63">
        <v>20</v>
      </c>
      <c r="R905" s="62">
        <v>16.739999999999998</v>
      </c>
      <c r="S905" s="61">
        <v>0</v>
      </c>
      <c r="T905" s="62">
        <v>0</v>
      </c>
    </row>
    <row r="906" spans="1:20" ht="11.1" customHeight="1" x14ac:dyDescent="0.25">
      <c r="A906" s="56">
        <v>108882</v>
      </c>
      <c r="B906" s="72">
        <v>46035</v>
      </c>
      <c r="C906" s="68">
        <v>46035</v>
      </c>
      <c r="D906" s="58" t="s">
        <v>1147</v>
      </c>
      <c r="E906" s="59" t="s">
        <v>352</v>
      </c>
      <c r="F906" s="56">
        <v>36</v>
      </c>
      <c r="G906" s="73">
        <v>351</v>
      </c>
      <c r="H906" s="74" t="s">
        <v>1119</v>
      </c>
      <c r="I906" s="59" t="s">
        <v>1120</v>
      </c>
      <c r="J906" s="59" t="s">
        <v>1121</v>
      </c>
      <c r="K906" s="69">
        <v>5403</v>
      </c>
      <c r="L906" s="56">
        <v>207</v>
      </c>
      <c r="M906" s="59" t="s">
        <v>26</v>
      </c>
      <c r="N906" s="61">
        <v>143.35</v>
      </c>
      <c r="O906" s="59" t="s">
        <v>313</v>
      </c>
      <c r="P906" s="62">
        <v>133.97999999999999</v>
      </c>
      <c r="Q906" s="63">
        <v>20</v>
      </c>
      <c r="R906" s="62">
        <v>26.8</v>
      </c>
      <c r="S906" s="61">
        <v>0</v>
      </c>
      <c r="T906" s="62">
        <v>9.3699999999999992</v>
      </c>
    </row>
    <row r="907" spans="1:20" ht="11.1" customHeight="1" x14ac:dyDescent="0.25">
      <c r="O907" s="59" t="s">
        <v>436</v>
      </c>
      <c r="P907" s="62">
        <v>180.87</v>
      </c>
      <c r="Q907" s="63">
        <v>20</v>
      </c>
      <c r="R907" s="62">
        <v>9.3699999999999992</v>
      </c>
      <c r="S907" s="61">
        <v>0</v>
      </c>
      <c r="T907" s="62">
        <v>0</v>
      </c>
    </row>
    <row r="908" spans="1:20" ht="11.1" customHeight="1" x14ac:dyDescent="0.25">
      <c r="A908" s="56">
        <v>108898</v>
      </c>
      <c r="B908" s="72">
        <v>46036</v>
      </c>
      <c r="C908" s="68">
        <v>46036</v>
      </c>
      <c r="D908" s="58" t="s">
        <v>1148</v>
      </c>
      <c r="E908" s="59" t="s">
        <v>352</v>
      </c>
      <c r="F908" s="56">
        <v>36</v>
      </c>
      <c r="G908" s="73">
        <v>351</v>
      </c>
      <c r="H908" s="74" t="s">
        <v>1119</v>
      </c>
      <c r="I908" s="59" t="s">
        <v>1120</v>
      </c>
      <c r="J908" s="59" t="s">
        <v>1121</v>
      </c>
      <c r="K908" s="69">
        <v>5102</v>
      </c>
      <c r="L908" s="56">
        <v>205</v>
      </c>
      <c r="M908" s="59" t="s">
        <v>26</v>
      </c>
      <c r="N908" s="61">
        <v>51.96</v>
      </c>
      <c r="O908" s="59" t="s">
        <v>313</v>
      </c>
      <c r="P908" s="62">
        <v>51.96</v>
      </c>
      <c r="Q908" s="63">
        <v>20</v>
      </c>
      <c r="R908" s="62">
        <v>10.39</v>
      </c>
      <c r="S908" s="61">
        <v>0</v>
      </c>
      <c r="T908" s="62">
        <v>0</v>
      </c>
    </row>
    <row r="909" spans="1:20" ht="11.1" customHeight="1" x14ac:dyDescent="0.25">
      <c r="A909" s="56">
        <v>108969</v>
      </c>
      <c r="B909" s="72">
        <v>46037</v>
      </c>
      <c r="C909" s="68">
        <v>46037</v>
      </c>
      <c r="D909" s="58" t="s">
        <v>1149</v>
      </c>
      <c r="E909" s="59" t="s">
        <v>352</v>
      </c>
      <c r="F909" s="56">
        <v>36</v>
      </c>
      <c r="G909" s="73">
        <v>351</v>
      </c>
      <c r="H909" s="74" t="s">
        <v>1119</v>
      </c>
      <c r="I909" s="59" t="s">
        <v>1120</v>
      </c>
      <c r="J909" s="59" t="s">
        <v>1121</v>
      </c>
      <c r="K909" s="69">
        <v>5102</v>
      </c>
      <c r="L909" s="56">
        <v>205</v>
      </c>
      <c r="M909" s="59" t="s">
        <v>26</v>
      </c>
      <c r="N909" s="61">
        <v>170.04</v>
      </c>
      <c r="O909" s="59" t="s">
        <v>313</v>
      </c>
      <c r="P909" s="62">
        <v>170.04</v>
      </c>
      <c r="Q909" s="63">
        <v>20</v>
      </c>
      <c r="R909" s="62">
        <v>34</v>
      </c>
      <c r="S909" s="61">
        <v>0</v>
      </c>
      <c r="T909" s="62">
        <v>0</v>
      </c>
    </row>
    <row r="910" spans="1:20" ht="11.1" customHeight="1" x14ac:dyDescent="0.25">
      <c r="A910" s="56">
        <v>108983</v>
      </c>
      <c r="B910" s="72">
        <v>46037</v>
      </c>
      <c r="C910" s="68">
        <v>46037</v>
      </c>
      <c r="D910" s="58" t="s">
        <v>1150</v>
      </c>
      <c r="E910" s="59" t="s">
        <v>352</v>
      </c>
      <c r="F910" s="56">
        <v>36</v>
      </c>
      <c r="G910" s="73">
        <v>351</v>
      </c>
      <c r="H910" s="74" t="s">
        <v>1119</v>
      </c>
      <c r="I910" s="59" t="s">
        <v>1120</v>
      </c>
      <c r="J910" s="59" t="s">
        <v>1121</v>
      </c>
      <c r="K910" s="69">
        <v>5102</v>
      </c>
      <c r="L910" s="56">
        <v>205</v>
      </c>
      <c r="M910" s="59" t="s">
        <v>26</v>
      </c>
      <c r="N910" s="61">
        <v>273.45999999999998</v>
      </c>
      <c r="O910" s="59" t="s">
        <v>313</v>
      </c>
      <c r="P910" s="62">
        <v>273.45999999999998</v>
      </c>
      <c r="Q910" s="63">
        <v>20</v>
      </c>
      <c r="R910" s="62">
        <v>54.69</v>
      </c>
      <c r="S910" s="61">
        <v>0</v>
      </c>
      <c r="T910" s="62">
        <v>0</v>
      </c>
    </row>
    <row r="911" spans="1:20" ht="11.1" customHeight="1" x14ac:dyDescent="0.25">
      <c r="A911" s="56">
        <v>109052</v>
      </c>
      <c r="B911" s="72">
        <v>46038</v>
      </c>
      <c r="C911" s="68">
        <v>46038</v>
      </c>
      <c r="D911" s="58" t="s">
        <v>1151</v>
      </c>
      <c r="E911" s="59" t="s">
        <v>352</v>
      </c>
      <c r="F911" s="56">
        <v>36</v>
      </c>
      <c r="G911" s="73">
        <v>351</v>
      </c>
      <c r="H911" s="74" t="s">
        <v>1119</v>
      </c>
      <c r="I911" s="59" t="s">
        <v>1120</v>
      </c>
      <c r="J911" s="59" t="s">
        <v>1121</v>
      </c>
      <c r="K911" s="69">
        <v>5102</v>
      </c>
      <c r="L911" s="56">
        <v>205</v>
      </c>
      <c r="M911" s="59" t="s">
        <v>26</v>
      </c>
      <c r="N911" s="61">
        <v>463.14</v>
      </c>
      <c r="O911" s="59" t="s">
        <v>313</v>
      </c>
      <c r="P911" s="62">
        <v>463.14</v>
      </c>
      <c r="Q911" s="63">
        <v>20</v>
      </c>
      <c r="R911" s="62">
        <v>92.63</v>
      </c>
      <c r="S911" s="61">
        <v>0</v>
      </c>
      <c r="T911" s="62">
        <v>0</v>
      </c>
    </row>
    <row r="912" spans="1:20" ht="11.1" customHeight="1" x14ac:dyDescent="0.25">
      <c r="A912" s="56">
        <v>109069</v>
      </c>
      <c r="B912" s="72">
        <v>46038</v>
      </c>
      <c r="C912" s="68">
        <v>46038</v>
      </c>
      <c r="D912" s="58" t="s">
        <v>1152</v>
      </c>
      <c r="E912" s="59" t="s">
        <v>352</v>
      </c>
      <c r="F912" s="56">
        <v>36</v>
      </c>
      <c r="G912" s="73">
        <v>351</v>
      </c>
      <c r="H912" s="74" t="s">
        <v>1119</v>
      </c>
      <c r="I912" s="59" t="s">
        <v>1120</v>
      </c>
      <c r="J912" s="59" t="s">
        <v>1121</v>
      </c>
      <c r="K912" s="69">
        <v>5102</v>
      </c>
      <c r="L912" s="56">
        <v>205</v>
      </c>
      <c r="M912" s="59" t="s">
        <v>26</v>
      </c>
      <c r="N912" s="61">
        <v>719.04</v>
      </c>
      <c r="O912" s="59" t="s">
        <v>313</v>
      </c>
      <c r="P912" s="62">
        <v>719.04</v>
      </c>
      <c r="Q912" s="63">
        <v>20</v>
      </c>
      <c r="R912" s="62">
        <v>143.81</v>
      </c>
      <c r="S912" s="61">
        <v>0</v>
      </c>
      <c r="T912" s="62">
        <v>0</v>
      </c>
    </row>
    <row r="913" spans="1:20" ht="11.1" customHeight="1" x14ac:dyDescent="0.25">
      <c r="A913" s="56">
        <v>109070</v>
      </c>
      <c r="B913" s="72">
        <v>46038</v>
      </c>
      <c r="C913" s="68">
        <v>46038</v>
      </c>
      <c r="D913" s="58" t="s">
        <v>1152</v>
      </c>
      <c r="E913" s="59" t="s">
        <v>352</v>
      </c>
      <c r="F913" s="56">
        <v>36</v>
      </c>
      <c r="G913" s="73">
        <v>351</v>
      </c>
      <c r="H913" s="74" t="s">
        <v>1119</v>
      </c>
      <c r="I913" s="59" t="s">
        <v>1120</v>
      </c>
      <c r="J913" s="59" t="s">
        <v>1121</v>
      </c>
      <c r="K913" s="69">
        <v>5403</v>
      </c>
      <c r="L913" s="56">
        <v>207</v>
      </c>
      <c r="M913" s="59" t="s">
        <v>26</v>
      </c>
      <c r="N913" s="61">
        <v>45.33</v>
      </c>
      <c r="O913" s="59" t="s">
        <v>313</v>
      </c>
      <c r="P913" s="62">
        <v>42.36</v>
      </c>
      <c r="Q913" s="63">
        <v>20</v>
      </c>
      <c r="R913" s="62">
        <v>8.4700000000000006</v>
      </c>
      <c r="S913" s="61">
        <v>0</v>
      </c>
      <c r="T913" s="62">
        <v>2.97</v>
      </c>
    </row>
    <row r="914" spans="1:20" ht="11.1" customHeight="1" x14ac:dyDescent="0.25">
      <c r="O914" s="59" t="s">
        <v>436</v>
      </c>
      <c r="P914" s="62">
        <v>57.19</v>
      </c>
      <c r="Q914" s="63">
        <v>20</v>
      </c>
      <c r="R914" s="62">
        <v>2.97</v>
      </c>
      <c r="S914" s="61">
        <v>0</v>
      </c>
      <c r="T914" s="62">
        <v>0</v>
      </c>
    </row>
    <row r="915" spans="1:20" ht="11.1" customHeight="1" x14ac:dyDescent="0.25">
      <c r="A915" s="56">
        <v>109103</v>
      </c>
      <c r="B915" s="72">
        <v>46041</v>
      </c>
      <c r="C915" s="68">
        <v>46041</v>
      </c>
      <c r="D915" s="58" t="s">
        <v>1153</v>
      </c>
      <c r="E915" s="59" t="s">
        <v>352</v>
      </c>
      <c r="F915" s="56">
        <v>36</v>
      </c>
      <c r="G915" s="73">
        <v>351</v>
      </c>
      <c r="H915" s="74" t="s">
        <v>1119</v>
      </c>
      <c r="I915" s="59" t="s">
        <v>1120</v>
      </c>
      <c r="J915" s="59" t="s">
        <v>1121</v>
      </c>
      <c r="K915" s="69">
        <v>5102</v>
      </c>
      <c r="L915" s="56">
        <v>205</v>
      </c>
      <c r="M915" s="59" t="s">
        <v>26</v>
      </c>
      <c r="N915" s="61">
        <v>214.4</v>
      </c>
      <c r="O915" s="59" t="s">
        <v>313</v>
      </c>
      <c r="P915" s="62">
        <v>214.4</v>
      </c>
      <c r="Q915" s="63">
        <v>20</v>
      </c>
      <c r="R915" s="62">
        <v>42.88</v>
      </c>
      <c r="S915" s="61">
        <v>0</v>
      </c>
      <c r="T915" s="62">
        <v>0</v>
      </c>
    </row>
    <row r="916" spans="1:20" ht="11.1" customHeight="1" x14ac:dyDescent="0.25">
      <c r="A916" s="56">
        <v>109104</v>
      </c>
      <c r="B916" s="72">
        <v>46041</v>
      </c>
      <c r="C916" s="68">
        <v>46041</v>
      </c>
      <c r="D916" s="58" t="s">
        <v>1154</v>
      </c>
      <c r="E916" s="59" t="s">
        <v>352</v>
      </c>
      <c r="F916" s="56">
        <v>36</v>
      </c>
      <c r="G916" s="73">
        <v>351</v>
      </c>
      <c r="H916" s="74" t="s">
        <v>1119</v>
      </c>
      <c r="I916" s="59" t="s">
        <v>1120</v>
      </c>
      <c r="J916" s="59" t="s">
        <v>1121</v>
      </c>
      <c r="K916" s="69">
        <v>5403</v>
      </c>
      <c r="L916" s="56">
        <v>207</v>
      </c>
      <c r="M916" s="59" t="s">
        <v>26</v>
      </c>
      <c r="N916" s="61">
        <v>573.69000000000005</v>
      </c>
      <c r="O916" s="59" t="s">
        <v>313</v>
      </c>
      <c r="P916" s="62">
        <v>536.16</v>
      </c>
      <c r="Q916" s="63">
        <v>20</v>
      </c>
      <c r="R916" s="62">
        <v>107.23</v>
      </c>
      <c r="S916" s="61">
        <v>0</v>
      </c>
      <c r="T916" s="62">
        <v>37.53</v>
      </c>
    </row>
    <row r="917" spans="1:20" ht="11.1" customHeight="1" x14ac:dyDescent="0.25">
      <c r="O917" s="59" t="s">
        <v>436</v>
      </c>
      <c r="P917" s="62">
        <v>723.82</v>
      </c>
      <c r="Q917" s="63">
        <v>20</v>
      </c>
      <c r="R917" s="62">
        <v>37.53</v>
      </c>
      <c r="S917" s="61">
        <v>0</v>
      </c>
      <c r="T917" s="62">
        <v>0</v>
      </c>
    </row>
    <row r="918" spans="1:20" ht="11.1" customHeight="1" x14ac:dyDescent="0.25">
      <c r="A918" s="56">
        <v>109105</v>
      </c>
      <c r="B918" s="72">
        <v>46041</v>
      </c>
      <c r="C918" s="68">
        <v>46041</v>
      </c>
      <c r="D918" s="58" t="s">
        <v>1155</v>
      </c>
      <c r="E918" s="59" t="s">
        <v>352</v>
      </c>
      <c r="F918" s="56">
        <v>36</v>
      </c>
      <c r="G918" s="73">
        <v>351</v>
      </c>
      <c r="H918" s="74" t="s">
        <v>1119</v>
      </c>
      <c r="I918" s="59" t="s">
        <v>1120</v>
      </c>
      <c r="J918" s="59" t="s">
        <v>1121</v>
      </c>
      <c r="K918" s="69">
        <v>5102</v>
      </c>
      <c r="L918" s="56">
        <v>205</v>
      </c>
      <c r="M918" s="59" t="s">
        <v>26</v>
      </c>
      <c r="N918" s="61">
        <v>37</v>
      </c>
      <c r="O918" s="59" t="s">
        <v>313</v>
      </c>
      <c r="P918" s="62">
        <v>37</v>
      </c>
      <c r="Q918" s="63">
        <v>20</v>
      </c>
      <c r="R918" s="62">
        <v>7.4</v>
      </c>
      <c r="S918" s="61">
        <v>0</v>
      </c>
      <c r="T918" s="62">
        <v>0</v>
      </c>
    </row>
    <row r="919" spans="1:20" ht="11.1" customHeight="1" x14ac:dyDescent="0.25">
      <c r="A919" s="56">
        <v>109121</v>
      </c>
      <c r="B919" s="72">
        <v>46041</v>
      </c>
      <c r="C919" s="68">
        <v>46041</v>
      </c>
      <c r="D919" s="58" t="s">
        <v>1156</v>
      </c>
      <c r="E919" s="59" t="s">
        <v>352</v>
      </c>
      <c r="F919" s="56">
        <v>36</v>
      </c>
      <c r="G919" s="73">
        <v>351</v>
      </c>
      <c r="H919" s="74" t="s">
        <v>1119</v>
      </c>
      <c r="I919" s="59" t="s">
        <v>1120</v>
      </c>
      <c r="J919" s="59" t="s">
        <v>1121</v>
      </c>
      <c r="K919" s="69">
        <v>5102</v>
      </c>
      <c r="L919" s="56">
        <v>205</v>
      </c>
      <c r="M919" s="59" t="s">
        <v>26</v>
      </c>
      <c r="N919" s="61">
        <v>9078.18</v>
      </c>
      <c r="O919" s="59" t="s">
        <v>313</v>
      </c>
      <c r="P919" s="62">
        <v>9078.18</v>
      </c>
      <c r="Q919" s="63">
        <v>20</v>
      </c>
      <c r="R919" s="62">
        <v>1815.63</v>
      </c>
      <c r="S919" s="61">
        <v>0</v>
      </c>
      <c r="T919" s="62">
        <v>0</v>
      </c>
    </row>
    <row r="920" spans="1:20" ht="11.1" customHeight="1" x14ac:dyDescent="0.25">
      <c r="A920" s="56">
        <v>109122</v>
      </c>
      <c r="B920" s="72">
        <v>46041</v>
      </c>
      <c r="C920" s="68">
        <v>46041</v>
      </c>
      <c r="D920" s="58" t="s">
        <v>1156</v>
      </c>
      <c r="E920" s="59" t="s">
        <v>352</v>
      </c>
      <c r="F920" s="56">
        <v>36</v>
      </c>
      <c r="G920" s="73">
        <v>351</v>
      </c>
      <c r="H920" s="74" t="s">
        <v>1119</v>
      </c>
      <c r="I920" s="59" t="s">
        <v>1120</v>
      </c>
      <c r="J920" s="59" t="s">
        <v>1121</v>
      </c>
      <c r="K920" s="69">
        <v>5403</v>
      </c>
      <c r="L920" s="56">
        <v>207</v>
      </c>
      <c r="M920" s="59" t="s">
        <v>26</v>
      </c>
      <c r="N920" s="61">
        <v>10769.3</v>
      </c>
      <c r="O920" s="59" t="s">
        <v>313</v>
      </c>
      <c r="P920" s="62">
        <v>10064.799999999999</v>
      </c>
      <c r="Q920" s="63">
        <v>20</v>
      </c>
      <c r="R920" s="62">
        <v>2012.98</v>
      </c>
      <c r="S920" s="61">
        <v>0</v>
      </c>
      <c r="T920" s="62">
        <v>704.5</v>
      </c>
    </row>
    <row r="921" spans="1:20" ht="11.1" customHeight="1" x14ac:dyDescent="0.25">
      <c r="O921" s="59" t="s">
        <v>436</v>
      </c>
      <c r="P921" s="62">
        <v>13587.5</v>
      </c>
      <c r="Q921" s="63">
        <v>20</v>
      </c>
      <c r="R921" s="62">
        <v>704.5</v>
      </c>
      <c r="S921" s="61">
        <v>0</v>
      </c>
      <c r="T921" s="62">
        <v>0</v>
      </c>
    </row>
    <row r="922" spans="1:20" ht="11.1" customHeight="1" x14ac:dyDescent="0.25">
      <c r="A922" s="56">
        <v>109125</v>
      </c>
      <c r="B922" s="72">
        <v>46041</v>
      </c>
      <c r="C922" s="68">
        <v>46041</v>
      </c>
      <c r="D922" s="58" t="s">
        <v>1157</v>
      </c>
      <c r="E922" s="59" t="s">
        <v>352</v>
      </c>
      <c r="F922" s="56">
        <v>36</v>
      </c>
      <c r="G922" s="73">
        <v>351</v>
      </c>
      <c r="H922" s="74" t="s">
        <v>1119</v>
      </c>
      <c r="I922" s="59" t="s">
        <v>1120</v>
      </c>
      <c r="J922" s="59" t="s">
        <v>1121</v>
      </c>
      <c r="K922" s="69">
        <v>5102</v>
      </c>
      <c r="L922" s="56">
        <v>205</v>
      </c>
      <c r="M922" s="59" t="s">
        <v>26</v>
      </c>
      <c r="N922" s="61">
        <v>103.36</v>
      </c>
      <c r="O922" s="59" t="s">
        <v>313</v>
      </c>
      <c r="P922" s="62">
        <v>103.36</v>
      </c>
      <c r="Q922" s="63">
        <v>20</v>
      </c>
      <c r="R922" s="62">
        <v>20.67</v>
      </c>
      <c r="S922" s="61">
        <v>0</v>
      </c>
      <c r="T922" s="62">
        <v>0</v>
      </c>
    </row>
    <row r="923" spans="1:20" ht="11.1" customHeight="1" x14ac:dyDescent="0.25">
      <c r="A923" s="56">
        <v>109126</v>
      </c>
      <c r="B923" s="72">
        <v>46041</v>
      </c>
      <c r="C923" s="68">
        <v>46041</v>
      </c>
      <c r="D923" s="58" t="s">
        <v>1157</v>
      </c>
      <c r="E923" s="59" t="s">
        <v>352</v>
      </c>
      <c r="F923" s="56">
        <v>36</v>
      </c>
      <c r="G923" s="73">
        <v>351</v>
      </c>
      <c r="H923" s="74" t="s">
        <v>1119</v>
      </c>
      <c r="I923" s="59" t="s">
        <v>1120</v>
      </c>
      <c r="J923" s="59" t="s">
        <v>1121</v>
      </c>
      <c r="K923" s="69">
        <v>5403</v>
      </c>
      <c r="L923" s="56">
        <v>207</v>
      </c>
      <c r="M923" s="59" t="s">
        <v>26</v>
      </c>
      <c r="N923" s="61">
        <v>143.41999999999999</v>
      </c>
      <c r="O923" s="59" t="s">
        <v>313</v>
      </c>
      <c r="P923" s="62">
        <v>134.04</v>
      </c>
      <c r="Q923" s="63">
        <v>20</v>
      </c>
      <c r="R923" s="62">
        <v>26.81</v>
      </c>
      <c r="S923" s="61">
        <v>0</v>
      </c>
      <c r="T923" s="62">
        <v>9.3800000000000008</v>
      </c>
    </row>
    <row r="924" spans="1:20" ht="11.1" customHeight="1" x14ac:dyDescent="0.25">
      <c r="O924" s="59" t="s">
        <v>436</v>
      </c>
      <c r="P924" s="62">
        <v>180.95</v>
      </c>
      <c r="Q924" s="63">
        <v>20</v>
      </c>
      <c r="R924" s="62">
        <v>9.3800000000000008</v>
      </c>
      <c r="S924" s="61">
        <v>0</v>
      </c>
      <c r="T924" s="62">
        <v>0</v>
      </c>
    </row>
    <row r="925" spans="1:20" ht="11.1" customHeight="1" x14ac:dyDescent="0.25">
      <c r="A925" s="56">
        <v>109155</v>
      </c>
      <c r="B925" s="72">
        <v>46042</v>
      </c>
      <c r="C925" s="68">
        <v>46042</v>
      </c>
      <c r="D925" s="58" t="s">
        <v>1158</v>
      </c>
      <c r="E925" s="59" t="s">
        <v>352</v>
      </c>
      <c r="F925" s="56">
        <v>36</v>
      </c>
      <c r="G925" s="73">
        <v>351</v>
      </c>
      <c r="H925" s="74" t="s">
        <v>1119</v>
      </c>
      <c r="I925" s="59" t="s">
        <v>1120</v>
      </c>
      <c r="J925" s="59" t="s">
        <v>1121</v>
      </c>
      <c r="K925" s="69">
        <v>5403</v>
      </c>
      <c r="L925" s="56">
        <v>207</v>
      </c>
      <c r="M925" s="59" t="s">
        <v>26</v>
      </c>
      <c r="N925" s="61">
        <v>1385.48</v>
      </c>
      <c r="O925" s="59" t="s">
        <v>313</v>
      </c>
      <c r="P925" s="62">
        <v>1294.8399999999999</v>
      </c>
      <c r="Q925" s="63">
        <v>20</v>
      </c>
      <c r="R925" s="62">
        <v>258.97000000000003</v>
      </c>
      <c r="S925" s="61">
        <v>0</v>
      </c>
      <c r="T925" s="62">
        <v>90.64</v>
      </c>
    </row>
    <row r="926" spans="1:20" ht="11.1" customHeight="1" x14ac:dyDescent="0.25">
      <c r="O926" s="59" t="s">
        <v>436</v>
      </c>
      <c r="P926" s="62">
        <v>1748.04</v>
      </c>
      <c r="Q926" s="63">
        <v>20</v>
      </c>
      <c r="R926" s="62">
        <v>90.64</v>
      </c>
      <c r="S926" s="61">
        <v>0</v>
      </c>
      <c r="T926" s="62">
        <v>0</v>
      </c>
    </row>
    <row r="927" spans="1:20" ht="11.1" customHeight="1" x14ac:dyDescent="0.25">
      <c r="A927" s="56">
        <v>109156</v>
      </c>
      <c r="B927" s="72">
        <v>46042</v>
      </c>
      <c r="C927" s="68">
        <v>46042</v>
      </c>
      <c r="D927" s="58" t="s">
        <v>1159</v>
      </c>
      <c r="E927" s="59" t="s">
        <v>352</v>
      </c>
      <c r="F927" s="56">
        <v>36</v>
      </c>
      <c r="G927" s="73">
        <v>351</v>
      </c>
      <c r="H927" s="74" t="s">
        <v>1119</v>
      </c>
      <c r="I927" s="59" t="s">
        <v>1120</v>
      </c>
      <c r="J927" s="59" t="s">
        <v>1121</v>
      </c>
      <c r="K927" s="69">
        <v>5102</v>
      </c>
      <c r="L927" s="56">
        <v>205</v>
      </c>
      <c r="M927" s="59" t="s">
        <v>26</v>
      </c>
      <c r="N927" s="61">
        <v>227.21</v>
      </c>
      <c r="O927" s="59" t="s">
        <v>313</v>
      </c>
      <c r="P927" s="62">
        <v>227.21</v>
      </c>
      <c r="Q927" s="63">
        <v>20</v>
      </c>
      <c r="R927" s="62">
        <v>45.44</v>
      </c>
      <c r="S927" s="61">
        <v>0</v>
      </c>
      <c r="T927" s="62">
        <v>0</v>
      </c>
    </row>
    <row r="928" spans="1:20" ht="11.1" customHeight="1" x14ac:dyDescent="0.25">
      <c r="A928" s="56">
        <v>109158</v>
      </c>
      <c r="B928" s="72">
        <v>46042</v>
      </c>
      <c r="C928" s="68">
        <v>46042</v>
      </c>
      <c r="D928" s="58" t="s">
        <v>1160</v>
      </c>
      <c r="E928" s="59" t="s">
        <v>352</v>
      </c>
      <c r="F928" s="56">
        <v>36</v>
      </c>
      <c r="G928" s="73">
        <v>351</v>
      </c>
      <c r="H928" s="74" t="s">
        <v>1119</v>
      </c>
      <c r="I928" s="59" t="s">
        <v>1120</v>
      </c>
      <c r="J928" s="59" t="s">
        <v>1121</v>
      </c>
      <c r="K928" s="69">
        <v>5102</v>
      </c>
      <c r="L928" s="56">
        <v>205</v>
      </c>
      <c r="M928" s="59" t="s">
        <v>26</v>
      </c>
      <c r="N928" s="61">
        <v>447.66</v>
      </c>
      <c r="O928" s="59" t="s">
        <v>313</v>
      </c>
      <c r="P928" s="62">
        <v>447.66</v>
      </c>
      <c r="Q928" s="63">
        <v>20</v>
      </c>
      <c r="R928" s="62">
        <v>89.53</v>
      </c>
      <c r="S928" s="61">
        <v>0</v>
      </c>
      <c r="T928" s="62">
        <v>0</v>
      </c>
    </row>
    <row r="929" spans="1:20" ht="11.1" customHeight="1" x14ac:dyDescent="0.25">
      <c r="A929" s="56">
        <v>109159</v>
      </c>
      <c r="B929" s="72">
        <v>46042</v>
      </c>
      <c r="C929" s="68">
        <v>46042</v>
      </c>
      <c r="D929" s="58" t="s">
        <v>1160</v>
      </c>
      <c r="E929" s="59" t="s">
        <v>352</v>
      </c>
      <c r="F929" s="56">
        <v>36</v>
      </c>
      <c r="G929" s="73">
        <v>351</v>
      </c>
      <c r="H929" s="74" t="s">
        <v>1119</v>
      </c>
      <c r="I929" s="59" t="s">
        <v>1120</v>
      </c>
      <c r="J929" s="59" t="s">
        <v>1121</v>
      </c>
      <c r="K929" s="69">
        <v>5403</v>
      </c>
      <c r="L929" s="56">
        <v>207</v>
      </c>
      <c r="M929" s="59" t="s">
        <v>26</v>
      </c>
      <c r="N929" s="61">
        <v>808.28</v>
      </c>
      <c r="O929" s="59" t="s">
        <v>313</v>
      </c>
      <c r="P929" s="62">
        <v>755.4</v>
      </c>
      <c r="Q929" s="63">
        <v>20</v>
      </c>
      <c r="R929" s="62">
        <v>151.08000000000001</v>
      </c>
      <c r="S929" s="61">
        <v>0</v>
      </c>
      <c r="T929" s="62">
        <v>52.88</v>
      </c>
    </row>
    <row r="930" spans="1:20" ht="11.1" customHeight="1" x14ac:dyDescent="0.25">
      <c r="O930" s="59" t="s">
        <v>436</v>
      </c>
      <c r="P930" s="62">
        <v>1019.79</v>
      </c>
      <c r="Q930" s="63">
        <v>20</v>
      </c>
      <c r="R930" s="62">
        <v>52.88</v>
      </c>
      <c r="S930" s="61">
        <v>0</v>
      </c>
      <c r="T930" s="62">
        <v>0</v>
      </c>
    </row>
    <row r="931" spans="1:20" ht="11.1" customHeight="1" x14ac:dyDescent="0.25">
      <c r="A931" s="56">
        <v>109194</v>
      </c>
      <c r="B931" s="72">
        <v>46043</v>
      </c>
      <c r="C931" s="68">
        <v>46043</v>
      </c>
      <c r="D931" s="58" t="s">
        <v>1161</v>
      </c>
      <c r="E931" s="59" t="s">
        <v>352</v>
      </c>
      <c r="F931" s="56">
        <v>36</v>
      </c>
      <c r="G931" s="73">
        <v>351</v>
      </c>
      <c r="H931" s="74" t="s">
        <v>1119</v>
      </c>
      <c r="I931" s="59" t="s">
        <v>1120</v>
      </c>
      <c r="J931" s="59" t="s">
        <v>1121</v>
      </c>
      <c r="K931" s="69">
        <v>5102</v>
      </c>
      <c r="L931" s="56">
        <v>205</v>
      </c>
      <c r="M931" s="59" t="s">
        <v>26</v>
      </c>
      <c r="N931" s="61">
        <v>259.5</v>
      </c>
      <c r="O931" s="59" t="s">
        <v>313</v>
      </c>
      <c r="P931" s="62">
        <v>259.5</v>
      </c>
      <c r="Q931" s="63">
        <v>20</v>
      </c>
      <c r="R931" s="62">
        <v>51.9</v>
      </c>
      <c r="S931" s="61">
        <v>0</v>
      </c>
      <c r="T931" s="62">
        <v>0</v>
      </c>
    </row>
    <row r="932" spans="1:20" ht="11.1" customHeight="1" x14ac:dyDescent="0.25">
      <c r="A932" s="56">
        <v>109195</v>
      </c>
      <c r="B932" s="72">
        <v>46043</v>
      </c>
      <c r="C932" s="68">
        <v>46043</v>
      </c>
      <c r="D932" s="58" t="s">
        <v>1162</v>
      </c>
      <c r="E932" s="59" t="s">
        <v>352</v>
      </c>
      <c r="F932" s="56">
        <v>36</v>
      </c>
      <c r="G932" s="73">
        <v>351</v>
      </c>
      <c r="H932" s="74" t="s">
        <v>1119</v>
      </c>
      <c r="I932" s="59" t="s">
        <v>1120</v>
      </c>
      <c r="J932" s="59" t="s">
        <v>1121</v>
      </c>
      <c r="K932" s="69">
        <v>5403</v>
      </c>
      <c r="L932" s="56">
        <v>207</v>
      </c>
      <c r="M932" s="59" t="s">
        <v>26</v>
      </c>
      <c r="N932" s="61">
        <v>13.78</v>
      </c>
      <c r="O932" s="59" t="s">
        <v>313</v>
      </c>
      <c r="P932" s="62">
        <v>12.88</v>
      </c>
      <c r="Q932" s="63">
        <v>20</v>
      </c>
      <c r="R932" s="62">
        <v>2.58</v>
      </c>
      <c r="S932" s="61">
        <v>0</v>
      </c>
      <c r="T932" s="62">
        <v>0.9</v>
      </c>
    </row>
    <row r="933" spans="1:20" ht="11.1" customHeight="1" x14ac:dyDescent="0.25">
      <c r="O933" s="59" t="s">
        <v>436</v>
      </c>
      <c r="P933" s="62">
        <v>17.39</v>
      </c>
      <c r="Q933" s="63">
        <v>20</v>
      </c>
      <c r="R933" s="62">
        <v>0.9</v>
      </c>
      <c r="S933" s="61">
        <v>0</v>
      </c>
      <c r="T933" s="62">
        <v>0</v>
      </c>
    </row>
    <row r="934" spans="1:20" ht="11.1" customHeight="1" x14ac:dyDescent="0.25">
      <c r="A934" s="56">
        <v>109233</v>
      </c>
      <c r="B934" s="72">
        <v>46043</v>
      </c>
      <c r="C934" s="68">
        <v>46043</v>
      </c>
      <c r="D934" s="58" t="s">
        <v>1163</v>
      </c>
      <c r="E934" s="59" t="s">
        <v>352</v>
      </c>
      <c r="F934" s="56">
        <v>36</v>
      </c>
      <c r="G934" s="73">
        <v>351</v>
      </c>
      <c r="H934" s="74" t="s">
        <v>1119</v>
      </c>
      <c r="I934" s="59" t="s">
        <v>1120</v>
      </c>
      <c r="J934" s="59" t="s">
        <v>1121</v>
      </c>
      <c r="K934" s="69">
        <v>5102</v>
      </c>
      <c r="L934" s="56">
        <v>205</v>
      </c>
      <c r="M934" s="59" t="s">
        <v>26</v>
      </c>
      <c r="N934" s="61">
        <v>49.74</v>
      </c>
      <c r="O934" s="59" t="s">
        <v>313</v>
      </c>
      <c r="P934" s="62">
        <v>49.74</v>
      </c>
      <c r="Q934" s="63">
        <v>20</v>
      </c>
      <c r="R934" s="62">
        <v>9.9499999999999993</v>
      </c>
      <c r="S934" s="61">
        <v>0</v>
      </c>
      <c r="T934" s="62">
        <v>0</v>
      </c>
    </row>
    <row r="935" spans="1:20" ht="11.1" customHeight="1" x14ac:dyDescent="0.25">
      <c r="A935" s="56">
        <v>109234</v>
      </c>
      <c r="B935" s="72">
        <v>46043</v>
      </c>
      <c r="C935" s="68">
        <v>46043</v>
      </c>
      <c r="D935" s="58" t="s">
        <v>1163</v>
      </c>
      <c r="E935" s="59" t="s">
        <v>352</v>
      </c>
      <c r="F935" s="56">
        <v>36</v>
      </c>
      <c r="G935" s="73">
        <v>351</v>
      </c>
      <c r="H935" s="74" t="s">
        <v>1119</v>
      </c>
      <c r="I935" s="59" t="s">
        <v>1120</v>
      </c>
      <c r="J935" s="59" t="s">
        <v>1121</v>
      </c>
      <c r="K935" s="69">
        <v>5403</v>
      </c>
      <c r="L935" s="56">
        <v>207</v>
      </c>
      <c r="M935" s="59" t="s">
        <v>26</v>
      </c>
      <c r="N935" s="61">
        <v>241.84</v>
      </c>
      <c r="O935" s="59" t="s">
        <v>313</v>
      </c>
      <c r="P935" s="62">
        <v>226.02</v>
      </c>
      <c r="Q935" s="63">
        <v>20</v>
      </c>
      <c r="R935" s="62">
        <v>45.2</v>
      </c>
      <c r="S935" s="61">
        <v>0</v>
      </c>
      <c r="T935" s="62">
        <v>15.82</v>
      </c>
    </row>
    <row r="936" spans="1:20" ht="11.1" customHeight="1" x14ac:dyDescent="0.25">
      <c r="O936" s="59" t="s">
        <v>436</v>
      </c>
      <c r="P936" s="62">
        <v>305.13</v>
      </c>
      <c r="Q936" s="63">
        <v>20</v>
      </c>
      <c r="R936" s="62">
        <v>15.82</v>
      </c>
      <c r="S936" s="61">
        <v>0</v>
      </c>
      <c r="T936" s="62">
        <v>0</v>
      </c>
    </row>
    <row r="937" spans="1:20" ht="11.1" customHeight="1" x14ac:dyDescent="0.25">
      <c r="A937" s="56">
        <v>109267</v>
      </c>
      <c r="B937" s="72">
        <v>46044</v>
      </c>
      <c r="C937" s="68">
        <v>46044</v>
      </c>
      <c r="D937" s="58" t="s">
        <v>1164</v>
      </c>
      <c r="E937" s="59" t="s">
        <v>352</v>
      </c>
      <c r="F937" s="56">
        <v>36</v>
      </c>
      <c r="G937" s="73">
        <v>351</v>
      </c>
      <c r="H937" s="74" t="s">
        <v>1119</v>
      </c>
      <c r="I937" s="59" t="s">
        <v>1120</v>
      </c>
      <c r="J937" s="59" t="s">
        <v>1121</v>
      </c>
      <c r="K937" s="69">
        <v>5403</v>
      </c>
      <c r="L937" s="56">
        <v>207</v>
      </c>
      <c r="M937" s="59" t="s">
        <v>26</v>
      </c>
      <c r="N937" s="61">
        <v>358.42</v>
      </c>
      <c r="O937" s="59" t="s">
        <v>313</v>
      </c>
      <c r="P937" s="62">
        <v>334.98</v>
      </c>
      <c r="Q937" s="63">
        <v>20</v>
      </c>
      <c r="R937" s="62">
        <v>67</v>
      </c>
      <c r="S937" s="61">
        <v>0</v>
      </c>
      <c r="T937" s="62">
        <v>23.44</v>
      </c>
    </row>
    <row r="938" spans="1:20" ht="11.1" customHeight="1" x14ac:dyDescent="0.25">
      <c r="O938" s="59" t="s">
        <v>436</v>
      </c>
      <c r="P938" s="62">
        <v>452.23</v>
      </c>
      <c r="Q938" s="63">
        <v>20</v>
      </c>
      <c r="R938" s="62">
        <v>23.44</v>
      </c>
      <c r="S938" s="61">
        <v>0</v>
      </c>
      <c r="T938" s="62">
        <v>0</v>
      </c>
    </row>
    <row r="939" spans="1:20" ht="11.1" customHeight="1" x14ac:dyDescent="0.25">
      <c r="A939" s="56">
        <v>109270</v>
      </c>
      <c r="B939" s="72">
        <v>46044</v>
      </c>
      <c r="C939" s="68">
        <v>46044</v>
      </c>
      <c r="D939" s="58" t="s">
        <v>1165</v>
      </c>
      <c r="E939" s="59" t="s">
        <v>352</v>
      </c>
      <c r="F939" s="56">
        <v>36</v>
      </c>
      <c r="G939" s="73">
        <v>351</v>
      </c>
      <c r="H939" s="74" t="s">
        <v>1119</v>
      </c>
      <c r="I939" s="59" t="s">
        <v>1120</v>
      </c>
      <c r="J939" s="59" t="s">
        <v>1121</v>
      </c>
      <c r="K939" s="69">
        <v>5403</v>
      </c>
      <c r="L939" s="56">
        <v>207</v>
      </c>
      <c r="M939" s="59" t="s">
        <v>26</v>
      </c>
      <c r="N939" s="61">
        <v>492.09</v>
      </c>
      <c r="O939" s="59" t="s">
        <v>313</v>
      </c>
      <c r="P939" s="62">
        <v>459.9</v>
      </c>
      <c r="Q939" s="63">
        <v>20</v>
      </c>
      <c r="R939" s="62">
        <v>91.98</v>
      </c>
      <c r="S939" s="61">
        <v>0</v>
      </c>
      <c r="T939" s="62">
        <v>32.19</v>
      </c>
    </row>
    <row r="940" spans="1:20" ht="11.1" customHeight="1" x14ac:dyDescent="0.25">
      <c r="O940" s="59" t="s">
        <v>436</v>
      </c>
      <c r="P940" s="62">
        <v>620.87</v>
      </c>
      <c r="Q940" s="63">
        <v>20</v>
      </c>
      <c r="R940" s="62">
        <v>32.19</v>
      </c>
      <c r="S940" s="61">
        <v>0</v>
      </c>
      <c r="T940" s="62">
        <v>0</v>
      </c>
    </row>
    <row r="941" spans="1:20" ht="11.1" customHeight="1" x14ac:dyDescent="0.25">
      <c r="A941" s="56">
        <v>109285</v>
      </c>
      <c r="B941" s="72">
        <v>46044</v>
      </c>
      <c r="C941" s="68">
        <v>46044</v>
      </c>
      <c r="D941" s="58" t="s">
        <v>1166</v>
      </c>
      <c r="E941" s="59" t="s">
        <v>352</v>
      </c>
      <c r="F941" s="56">
        <v>36</v>
      </c>
      <c r="G941" s="73">
        <v>351</v>
      </c>
      <c r="H941" s="74" t="s">
        <v>1119</v>
      </c>
      <c r="I941" s="59" t="s">
        <v>1120</v>
      </c>
      <c r="J941" s="59" t="s">
        <v>1121</v>
      </c>
      <c r="K941" s="69">
        <v>5403</v>
      </c>
      <c r="L941" s="56">
        <v>207</v>
      </c>
      <c r="M941" s="59" t="s">
        <v>26</v>
      </c>
      <c r="N941" s="61">
        <v>124.91</v>
      </c>
      <c r="O941" s="59" t="s">
        <v>313</v>
      </c>
      <c r="P941" s="62">
        <v>116.74</v>
      </c>
      <c r="Q941" s="63">
        <v>20</v>
      </c>
      <c r="R941" s="62">
        <v>23.35</v>
      </c>
      <c r="S941" s="61">
        <v>0</v>
      </c>
      <c r="T941" s="62">
        <v>8.17</v>
      </c>
    </row>
    <row r="942" spans="1:20" ht="11.1" customHeight="1" x14ac:dyDescent="0.25">
      <c r="O942" s="59" t="s">
        <v>436</v>
      </c>
      <c r="P942" s="62">
        <v>157.6</v>
      </c>
      <c r="Q942" s="63">
        <v>20</v>
      </c>
      <c r="R942" s="62">
        <v>8.17</v>
      </c>
      <c r="S942" s="61">
        <v>0</v>
      </c>
      <c r="T942" s="62">
        <v>0</v>
      </c>
    </row>
    <row r="943" spans="1:20" ht="11.1" customHeight="1" x14ac:dyDescent="0.25">
      <c r="A943" s="56">
        <v>109347</v>
      </c>
      <c r="B943" s="72">
        <v>46045</v>
      </c>
      <c r="C943" s="68">
        <v>46045</v>
      </c>
      <c r="D943" s="58" t="s">
        <v>1167</v>
      </c>
      <c r="E943" s="59" t="s">
        <v>352</v>
      </c>
      <c r="F943" s="56">
        <v>36</v>
      </c>
      <c r="G943" s="73">
        <v>351</v>
      </c>
      <c r="H943" s="74" t="s">
        <v>1119</v>
      </c>
      <c r="I943" s="59" t="s">
        <v>1120</v>
      </c>
      <c r="J943" s="59" t="s">
        <v>1121</v>
      </c>
      <c r="K943" s="69">
        <v>5102</v>
      </c>
      <c r="L943" s="56">
        <v>205</v>
      </c>
      <c r="M943" s="59" t="s">
        <v>26</v>
      </c>
      <c r="N943" s="61">
        <v>60.1</v>
      </c>
      <c r="O943" s="59" t="s">
        <v>313</v>
      </c>
      <c r="P943" s="62">
        <v>60.1</v>
      </c>
      <c r="Q943" s="63">
        <v>20</v>
      </c>
      <c r="R943" s="62">
        <v>12.02</v>
      </c>
      <c r="S943" s="61">
        <v>0</v>
      </c>
      <c r="T943" s="62">
        <v>0</v>
      </c>
    </row>
    <row r="944" spans="1:20" ht="11.1" customHeight="1" x14ac:dyDescent="0.25">
      <c r="A944" s="56">
        <v>109348</v>
      </c>
      <c r="B944" s="72">
        <v>46045</v>
      </c>
      <c r="C944" s="68">
        <v>46045</v>
      </c>
      <c r="D944" s="58" t="s">
        <v>1167</v>
      </c>
      <c r="E944" s="59" t="s">
        <v>352</v>
      </c>
      <c r="F944" s="56">
        <v>36</v>
      </c>
      <c r="G944" s="73">
        <v>351</v>
      </c>
      <c r="H944" s="74" t="s">
        <v>1119</v>
      </c>
      <c r="I944" s="59" t="s">
        <v>1120</v>
      </c>
      <c r="J944" s="59" t="s">
        <v>1121</v>
      </c>
      <c r="K944" s="69">
        <v>5403</v>
      </c>
      <c r="L944" s="56">
        <v>207</v>
      </c>
      <c r="M944" s="59" t="s">
        <v>26</v>
      </c>
      <c r="N944" s="61">
        <v>262.73</v>
      </c>
      <c r="O944" s="59" t="s">
        <v>313</v>
      </c>
      <c r="P944" s="62">
        <v>245.55</v>
      </c>
      <c r="Q944" s="63">
        <v>20</v>
      </c>
      <c r="R944" s="62">
        <v>49.12</v>
      </c>
      <c r="S944" s="61">
        <v>0</v>
      </c>
      <c r="T944" s="62">
        <v>17.18</v>
      </c>
    </row>
    <row r="945" spans="1:20" ht="11.1" customHeight="1" x14ac:dyDescent="0.25">
      <c r="O945" s="59" t="s">
        <v>436</v>
      </c>
      <c r="P945" s="62">
        <v>331.49</v>
      </c>
      <c r="Q945" s="63">
        <v>20</v>
      </c>
      <c r="R945" s="62">
        <v>17.18</v>
      </c>
      <c r="S945" s="61">
        <v>0</v>
      </c>
      <c r="T945" s="62">
        <v>0</v>
      </c>
    </row>
    <row r="946" spans="1:20" ht="11.1" customHeight="1" x14ac:dyDescent="0.25">
      <c r="A946" s="56">
        <v>109368</v>
      </c>
      <c r="B946" s="72">
        <v>46045</v>
      </c>
      <c r="C946" s="68">
        <v>46045</v>
      </c>
      <c r="D946" s="58" t="s">
        <v>1168</v>
      </c>
      <c r="E946" s="59" t="s">
        <v>352</v>
      </c>
      <c r="F946" s="56">
        <v>36</v>
      </c>
      <c r="G946" s="73">
        <v>351</v>
      </c>
      <c r="H946" s="74" t="s">
        <v>1119</v>
      </c>
      <c r="I946" s="59" t="s">
        <v>1120</v>
      </c>
      <c r="J946" s="59" t="s">
        <v>1121</v>
      </c>
      <c r="K946" s="69">
        <v>5102</v>
      </c>
      <c r="L946" s="56">
        <v>205</v>
      </c>
      <c r="M946" s="59" t="s">
        <v>26</v>
      </c>
      <c r="N946" s="61">
        <v>200.38</v>
      </c>
      <c r="O946" s="59" t="s">
        <v>313</v>
      </c>
      <c r="P946" s="62">
        <v>200.38</v>
      </c>
      <c r="Q946" s="63">
        <v>20</v>
      </c>
      <c r="R946" s="62">
        <v>40.08</v>
      </c>
      <c r="S946" s="61">
        <v>0</v>
      </c>
      <c r="T946" s="62">
        <v>0</v>
      </c>
    </row>
    <row r="947" spans="1:20" ht="11.1" customHeight="1" x14ac:dyDescent="0.25">
      <c r="A947" s="56">
        <v>109369</v>
      </c>
      <c r="B947" s="72">
        <v>46045</v>
      </c>
      <c r="C947" s="68">
        <v>46045</v>
      </c>
      <c r="D947" s="58" t="s">
        <v>1168</v>
      </c>
      <c r="E947" s="59" t="s">
        <v>352</v>
      </c>
      <c r="F947" s="56">
        <v>36</v>
      </c>
      <c r="G947" s="73">
        <v>351</v>
      </c>
      <c r="H947" s="74" t="s">
        <v>1119</v>
      </c>
      <c r="I947" s="59" t="s">
        <v>1120</v>
      </c>
      <c r="J947" s="59" t="s">
        <v>1121</v>
      </c>
      <c r="K947" s="69">
        <v>5403</v>
      </c>
      <c r="L947" s="56">
        <v>207</v>
      </c>
      <c r="M947" s="59" t="s">
        <v>26</v>
      </c>
      <c r="N947" s="61">
        <v>1731.02</v>
      </c>
      <c r="O947" s="59" t="s">
        <v>313</v>
      </c>
      <c r="P947" s="62">
        <v>1617.77</v>
      </c>
      <c r="Q947" s="63">
        <v>20</v>
      </c>
      <c r="R947" s="62">
        <v>323.56</v>
      </c>
      <c r="S947" s="61">
        <v>0</v>
      </c>
      <c r="T947" s="62">
        <v>113.25</v>
      </c>
    </row>
    <row r="948" spans="1:20" ht="11.1" customHeight="1" x14ac:dyDescent="0.25">
      <c r="O948" s="59" t="s">
        <v>436</v>
      </c>
      <c r="P948" s="62">
        <v>2183.9899999999998</v>
      </c>
      <c r="Q948" s="63">
        <v>20</v>
      </c>
      <c r="R948" s="62">
        <v>113.25</v>
      </c>
      <c r="S948" s="61">
        <v>0</v>
      </c>
      <c r="T948" s="62">
        <v>0</v>
      </c>
    </row>
    <row r="949" spans="1:20" ht="11.1" customHeight="1" x14ac:dyDescent="0.25">
      <c r="A949" s="56">
        <v>109391</v>
      </c>
      <c r="B949" s="72">
        <v>46045</v>
      </c>
      <c r="C949" s="68">
        <v>46045</v>
      </c>
      <c r="D949" s="58" t="s">
        <v>1169</v>
      </c>
      <c r="E949" s="59" t="s">
        <v>352</v>
      </c>
      <c r="F949" s="56">
        <v>36</v>
      </c>
      <c r="G949" s="73">
        <v>351</v>
      </c>
      <c r="H949" s="74" t="s">
        <v>1119</v>
      </c>
      <c r="I949" s="59" t="s">
        <v>1120</v>
      </c>
      <c r="J949" s="59" t="s">
        <v>1121</v>
      </c>
      <c r="K949" s="69">
        <v>5102</v>
      </c>
      <c r="L949" s="56">
        <v>205</v>
      </c>
      <c r="M949" s="59" t="s">
        <v>26</v>
      </c>
      <c r="N949" s="61">
        <v>388.7</v>
      </c>
      <c r="O949" s="59" t="s">
        <v>313</v>
      </c>
      <c r="P949" s="62">
        <v>388.7</v>
      </c>
      <c r="Q949" s="63">
        <v>20</v>
      </c>
      <c r="R949" s="62">
        <v>77.739999999999995</v>
      </c>
      <c r="S949" s="61">
        <v>0</v>
      </c>
      <c r="T949" s="62">
        <v>0</v>
      </c>
    </row>
    <row r="950" spans="1:20" ht="11.1" customHeight="1" x14ac:dyDescent="0.25">
      <c r="A950" s="56">
        <v>109416</v>
      </c>
      <c r="B950" s="72">
        <v>46048</v>
      </c>
      <c r="C950" s="68">
        <v>46048</v>
      </c>
      <c r="D950" s="58" t="s">
        <v>1170</v>
      </c>
      <c r="E950" s="59" t="s">
        <v>352</v>
      </c>
      <c r="F950" s="56">
        <v>36</v>
      </c>
      <c r="G950" s="73">
        <v>351</v>
      </c>
      <c r="H950" s="74" t="s">
        <v>1119</v>
      </c>
      <c r="I950" s="59" t="s">
        <v>1120</v>
      </c>
      <c r="J950" s="59" t="s">
        <v>1121</v>
      </c>
      <c r="K950" s="69">
        <v>5102</v>
      </c>
      <c r="L950" s="56">
        <v>205</v>
      </c>
      <c r="M950" s="59" t="s">
        <v>26</v>
      </c>
      <c r="N950" s="61">
        <v>86.42</v>
      </c>
      <c r="O950" s="59" t="s">
        <v>313</v>
      </c>
      <c r="P950" s="62">
        <v>86.42</v>
      </c>
      <c r="Q950" s="63">
        <v>20</v>
      </c>
      <c r="R950" s="62">
        <v>17.28</v>
      </c>
      <c r="S950" s="61">
        <v>0</v>
      </c>
      <c r="T950" s="62">
        <v>0</v>
      </c>
    </row>
    <row r="951" spans="1:20" ht="11.1" customHeight="1" x14ac:dyDescent="0.25">
      <c r="A951" s="56">
        <v>109433</v>
      </c>
      <c r="B951" s="72">
        <v>46048</v>
      </c>
      <c r="C951" s="68">
        <v>46048</v>
      </c>
      <c r="D951" s="58" t="s">
        <v>1171</v>
      </c>
      <c r="E951" s="59" t="s">
        <v>352</v>
      </c>
      <c r="F951" s="56">
        <v>36</v>
      </c>
      <c r="G951" s="73">
        <v>351</v>
      </c>
      <c r="H951" s="74" t="s">
        <v>1119</v>
      </c>
      <c r="I951" s="59" t="s">
        <v>1120</v>
      </c>
      <c r="J951" s="59" t="s">
        <v>1121</v>
      </c>
      <c r="K951" s="69">
        <v>5102</v>
      </c>
      <c r="L951" s="56">
        <v>205</v>
      </c>
      <c r="M951" s="59" t="s">
        <v>26</v>
      </c>
      <c r="N951" s="61">
        <v>742.7</v>
      </c>
      <c r="O951" s="59" t="s">
        <v>313</v>
      </c>
      <c r="P951" s="62">
        <v>742.7</v>
      </c>
      <c r="Q951" s="63">
        <v>20</v>
      </c>
      <c r="R951" s="62">
        <v>148.54</v>
      </c>
      <c r="S951" s="61">
        <v>0</v>
      </c>
      <c r="T951" s="62">
        <v>0</v>
      </c>
    </row>
    <row r="952" spans="1:20" ht="11.1" customHeight="1" x14ac:dyDescent="0.25">
      <c r="A952" s="56">
        <v>109442</v>
      </c>
      <c r="B952" s="72">
        <v>46048</v>
      </c>
      <c r="C952" s="68">
        <v>46048</v>
      </c>
      <c r="D952" s="58" t="s">
        <v>1172</v>
      </c>
      <c r="E952" s="59" t="s">
        <v>352</v>
      </c>
      <c r="F952" s="56">
        <v>36</v>
      </c>
      <c r="G952" s="73">
        <v>351</v>
      </c>
      <c r="H952" s="74" t="s">
        <v>1119</v>
      </c>
      <c r="I952" s="59" t="s">
        <v>1120</v>
      </c>
      <c r="J952" s="59" t="s">
        <v>1121</v>
      </c>
      <c r="K952" s="69">
        <v>5102</v>
      </c>
      <c r="L952" s="56">
        <v>205</v>
      </c>
      <c r="M952" s="59" t="s">
        <v>26</v>
      </c>
      <c r="N952" s="61">
        <v>277.92</v>
      </c>
      <c r="O952" s="59" t="s">
        <v>313</v>
      </c>
      <c r="P952" s="62">
        <v>277.92</v>
      </c>
      <c r="Q952" s="63">
        <v>20</v>
      </c>
      <c r="R952" s="62">
        <v>55.58</v>
      </c>
      <c r="S952" s="61">
        <v>0</v>
      </c>
      <c r="T952" s="62">
        <v>0</v>
      </c>
    </row>
    <row r="953" spans="1:20" ht="11.1" customHeight="1" x14ac:dyDescent="0.25">
      <c r="A953" s="56">
        <v>109443</v>
      </c>
      <c r="B953" s="72">
        <v>46048</v>
      </c>
      <c r="C953" s="68">
        <v>46048</v>
      </c>
      <c r="D953" s="58" t="s">
        <v>1173</v>
      </c>
      <c r="E953" s="59" t="s">
        <v>352</v>
      </c>
      <c r="F953" s="56">
        <v>36</v>
      </c>
      <c r="G953" s="73">
        <v>351</v>
      </c>
      <c r="H953" s="74" t="s">
        <v>1119</v>
      </c>
      <c r="I953" s="59" t="s">
        <v>1120</v>
      </c>
      <c r="J953" s="59" t="s">
        <v>1121</v>
      </c>
      <c r="K953" s="69">
        <v>5102</v>
      </c>
      <c r="L953" s="56">
        <v>205</v>
      </c>
      <c r="M953" s="59" t="s">
        <v>26</v>
      </c>
      <c r="N953" s="61">
        <v>502.4</v>
      </c>
      <c r="O953" s="59" t="s">
        <v>313</v>
      </c>
      <c r="P953" s="62">
        <v>502.4</v>
      </c>
      <c r="Q953" s="63">
        <v>20</v>
      </c>
      <c r="R953" s="62">
        <v>100.48</v>
      </c>
      <c r="S953" s="61">
        <v>0</v>
      </c>
      <c r="T953" s="62">
        <v>0</v>
      </c>
    </row>
    <row r="954" spans="1:20" ht="11.1" customHeight="1" x14ac:dyDescent="0.25">
      <c r="A954" s="56">
        <v>109444</v>
      </c>
      <c r="B954" s="72">
        <v>46048</v>
      </c>
      <c r="C954" s="68">
        <v>46048</v>
      </c>
      <c r="D954" s="58" t="s">
        <v>1173</v>
      </c>
      <c r="E954" s="59" t="s">
        <v>352</v>
      </c>
      <c r="F954" s="56">
        <v>36</v>
      </c>
      <c r="G954" s="73">
        <v>351</v>
      </c>
      <c r="H954" s="74" t="s">
        <v>1119</v>
      </c>
      <c r="I954" s="59" t="s">
        <v>1120</v>
      </c>
      <c r="J954" s="59" t="s">
        <v>1121</v>
      </c>
      <c r="K954" s="69">
        <v>5403</v>
      </c>
      <c r="L954" s="56">
        <v>207</v>
      </c>
      <c r="M954" s="59" t="s">
        <v>26</v>
      </c>
      <c r="N954" s="61">
        <v>174.08</v>
      </c>
      <c r="O954" s="59" t="s">
        <v>313</v>
      </c>
      <c r="P954" s="62">
        <v>162.68</v>
      </c>
      <c r="Q954" s="63">
        <v>20</v>
      </c>
      <c r="R954" s="62">
        <v>32.53</v>
      </c>
      <c r="S954" s="61">
        <v>0</v>
      </c>
      <c r="T954" s="62">
        <v>11.4</v>
      </c>
    </row>
    <row r="955" spans="1:20" ht="11.1" customHeight="1" x14ac:dyDescent="0.25">
      <c r="O955" s="59" t="s">
        <v>436</v>
      </c>
      <c r="P955" s="62">
        <v>219.62</v>
      </c>
      <c r="Q955" s="63">
        <v>20</v>
      </c>
      <c r="R955" s="62">
        <v>11.4</v>
      </c>
      <c r="S955" s="61">
        <v>0</v>
      </c>
      <c r="T955" s="62">
        <v>0</v>
      </c>
    </row>
    <row r="956" spans="1:20" ht="11.1" customHeight="1" x14ac:dyDescent="0.25">
      <c r="A956" s="56">
        <v>109451</v>
      </c>
      <c r="B956" s="72">
        <v>46048</v>
      </c>
      <c r="C956" s="68">
        <v>46048</v>
      </c>
      <c r="D956" s="58" t="s">
        <v>1174</v>
      </c>
      <c r="E956" s="59" t="s">
        <v>352</v>
      </c>
      <c r="F956" s="56">
        <v>36</v>
      </c>
      <c r="G956" s="73">
        <v>351</v>
      </c>
      <c r="H956" s="74" t="s">
        <v>1119</v>
      </c>
      <c r="I956" s="59" t="s">
        <v>1120</v>
      </c>
      <c r="J956" s="59" t="s">
        <v>1121</v>
      </c>
      <c r="K956" s="69">
        <v>5102</v>
      </c>
      <c r="L956" s="56">
        <v>205</v>
      </c>
      <c r="M956" s="59" t="s">
        <v>26</v>
      </c>
      <c r="N956" s="61">
        <v>461.85</v>
      </c>
      <c r="O956" s="59" t="s">
        <v>313</v>
      </c>
      <c r="P956" s="62">
        <v>461.85</v>
      </c>
      <c r="Q956" s="63">
        <v>20</v>
      </c>
      <c r="R956" s="62">
        <v>92.37</v>
      </c>
      <c r="S956" s="61">
        <v>0</v>
      </c>
      <c r="T956" s="62">
        <v>0</v>
      </c>
    </row>
    <row r="957" spans="1:20" ht="11.1" customHeight="1" x14ac:dyDescent="0.25">
      <c r="A957" s="56">
        <v>109452</v>
      </c>
      <c r="B957" s="72">
        <v>46048</v>
      </c>
      <c r="C957" s="68">
        <v>46048</v>
      </c>
      <c r="D957" s="58" t="s">
        <v>1175</v>
      </c>
      <c r="E957" s="59" t="s">
        <v>352</v>
      </c>
      <c r="F957" s="56">
        <v>36</v>
      </c>
      <c r="G957" s="73">
        <v>351</v>
      </c>
      <c r="H957" s="74" t="s">
        <v>1119</v>
      </c>
      <c r="I957" s="59" t="s">
        <v>1120</v>
      </c>
      <c r="J957" s="59" t="s">
        <v>1121</v>
      </c>
      <c r="K957" s="69">
        <v>5102</v>
      </c>
      <c r="L957" s="56">
        <v>205</v>
      </c>
      <c r="M957" s="59" t="s">
        <v>26</v>
      </c>
      <c r="N957" s="61">
        <v>754.85</v>
      </c>
      <c r="O957" s="59" t="s">
        <v>313</v>
      </c>
      <c r="P957" s="62">
        <v>754.85</v>
      </c>
      <c r="Q957" s="63">
        <v>20</v>
      </c>
      <c r="R957" s="62">
        <v>150.97</v>
      </c>
      <c r="S957" s="61">
        <v>0</v>
      </c>
      <c r="T957" s="62">
        <v>0</v>
      </c>
    </row>
    <row r="958" spans="1:20" ht="11.1" customHeight="1" x14ac:dyDescent="0.25">
      <c r="A958" s="56">
        <v>109468</v>
      </c>
      <c r="B958" s="72">
        <v>46048</v>
      </c>
      <c r="C958" s="68">
        <v>46048</v>
      </c>
      <c r="D958" s="58" t="s">
        <v>1176</v>
      </c>
      <c r="E958" s="59" t="s">
        <v>352</v>
      </c>
      <c r="F958" s="56">
        <v>36</v>
      </c>
      <c r="G958" s="73">
        <v>351</v>
      </c>
      <c r="H958" s="74" t="s">
        <v>1119</v>
      </c>
      <c r="I958" s="59" t="s">
        <v>1120</v>
      </c>
      <c r="J958" s="59" t="s">
        <v>1121</v>
      </c>
      <c r="K958" s="69">
        <v>5102</v>
      </c>
      <c r="L958" s="56">
        <v>205</v>
      </c>
      <c r="M958" s="59" t="s">
        <v>26</v>
      </c>
      <c r="N958" s="61">
        <v>18148.009999999998</v>
      </c>
      <c r="O958" s="59" t="s">
        <v>313</v>
      </c>
      <c r="P958" s="62">
        <v>206.16</v>
      </c>
      <c r="Q958" s="63">
        <v>12</v>
      </c>
      <c r="R958" s="62">
        <v>24.74</v>
      </c>
      <c r="S958" s="61">
        <v>0</v>
      </c>
      <c r="T958" s="62">
        <v>0</v>
      </c>
    </row>
    <row r="959" spans="1:20" ht="11.1" customHeight="1" x14ac:dyDescent="0.25">
      <c r="O959" s="59" t="s">
        <v>313</v>
      </c>
      <c r="P959" s="62">
        <v>17941.849999999999</v>
      </c>
      <c r="Q959" s="63">
        <v>20</v>
      </c>
      <c r="R959" s="62">
        <v>3588.37</v>
      </c>
      <c r="S959" s="61">
        <v>0</v>
      </c>
      <c r="T959" s="62">
        <v>0</v>
      </c>
    </row>
    <row r="960" spans="1:20" ht="11.1" customHeight="1" x14ac:dyDescent="0.25">
      <c r="A960" s="56">
        <v>109469</v>
      </c>
      <c r="B960" s="72">
        <v>46048</v>
      </c>
      <c r="C960" s="68">
        <v>46048</v>
      </c>
      <c r="D960" s="58" t="s">
        <v>1176</v>
      </c>
      <c r="E960" s="59" t="s">
        <v>352</v>
      </c>
      <c r="F960" s="56">
        <v>36</v>
      </c>
      <c r="G960" s="73">
        <v>351</v>
      </c>
      <c r="H960" s="74" t="s">
        <v>1119</v>
      </c>
      <c r="I960" s="59" t="s">
        <v>1120</v>
      </c>
      <c r="J960" s="59" t="s">
        <v>1121</v>
      </c>
      <c r="K960" s="69">
        <v>5405</v>
      </c>
      <c r="L960" s="56">
        <v>206</v>
      </c>
      <c r="M960" s="59" t="s">
        <v>26</v>
      </c>
      <c r="N960" s="61">
        <v>67.08</v>
      </c>
      <c r="O960" s="59" t="s">
        <v>313</v>
      </c>
      <c r="P960" s="62">
        <v>0</v>
      </c>
      <c r="Q960" s="63">
        <v>0</v>
      </c>
      <c r="R960" s="62">
        <v>0</v>
      </c>
      <c r="S960" s="61">
        <v>0</v>
      </c>
      <c r="T960" s="62">
        <v>67.08</v>
      </c>
    </row>
    <row r="961" spans="1:20" ht="11.1" customHeight="1" x14ac:dyDescent="0.25">
      <c r="A961" s="56">
        <v>109470</v>
      </c>
      <c r="B961" s="72">
        <v>46048</v>
      </c>
      <c r="C961" s="68">
        <v>46048</v>
      </c>
      <c r="D961" s="58" t="s">
        <v>1176</v>
      </c>
      <c r="E961" s="59" t="s">
        <v>352</v>
      </c>
      <c r="F961" s="56">
        <v>36</v>
      </c>
      <c r="G961" s="73">
        <v>351</v>
      </c>
      <c r="H961" s="74" t="s">
        <v>1119</v>
      </c>
      <c r="I961" s="59" t="s">
        <v>1120</v>
      </c>
      <c r="J961" s="59" t="s">
        <v>1121</v>
      </c>
      <c r="K961" s="69">
        <v>5403</v>
      </c>
      <c r="L961" s="56">
        <v>207</v>
      </c>
      <c r="M961" s="59" t="s">
        <v>26</v>
      </c>
      <c r="N961" s="61">
        <v>11324.78</v>
      </c>
      <c r="O961" s="59" t="s">
        <v>313</v>
      </c>
      <c r="P961" s="62">
        <v>10583.94</v>
      </c>
      <c r="Q961" s="63">
        <v>20</v>
      </c>
      <c r="R961" s="62">
        <v>2116.8200000000002</v>
      </c>
      <c r="S961" s="61">
        <v>0</v>
      </c>
      <c r="T961" s="62">
        <v>740.84</v>
      </c>
    </row>
    <row r="962" spans="1:20" ht="11.1" customHeight="1" x14ac:dyDescent="0.25">
      <c r="O962" s="59" t="s">
        <v>436</v>
      </c>
      <c r="P962" s="62">
        <v>14288.34</v>
      </c>
      <c r="Q962" s="63">
        <v>20</v>
      </c>
      <c r="R962" s="62">
        <v>740.84</v>
      </c>
      <c r="S962" s="61">
        <v>0</v>
      </c>
      <c r="T962" s="62">
        <v>0</v>
      </c>
    </row>
    <row r="963" spans="1:20" ht="11.1" customHeight="1" x14ac:dyDescent="0.25">
      <c r="A963" s="56">
        <v>109471</v>
      </c>
      <c r="B963" s="72">
        <v>46048</v>
      </c>
      <c r="C963" s="68">
        <v>46048</v>
      </c>
      <c r="D963" s="58" t="s">
        <v>1177</v>
      </c>
      <c r="E963" s="59" t="s">
        <v>352</v>
      </c>
      <c r="F963" s="56">
        <v>36</v>
      </c>
      <c r="G963" s="73">
        <v>351</v>
      </c>
      <c r="H963" s="74" t="s">
        <v>1119</v>
      </c>
      <c r="I963" s="59" t="s">
        <v>1120</v>
      </c>
      <c r="J963" s="59" t="s">
        <v>1121</v>
      </c>
      <c r="K963" s="69">
        <v>5403</v>
      </c>
      <c r="L963" s="56">
        <v>207</v>
      </c>
      <c r="M963" s="59" t="s">
        <v>26</v>
      </c>
      <c r="N963" s="61">
        <v>34.96</v>
      </c>
      <c r="O963" s="59" t="s">
        <v>313</v>
      </c>
      <c r="P963" s="62">
        <v>32.68</v>
      </c>
      <c r="Q963" s="63">
        <v>20</v>
      </c>
      <c r="R963" s="62">
        <v>6.54</v>
      </c>
      <c r="S963" s="61">
        <v>0</v>
      </c>
      <c r="T963" s="62">
        <v>2.2799999999999998</v>
      </c>
    </row>
    <row r="964" spans="1:20" ht="11.1" customHeight="1" x14ac:dyDescent="0.25">
      <c r="O964" s="59" t="s">
        <v>436</v>
      </c>
      <c r="P964" s="62">
        <v>44.12</v>
      </c>
      <c r="Q964" s="63">
        <v>20</v>
      </c>
      <c r="R964" s="62">
        <v>2.2799999999999998</v>
      </c>
      <c r="S964" s="61">
        <v>0</v>
      </c>
      <c r="T964" s="62">
        <v>0</v>
      </c>
    </row>
    <row r="965" spans="1:20" ht="11.1" customHeight="1" x14ac:dyDescent="0.25">
      <c r="A965" s="56">
        <v>109479</v>
      </c>
      <c r="B965" s="72">
        <v>46049</v>
      </c>
      <c r="C965" s="68">
        <v>46049</v>
      </c>
      <c r="D965" s="58" t="s">
        <v>1178</v>
      </c>
      <c r="E965" s="59" t="s">
        <v>352</v>
      </c>
      <c r="F965" s="56">
        <v>36</v>
      </c>
      <c r="G965" s="73">
        <v>351</v>
      </c>
      <c r="H965" s="74" t="s">
        <v>1119</v>
      </c>
      <c r="I965" s="59" t="s">
        <v>1120</v>
      </c>
      <c r="J965" s="59" t="s">
        <v>1121</v>
      </c>
      <c r="K965" s="69">
        <v>5403</v>
      </c>
      <c r="L965" s="56">
        <v>207</v>
      </c>
      <c r="M965" s="59" t="s">
        <v>26</v>
      </c>
      <c r="N965" s="61">
        <v>7032.72</v>
      </c>
      <c r="O965" s="59" t="s">
        <v>313</v>
      </c>
      <c r="P965" s="62">
        <v>6572.67</v>
      </c>
      <c r="Q965" s="63">
        <v>20</v>
      </c>
      <c r="R965" s="62">
        <v>1314.56</v>
      </c>
      <c r="S965" s="61">
        <v>0</v>
      </c>
      <c r="T965" s="62">
        <v>460.05</v>
      </c>
    </row>
    <row r="966" spans="1:20" ht="11.1" customHeight="1" x14ac:dyDescent="0.25">
      <c r="O966" s="59" t="s">
        <v>436</v>
      </c>
      <c r="P966" s="62">
        <v>8873.1299999999992</v>
      </c>
      <c r="Q966" s="63">
        <v>20</v>
      </c>
      <c r="R966" s="62">
        <v>460.05</v>
      </c>
      <c r="S966" s="61">
        <v>0</v>
      </c>
      <c r="T966" s="62">
        <v>0</v>
      </c>
    </row>
    <row r="967" spans="1:20" ht="11.1" customHeight="1" x14ac:dyDescent="0.25">
      <c r="A967" s="56">
        <v>109503</v>
      </c>
      <c r="B967" s="72">
        <v>46049</v>
      </c>
      <c r="C967" s="68">
        <v>46049</v>
      </c>
      <c r="D967" s="58" t="s">
        <v>1179</v>
      </c>
      <c r="E967" s="59" t="s">
        <v>352</v>
      </c>
      <c r="F967" s="56">
        <v>36</v>
      </c>
      <c r="G967" s="73">
        <v>351</v>
      </c>
      <c r="H967" s="74" t="s">
        <v>1119</v>
      </c>
      <c r="I967" s="59" t="s">
        <v>1120</v>
      </c>
      <c r="J967" s="59" t="s">
        <v>1121</v>
      </c>
      <c r="K967" s="69">
        <v>5102</v>
      </c>
      <c r="L967" s="56">
        <v>205</v>
      </c>
      <c r="M967" s="59" t="s">
        <v>26</v>
      </c>
      <c r="N967" s="61">
        <v>443.43</v>
      </c>
      <c r="O967" s="59" t="s">
        <v>313</v>
      </c>
      <c r="P967" s="62">
        <v>443.43</v>
      </c>
      <c r="Q967" s="63">
        <v>20</v>
      </c>
      <c r="R967" s="62">
        <v>88.68</v>
      </c>
      <c r="S967" s="61">
        <v>0</v>
      </c>
      <c r="T967" s="62">
        <v>0</v>
      </c>
    </row>
    <row r="968" spans="1:20" ht="11.1" customHeight="1" x14ac:dyDescent="0.25">
      <c r="A968" s="56">
        <v>109504</v>
      </c>
      <c r="B968" s="72">
        <v>46049</v>
      </c>
      <c r="C968" s="68">
        <v>46049</v>
      </c>
      <c r="D968" s="58" t="s">
        <v>1179</v>
      </c>
      <c r="E968" s="59" t="s">
        <v>352</v>
      </c>
      <c r="F968" s="56">
        <v>36</v>
      </c>
      <c r="G968" s="73">
        <v>351</v>
      </c>
      <c r="H968" s="74" t="s">
        <v>1119</v>
      </c>
      <c r="I968" s="59" t="s">
        <v>1120</v>
      </c>
      <c r="J968" s="59" t="s">
        <v>1121</v>
      </c>
      <c r="K968" s="69">
        <v>5403</v>
      </c>
      <c r="L968" s="56">
        <v>207</v>
      </c>
      <c r="M968" s="59" t="s">
        <v>26</v>
      </c>
      <c r="N968" s="61">
        <v>168.78</v>
      </c>
      <c r="O968" s="59" t="s">
        <v>313</v>
      </c>
      <c r="P968" s="62">
        <v>157.74</v>
      </c>
      <c r="Q968" s="63">
        <v>20</v>
      </c>
      <c r="R968" s="62">
        <v>31.55</v>
      </c>
      <c r="S968" s="61">
        <v>0</v>
      </c>
      <c r="T968" s="62">
        <v>11.04</v>
      </c>
    </row>
    <row r="969" spans="1:20" ht="11.1" customHeight="1" x14ac:dyDescent="0.25">
      <c r="O969" s="59" t="s">
        <v>436</v>
      </c>
      <c r="P969" s="62">
        <v>212.95</v>
      </c>
      <c r="Q969" s="63">
        <v>20</v>
      </c>
      <c r="R969" s="62">
        <v>11.04</v>
      </c>
      <c r="S969" s="61">
        <v>0</v>
      </c>
      <c r="T969" s="62">
        <v>0</v>
      </c>
    </row>
    <row r="970" spans="1:20" ht="11.1" customHeight="1" x14ac:dyDescent="0.25">
      <c r="A970" s="56">
        <v>109505</v>
      </c>
      <c r="B970" s="72">
        <v>46049</v>
      </c>
      <c r="C970" s="68">
        <v>46049</v>
      </c>
      <c r="D970" s="58" t="s">
        <v>1180</v>
      </c>
      <c r="E970" s="59" t="s">
        <v>352</v>
      </c>
      <c r="F970" s="56">
        <v>36</v>
      </c>
      <c r="G970" s="73">
        <v>351</v>
      </c>
      <c r="H970" s="74" t="s">
        <v>1119</v>
      </c>
      <c r="I970" s="59" t="s">
        <v>1120</v>
      </c>
      <c r="J970" s="59" t="s">
        <v>1121</v>
      </c>
      <c r="K970" s="69">
        <v>5102</v>
      </c>
      <c r="L970" s="56">
        <v>205</v>
      </c>
      <c r="M970" s="59" t="s">
        <v>26</v>
      </c>
      <c r="N970" s="61">
        <v>53.16</v>
      </c>
      <c r="O970" s="59" t="s">
        <v>313</v>
      </c>
      <c r="P970" s="62">
        <v>53.16</v>
      </c>
      <c r="Q970" s="63">
        <v>20</v>
      </c>
      <c r="R970" s="62">
        <v>10.63</v>
      </c>
      <c r="S970" s="61">
        <v>0</v>
      </c>
      <c r="T970" s="62">
        <v>0</v>
      </c>
    </row>
    <row r="971" spans="1:20" ht="11.1" customHeight="1" x14ac:dyDescent="0.25">
      <c r="A971" s="56">
        <v>109506</v>
      </c>
      <c r="B971" s="72">
        <v>46049</v>
      </c>
      <c r="C971" s="68">
        <v>46049</v>
      </c>
      <c r="D971" s="58" t="s">
        <v>1180</v>
      </c>
      <c r="E971" s="59" t="s">
        <v>352</v>
      </c>
      <c r="F971" s="56">
        <v>36</v>
      </c>
      <c r="G971" s="73">
        <v>351</v>
      </c>
      <c r="H971" s="74" t="s">
        <v>1119</v>
      </c>
      <c r="I971" s="59" t="s">
        <v>1120</v>
      </c>
      <c r="J971" s="59" t="s">
        <v>1121</v>
      </c>
      <c r="K971" s="69">
        <v>5403</v>
      </c>
      <c r="L971" s="56">
        <v>207</v>
      </c>
      <c r="M971" s="59" t="s">
        <v>26</v>
      </c>
      <c r="N971" s="61">
        <v>125.7</v>
      </c>
      <c r="O971" s="59" t="s">
        <v>313</v>
      </c>
      <c r="P971" s="62">
        <v>117.48</v>
      </c>
      <c r="Q971" s="63">
        <v>20</v>
      </c>
      <c r="R971" s="62">
        <v>23.5</v>
      </c>
      <c r="S971" s="61">
        <v>0</v>
      </c>
      <c r="T971" s="62">
        <v>8.2200000000000006</v>
      </c>
    </row>
    <row r="972" spans="1:20" ht="11.1" customHeight="1" x14ac:dyDescent="0.25">
      <c r="O972" s="59" t="s">
        <v>436</v>
      </c>
      <c r="P972" s="62">
        <v>158.6</v>
      </c>
      <c r="Q972" s="63">
        <v>20</v>
      </c>
      <c r="R972" s="62">
        <v>8.2200000000000006</v>
      </c>
      <c r="S972" s="61">
        <v>0</v>
      </c>
      <c r="T972" s="62">
        <v>0</v>
      </c>
    </row>
    <row r="973" spans="1:20" ht="11.1" customHeight="1" x14ac:dyDescent="0.25">
      <c r="A973" s="56">
        <v>109545</v>
      </c>
      <c r="B973" s="72">
        <v>46050</v>
      </c>
      <c r="C973" s="68">
        <v>46050</v>
      </c>
      <c r="D973" s="58" t="s">
        <v>1181</v>
      </c>
      <c r="E973" s="59" t="s">
        <v>352</v>
      </c>
      <c r="F973" s="56">
        <v>36</v>
      </c>
      <c r="G973" s="73">
        <v>351</v>
      </c>
      <c r="H973" s="74" t="s">
        <v>1119</v>
      </c>
      <c r="I973" s="59" t="s">
        <v>1120</v>
      </c>
      <c r="J973" s="59" t="s">
        <v>1121</v>
      </c>
      <c r="K973" s="69">
        <v>5102</v>
      </c>
      <c r="L973" s="56">
        <v>205</v>
      </c>
      <c r="M973" s="59" t="s">
        <v>26</v>
      </c>
      <c r="N973" s="61">
        <v>477.87</v>
      </c>
      <c r="O973" s="59" t="s">
        <v>313</v>
      </c>
      <c r="P973" s="62">
        <v>477.87</v>
      </c>
      <c r="Q973" s="63">
        <v>20</v>
      </c>
      <c r="R973" s="62">
        <v>95.57</v>
      </c>
      <c r="S973" s="61">
        <v>0</v>
      </c>
      <c r="T973" s="62">
        <v>0</v>
      </c>
    </row>
    <row r="974" spans="1:20" ht="11.1" customHeight="1" x14ac:dyDescent="0.25">
      <c r="A974" s="56">
        <v>109546</v>
      </c>
      <c r="B974" s="72">
        <v>46050</v>
      </c>
      <c r="C974" s="68">
        <v>46050</v>
      </c>
      <c r="D974" s="58" t="s">
        <v>1181</v>
      </c>
      <c r="E974" s="59" t="s">
        <v>352</v>
      </c>
      <c r="F974" s="56">
        <v>36</v>
      </c>
      <c r="G974" s="73">
        <v>351</v>
      </c>
      <c r="H974" s="74" t="s">
        <v>1119</v>
      </c>
      <c r="I974" s="59" t="s">
        <v>1120</v>
      </c>
      <c r="J974" s="59" t="s">
        <v>1121</v>
      </c>
      <c r="K974" s="69">
        <v>5403</v>
      </c>
      <c r="L974" s="56">
        <v>207</v>
      </c>
      <c r="M974" s="59" t="s">
        <v>26</v>
      </c>
      <c r="N974" s="61">
        <v>45.64</v>
      </c>
      <c r="O974" s="59" t="s">
        <v>313</v>
      </c>
      <c r="P974" s="62">
        <v>42.65</v>
      </c>
      <c r="Q974" s="63">
        <v>20</v>
      </c>
      <c r="R974" s="62">
        <v>8.5299999999999994</v>
      </c>
      <c r="S974" s="61">
        <v>0</v>
      </c>
      <c r="T974" s="62">
        <v>2.99</v>
      </c>
    </row>
    <row r="975" spans="1:20" ht="11.1" customHeight="1" x14ac:dyDescent="0.25">
      <c r="O975" s="59" t="s">
        <v>436</v>
      </c>
      <c r="P975" s="62">
        <v>57.58</v>
      </c>
      <c r="Q975" s="63">
        <v>20</v>
      </c>
      <c r="R975" s="62">
        <v>2.99</v>
      </c>
      <c r="S975" s="61">
        <v>0</v>
      </c>
      <c r="T975" s="62">
        <v>0</v>
      </c>
    </row>
    <row r="976" spans="1:20" ht="11.1" customHeight="1" x14ac:dyDescent="0.25">
      <c r="A976" s="56">
        <v>109566</v>
      </c>
      <c r="B976" s="72">
        <v>46050</v>
      </c>
      <c r="C976" s="68">
        <v>46050</v>
      </c>
      <c r="D976" s="58" t="s">
        <v>1182</v>
      </c>
      <c r="E976" s="59" t="s">
        <v>352</v>
      </c>
      <c r="F976" s="56">
        <v>36</v>
      </c>
      <c r="G976" s="73">
        <v>351</v>
      </c>
      <c r="H976" s="74" t="s">
        <v>1119</v>
      </c>
      <c r="I976" s="59" t="s">
        <v>1120</v>
      </c>
      <c r="J976" s="59" t="s">
        <v>1121</v>
      </c>
      <c r="K976" s="69">
        <v>5102</v>
      </c>
      <c r="L976" s="56">
        <v>205</v>
      </c>
      <c r="M976" s="59" t="s">
        <v>26</v>
      </c>
      <c r="N976" s="61">
        <v>82.2</v>
      </c>
      <c r="O976" s="59" t="s">
        <v>313</v>
      </c>
      <c r="P976" s="62">
        <v>82.2</v>
      </c>
      <c r="Q976" s="63">
        <v>20</v>
      </c>
      <c r="R976" s="62">
        <v>16.440000000000001</v>
      </c>
      <c r="S976" s="61">
        <v>0</v>
      </c>
      <c r="T976" s="62">
        <v>0</v>
      </c>
    </row>
    <row r="977" spans="1:20" ht="11.1" customHeight="1" x14ac:dyDescent="0.25">
      <c r="A977" s="56">
        <v>109567</v>
      </c>
      <c r="B977" s="72">
        <v>46050</v>
      </c>
      <c r="C977" s="68">
        <v>46050</v>
      </c>
      <c r="D977" s="58" t="s">
        <v>1182</v>
      </c>
      <c r="E977" s="59" t="s">
        <v>352</v>
      </c>
      <c r="F977" s="56">
        <v>36</v>
      </c>
      <c r="G977" s="73">
        <v>351</v>
      </c>
      <c r="H977" s="74" t="s">
        <v>1119</v>
      </c>
      <c r="I977" s="59" t="s">
        <v>1120</v>
      </c>
      <c r="J977" s="59" t="s">
        <v>1121</v>
      </c>
      <c r="K977" s="69">
        <v>5403</v>
      </c>
      <c r="L977" s="56">
        <v>207</v>
      </c>
      <c r="M977" s="59" t="s">
        <v>26</v>
      </c>
      <c r="N977" s="61">
        <v>174.41</v>
      </c>
      <c r="O977" s="59" t="s">
        <v>313</v>
      </c>
      <c r="P977" s="62">
        <v>163</v>
      </c>
      <c r="Q977" s="63">
        <v>20</v>
      </c>
      <c r="R977" s="62">
        <v>32.6</v>
      </c>
      <c r="S977" s="61">
        <v>0</v>
      </c>
      <c r="T977" s="62">
        <v>11.41</v>
      </c>
    </row>
    <row r="978" spans="1:20" ht="11.1" customHeight="1" x14ac:dyDescent="0.25">
      <c r="O978" s="59" t="s">
        <v>436</v>
      </c>
      <c r="P978" s="62">
        <v>220.05</v>
      </c>
      <c r="Q978" s="63">
        <v>20</v>
      </c>
      <c r="R978" s="62">
        <v>11.41</v>
      </c>
      <c r="S978" s="61">
        <v>0</v>
      </c>
      <c r="T978" s="62">
        <v>0</v>
      </c>
    </row>
    <row r="979" spans="1:20" ht="11.1" customHeight="1" x14ac:dyDescent="0.25">
      <c r="A979" s="56">
        <v>109570</v>
      </c>
      <c r="B979" s="72">
        <v>46050</v>
      </c>
      <c r="C979" s="68">
        <v>46050</v>
      </c>
      <c r="D979" s="58" t="s">
        <v>1183</v>
      </c>
      <c r="E979" s="59" t="s">
        <v>352</v>
      </c>
      <c r="F979" s="56">
        <v>36</v>
      </c>
      <c r="G979" s="73">
        <v>351</v>
      </c>
      <c r="H979" s="74" t="s">
        <v>1119</v>
      </c>
      <c r="I979" s="59" t="s">
        <v>1120</v>
      </c>
      <c r="J979" s="59" t="s">
        <v>1121</v>
      </c>
      <c r="K979" s="69">
        <v>5102</v>
      </c>
      <c r="L979" s="56">
        <v>205</v>
      </c>
      <c r="M979" s="59" t="s">
        <v>26</v>
      </c>
      <c r="N979" s="61">
        <v>135.81</v>
      </c>
      <c r="O979" s="59" t="s">
        <v>313</v>
      </c>
      <c r="P979" s="62">
        <v>135.81</v>
      </c>
      <c r="Q979" s="63">
        <v>20</v>
      </c>
      <c r="R979" s="62">
        <v>27.16</v>
      </c>
      <c r="S979" s="61">
        <v>0</v>
      </c>
      <c r="T979" s="62">
        <v>0</v>
      </c>
    </row>
    <row r="980" spans="1:20" ht="11.1" customHeight="1" x14ac:dyDescent="0.25">
      <c r="A980" s="56">
        <v>109571</v>
      </c>
      <c r="B980" s="72">
        <v>46050</v>
      </c>
      <c r="C980" s="68">
        <v>46050</v>
      </c>
      <c r="D980" s="58" t="s">
        <v>1183</v>
      </c>
      <c r="E980" s="59" t="s">
        <v>352</v>
      </c>
      <c r="F980" s="56">
        <v>36</v>
      </c>
      <c r="G980" s="73">
        <v>351</v>
      </c>
      <c r="H980" s="74" t="s">
        <v>1119</v>
      </c>
      <c r="I980" s="59" t="s">
        <v>1120</v>
      </c>
      <c r="J980" s="59" t="s">
        <v>1121</v>
      </c>
      <c r="K980" s="69">
        <v>5403</v>
      </c>
      <c r="L980" s="56">
        <v>207</v>
      </c>
      <c r="M980" s="59" t="s">
        <v>26</v>
      </c>
      <c r="N980" s="61">
        <v>643.54</v>
      </c>
      <c r="O980" s="59" t="s">
        <v>313</v>
      </c>
      <c r="P980" s="62">
        <v>601.44000000000005</v>
      </c>
      <c r="Q980" s="63">
        <v>20</v>
      </c>
      <c r="R980" s="62">
        <v>120.29</v>
      </c>
      <c r="S980" s="61">
        <v>0</v>
      </c>
      <c r="T980" s="62">
        <v>42.1</v>
      </c>
    </row>
    <row r="981" spans="1:20" ht="11.1" customHeight="1" x14ac:dyDescent="0.25">
      <c r="O981" s="59" t="s">
        <v>436</v>
      </c>
      <c r="P981" s="62">
        <v>811.94</v>
      </c>
      <c r="Q981" s="63">
        <v>20</v>
      </c>
      <c r="R981" s="62">
        <v>42.1</v>
      </c>
      <c r="S981" s="61">
        <v>0</v>
      </c>
      <c r="T981" s="62">
        <v>0</v>
      </c>
    </row>
    <row r="982" spans="1:20" ht="11.1" customHeight="1" x14ac:dyDescent="0.25">
      <c r="A982" s="56">
        <v>109572</v>
      </c>
      <c r="B982" s="72">
        <v>46050</v>
      </c>
      <c r="C982" s="68">
        <v>46050</v>
      </c>
      <c r="D982" s="58" t="s">
        <v>1184</v>
      </c>
      <c r="E982" s="59" t="s">
        <v>352</v>
      </c>
      <c r="F982" s="56">
        <v>36</v>
      </c>
      <c r="G982" s="73">
        <v>351</v>
      </c>
      <c r="H982" s="74" t="s">
        <v>1119</v>
      </c>
      <c r="I982" s="59" t="s">
        <v>1120</v>
      </c>
      <c r="J982" s="59" t="s">
        <v>1121</v>
      </c>
      <c r="K982" s="69">
        <v>5403</v>
      </c>
      <c r="L982" s="56">
        <v>207</v>
      </c>
      <c r="M982" s="59" t="s">
        <v>26</v>
      </c>
      <c r="N982" s="61">
        <v>159.72999999999999</v>
      </c>
      <c r="O982" s="59" t="s">
        <v>313</v>
      </c>
      <c r="P982" s="62">
        <v>149.28</v>
      </c>
      <c r="Q982" s="63">
        <v>20</v>
      </c>
      <c r="R982" s="62">
        <v>29.86</v>
      </c>
      <c r="S982" s="61">
        <v>0</v>
      </c>
      <c r="T982" s="62">
        <v>10.45</v>
      </c>
    </row>
    <row r="983" spans="1:20" ht="11.1" customHeight="1" x14ac:dyDescent="0.25">
      <c r="O983" s="59" t="s">
        <v>436</v>
      </c>
      <c r="P983" s="62">
        <v>201.53</v>
      </c>
      <c r="Q983" s="63">
        <v>20</v>
      </c>
      <c r="R983" s="62">
        <v>10.45</v>
      </c>
      <c r="S983" s="61">
        <v>0</v>
      </c>
      <c r="T983" s="62">
        <v>0</v>
      </c>
    </row>
    <row r="984" spans="1:20" ht="11.1" customHeight="1" x14ac:dyDescent="0.25">
      <c r="A984" s="56">
        <v>109575</v>
      </c>
      <c r="B984" s="72">
        <v>46050</v>
      </c>
      <c r="C984" s="68">
        <v>46050</v>
      </c>
      <c r="D984" s="58" t="s">
        <v>1185</v>
      </c>
      <c r="E984" s="59" t="s">
        <v>352</v>
      </c>
      <c r="F984" s="56">
        <v>36</v>
      </c>
      <c r="G984" s="73">
        <v>351</v>
      </c>
      <c r="H984" s="74" t="s">
        <v>1119</v>
      </c>
      <c r="I984" s="59" t="s">
        <v>1120</v>
      </c>
      <c r="J984" s="59" t="s">
        <v>1121</v>
      </c>
      <c r="K984" s="69">
        <v>5102</v>
      </c>
      <c r="L984" s="56">
        <v>205</v>
      </c>
      <c r="M984" s="59" t="s">
        <v>26</v>
      </c>
      <c r="N984" s="61">
        <v>1272.83</v>
      </c>
      <c r="O984" s="59" t="s">
        <v>313</v>
      </c>
      <c r="P984" s="62">
        <v>1272.83</v>
      </c>
      <c r="Q984" s="63">
        <v>20</v>
      </c>
      <c r="R984" s="62">
        <v>254.57</v>
      </c>
      <c r="S984" s="61">
        <v>0</v>
      </c>
      <c r="T984" s="62">
        <v>0</v>
      </c>
    </row>
    <row r="985" spans="1:20" ht="11.1" customHeight="1" x14ac:dyDescent="0.25">
      <c r="A985" s="56">
        <v>109578</v>
      </c>
      <c r="B985" s="72">
        <v>46050</v>
      </c>
      <c r="C985" s="68">
        <v>46050</v>
      </c>
      <c r="D985" s="58" t="s">
        <v>1186</v>
      </c>
      <c r="E985" s="59" t="s">
        <v>352</v>
      </c>
      <c r="F985" s="56">
        <v>36</v>
      </c>
      <c r="G985" s="73">
        <v>351</v>
      </c>
      <c r="H985" s="74" t="s">
        <v>1119</v>
      </c>
      <c r="I985" s="59" t="s">
        <v>1120</v>
      </c>
      <c r="J985" s="59" t="s">
        <v>1121</v>
      </c>
      <c r="K985" s="69">
        <v>5102</v>
      </c>
      <c r="L985" s="56">
        <v>205</v>
      </c>
      <c r="M985" s="59" t="s">
        <v>26</v>
      </c>
      <c r="N985" s="61">
        <v>151.05000000000001</v>
      </c>
      <c r="O985" s="59" t="s">
        <v>313</v>
      </c>
      <c r="P985" s="62">
        <v>151.05000000000001</v>
      </c>
      <c r="Q985" s="63">
        <v>20</v>
      </c>
      <c r="R985" s="62">
        <v>30.21</v>
      </c>
      <c r="S985" s="61">
        <v>0</v>
      </c>
      <c r="T985" s="62">
        <v>0</v>
      </c>
    </row>
    <row r="986" spans="1:20" ht="11.1" customHeight="1" x14ac:dyDescent="0.25">
      <c r="A986" s="56">
        <v>109595</v>
      </c>
      <c r="B986" s="72">
        <v>46051</v>
      </c>
      <c r="C986" s="68">
        <v>46051</v>
      </c>
      <c r="D986" s="58" t="s">
        <v>1187</v>
      </c>
      <c r="E986" s="59" t="s">
        <v>352</v>
      </c>
      <c r="F986" s="56">
        <v>36</v>
      </c>
      <c r="G986" s="73">
        <v>351</v>
      </c>
      <c r="H986" s="74" t="s">
        <v>1119</v>
      </c>
      <c r="I986" s="59" t="s">
        <v>1120</v>
      </c>
      <c r="J986" s="59" t="s">
        <v>1121</v>
      </c>
      <c r="K986" s="69">
        <v>5102</v>
      </c>
      <c r="L986" s="56">
        <v>205</v>
      </c>
      <c r="M986" s="59" t="s">
        <v>26</v>
      </c>
      <c r="N986" s="61">
        <v>237.02</v>
      </c>
      <c r="O986" s="59" t="s">
        <v>313</v>
      </c>
      <c r="P986" s="62">
        <v>237.02</v>
      </c>
      <c r="Q986" s="63">
        <v>20</v>
      </c>
      <c r="R986" s="62">
        <v>47.4</v>
      </c>
      <c r="S986" s="61">
        <v>0</v>
      </c>
      <c r="T986" s="62">
        <v>0</v>
      </c>
    </row>
    <row r="987" spans="1:20" ht="11.1" customHeight="1" x14ac:dyDescent="0.25">
      <c r="A987" s="56">
        <v>109614</v>
      </c>
      <c r="B987" s="72">
        <v>46051</v>
      </c>
      <c r="C987" s="68">
        <v>46051</v>
      </c>
      <c r="D987" s="58" t="s">
        <v>1188</v>
      </c>
      <c r="E987" s="59" t="s">
        <v>352</v>
      </c>
      <c r="F987" s="56">
        <v>36</v>
      </c>
      <c r="G987" s="73">
        <v>351</v>
      </c>
      <c r="H987" s="74" t="s">
        <v>1119</v>
      </c>
      <c r="I987" s="59" t="s">
        <v>1120</v>
      </c>
      <c r="J987" s="59" t="s">
        <v>1121</v>
      </c>
      <c r="K987" s="69">
        <v>5102</v>
      </c>
      <c r="L987" s="56">
        <v>205</v>
      </c>
      <c r="M987" s="59" t="s">
        <v>26</v>
      </c>
      <c r="N987" s="61">
        <v>28.68</v>
      </c>
      <c r="O987" s="59" t="s">
        <v>313</v>
      </c>
      <c r="P987" s="62">
        <v>28.68</v>
      </c>
      <c r="Q987" s="63">
        <v>20</v>
      </c>
      <c r="R987" s="62">
        <v>5.74</v>
      </c>
      <c r="S987" s="61">
        <v>0</v>
      </c>
      <c r="T987" s="62">
        <v>0</v>
      </c>
    </row>
    <row r="988" spans="1:20" ht="11.1" customHeight="1" x14ac:dyDescent="0.25">
      <c r="A988" s="56">
        <v>109615</v>
      </c>
      <c r="B988" s="72">
        <v>46051</v>
      </c>
      <c r="C988" s="68">
        <v>46051</v>
      </c>
      <c r="D988" s="58" t="s">
        <v>1188</v>
      </c>
      <c r="E988" s="59" t="s">
        <v>352</v>
      </c>
      <c r="F988" s="56">
        <v>36</v>
      </c>
      <c r="G988" s="73">
        <v>351</v>
      </c>
      <c r="H988" s="74" t="s">
        <v>1119</v>
      </c>
      <c r="I988" s="59" t="s">
        <v>1120</v>
      </c>
      <c r="J988" s="59" t="s">
        <v>1121</v>
      </c>
      <c r="K988" s="69">
        <v>5403</v>
      </c>
      <c r="L988" s="56">
        <v>207</v>
      </c>
      <c r="M988" s="59" t="s">
        <v>26</v>
      </c>
      <c r="N988" s="61">
        <v>84.23</v>
      </c>
      <c r="O988" s="59" t="s">
        <v>313</v>
      </c>
      <c r="P988" s="62">
        <v>78.72</v>
      </c>
      <c r="Q988" s="63">
        <v>20</v>
      </c>
      <c r="R988" s="62">
        <v>15.74</v>
      </c>
      <c r="S988" s="61">
        <v>0</v>
      </c>
      <c r="T988" s="62">
        <v>5.51</v>
      </c>
    </row>
    <row r="989" spans="1:20" ht="11.1" customHeight="1" x14ac:dyDescent="0.25">
      <c r="O989" s="59" t="s">
        <v>436</v>
      </c>
      <c r="P989" s="62">
        <v>106.27</v>
      </c>
      <c r="Q989" s="63">
        <v>20</v>
      </c>
      <c r="R989" s="62">
        <v>5.51</v>
      </c>
      <c r="S989" s="61">
        <v>0</v>
      </c>
      <c r="T989" s="62">
        <v>0</v>
      </c>
    </row>
    <row r="990" spans="1:20" ht="11.1" customHeight="1" x14ac:dyDescent="0.25">
      <c r="A990" s="56">
        <v>109617</v>
      </c>
      <c r="B990" s="72">
        <v>46051</v>
      </c>
      <c r="C990" s="68">
        <v>46051</v>
      </c>
      <c r="D990" s="58" t="s">
        <v>1189</v>
      </c>
      <c r="E990" s="59" t="s">
        <v>352</v>
      </c>
      <c r="F990" s="56">
        <v>36</v>
      </c>
      <c r="G990" s="73">
        <v>351</v>
      </c>
      <c r="H990" s="74" t="s">
        <v>1119</v>
      </c>
      <c r="I990" s="59" t="s">
        <v>1120</v>
      </c>
      <c r="J990" s="59" t="s">
        <v>1121</v>
      </c>
      <c r="K990" s="69">
        <v>5403</v>
      </c>
      <c r="L990" s="56">
        <v>207</v>
      </c>
      <c r="M990" s="59" t="s">
        <v>26</v>
      </c>
      <c r="N990" s="61">
        <v>984.19</v>
      </c>
      <c r="O990" s="59" t="s">
        <v>313</v>
      </c>
      <c r="P990" s="62">
        <v>919.8</v>
      </c>
      <c r="Q990" s="63">
        <v>20</v>
      </c>
      <c r="R990" s="62">
        <v>183.96</v>
      </c>
      <c r="S990" s="61">
        <v>0</v>
      </c>
      <c r="T990" s="62">
        <v>64.39</v>
      </c>
    </row>
    <row r="991" spans="1:20" ht="11.1" customHeight="1" x14ac:dyDescent="0.25">
      <c r="O991" s="59" t="s">
        <v>436</v>
      </c>
      <c r="P991" s="62">
        <v>1241.73</v>
      </c>
      <c r="Q991" s="63">
        <v>20</v>
      </c>
      <c r="R991" s="62">
        <v>64.39</v>
      </c>
      <c r="S991" s="61">
        <v>0</v>
      </c>
      <c r="T991" s="62">
        <v>0</v>
      </c>
    </row>
    <row r="992" spans="1:20" ht="11.1" customHeight="1" x14ac:dyDescent="0.25">
      <c r="A992" s="56">
        <v>109659</v>
      </c>
      <c r="B992" s="72">
        <v>46052</v>
      </c>
      <c r="C992" s="68">
        <v>46052</v>
      </c>
      <c r="D992" s="58" t="s">
        <v>1190</v>
      </c>
      <c r="E992" s="59" t="s">
        <v>352</v>
      </c>
      <c r="F992" s="56">
        <v>36</v>
      </c>
      <c r="G992" s="73">
        <v>351</v>
      </c>
      <c r="H992" s="74" t="s">
        <v>1119</v>
      </c>
      <c r="I992" s="59" t="s">
        <v>1120</v>
      </c>
      <c r="J992" s="59" t="s">
        <v>1121</v>
      </c>
      <c r="K992" s="69">
        <v>5102</v>
      </c>
      <c r="L992" s="56">
        <v>205</v>
      </c>
      <c r="M992" s="59" t="s">
        <v>26</v>
      </c>
      <c r="N992" s="61">
        <v>549.09</v>
      </c>
      <c r="O992" s="59" t="s">
        <v>313</v>
      </c>
      <c r="P992" s="62">
        <v>549.09</v>
      </c>
      <c r="Q992" s="63">
        <v>20</v>
      </c>
      <c r="R992" s="62">
        <v>109.82</v>
      </c>
      <c r="S992" s="61">
        <v>0</v>
      </c>
      <c r="T992" s="62">
        <v>0</v>
      </c>
    </row>
    <row r="993" spans="1:20" ht="11.1" customHeight="1" x14ac:dyDescent="0.25">
      <c r="A993" s="56">
        <v>109660</v>
      </c>
      <c r="B993" s="72">
        <v>46052</v>
      </c>
      <c r="C993" s="68">
        <v>46052</v>
      </c>
      <c r="D993" s="58" t="s">
        <v>1190</v>
      </c>
      <c r="E993" s="59" t="s">
        <v>352</v>
      </c>
      <c r="F993" s="56">
        <v>36</v>
      </c>
      <c r="G993" s="73">
        <v>351</v>
      </c>
      <c r="H993" s="74" t="s">
        <v>1119</v>
      </c>
      <c r="I993" s="59" t="s">
        <v>1120</v>
      </c>
      <c r="J993" s="59" t="s">
        <v>1121</v>
      </c>
      <c r="K993" s="69">
        <v>5403</v>
      </c>
      <c r="L993" s="56">
        <v>207</v>
      </c>
      <c r="M993" s="59" t="s">
        <v>26</v>
      </c>
      <c r="N993" s="61">
        <v>471.94</v>
      </c>
      <c r="O993" s="59" t="s">
        <v>313</v>
      </c>
      <c r="P993" s="62">
        <v>441.06</v>
      </c>
      <c r="Q993" s="63">
        <v>20</v>
      </c>
      <c r="R993" s="62">
        <v>88.21</v>
      </c>
      <c r="S993" s="61">
        <v>0</v>
      </c>
      <c r="T993" s="62">
        <v>30.88</v>
      </c>
    </row>
    <row r="994" spans="1:20" ht="11.1" customHeight="1" x14ac:dyDescent="0.25">
      <c r="O994" s="59" t="s">
        <v>436</v>
      </c>
      <c r="P994" s="62">
        <v>595.44000000000005</v>
      </c>
      <c r="Q994" s="63">
        <v>20</v>
      </c>
      <c r="R994" s="62">
        <v>30.88</v>
      </c>
      <c r="S994" s="61">
        <v>0</v>
      </c>
      <c r="T994" s="62">
        <v>0</v>
      </c>
    </row>
    <row r="995" spans="1:20" ht="11.1" customHeight="1" x14ac:dyDescent="0.25">
      <c r="A995" s="56">
        <v>109665</v>
      </c>
      <c r="B995" s="72">
        <v>46052</v>
      </c>
      <c r="C995" s="68">
        <v>46052</v>
      </c>
      <c r="D995" s="58" t="s">
        <v>1191</v>
      </c>
      <c r="E995" s="59" t="s">
        <v>352</v>
      </c>
      <c r="F995" s="56">
        <v>36</v>
      </c>
      <c r="G995" s="73">
        <v>351</v>
      </c>
      <c r="H995" s="74" t="s">
        <v>1119</v>
      </c>
      <c r="I995" s="59" t="s">
        <v>1120</v>
      </c>
      <c r="J995" s="59" t="s">
        <v>1121</v>
      </c>
      <c r="K995" s="69">
        <v>5102</v>
      </c>
      <c r="L995" s="56">
        <v>205</v>
      </c>
      <c r="M995" s="59" t="s">
        <v>26</v>
      </c>
      <c r="N995" s="61">
        <v>7.37</v>
      </c>
      <c r="O995" s="59" t="s">
        <v>313</v>
      </c>
      <c r="P995" s="62">
        <v>7.37</v>
      </c>
      <c r="Q995" s="63">
        <v>20</v>
      </c>
      <c r="R995" s="62">
        <v>1.47</v>
      </c>
      <c r="S995" s="61">
        <v>0</v>
      </c>
      <c r="T995" s="62">
        <v>0</v>
      </c>
    </row>
    <row r="996" spans="1:20" ht="11.1" customHeight="1" x14ac:dyDescent="0.25">
      <c r="A996" s="56">
        <v>109666</v>
      </c>
      <c r="B996" s="72">
        <v>46052</v>
      </c>
      <c r="C996" s="68">
        <v>46052</v>
      </c>
      <c r="D996" s="58" t="s">
        <v>1191</v>
      </c>
      <c r="E996" s="59" t="s">
        <v>352</v>
      </c>
      <c r="F996" s="56">
        <v>36</v>
      </c>
      <c r="G996" s="73">
        <v>351</v>
      </c>
      <c r="H996" s="74" t="s">
        <v>1119</v>
      </c>
      <c r="I996" s="59" t="s">
        <v>1120</v>
      </c>
      <c r="J996" s="59" t="s">
        <v>1121</v>
      </c>
      <c r="K996" s="69">
        <v>5403</v>
      </c>
      <c r="L996" s="56">
        <v>207</v>
      </c>
      <c r="M996" s="59" t="s">
        <v>26</v>
      </c>
      <c r="N996" s="61">
        <v>61.46</v>
      </c>
      <c r="O996" s="59" t="s">
        <v>313</v>
      </c>
      <c r="P996" s="62">
        <v>57.44</v>
      </c>
      <c r="Q996" s="63">
        <v>20</v>
      </c>
      <c r="R996" s="62">
        <v>11.49</v>
      </c>
      <c r="S996" s="61">
        <v>0</v>
      </c>
      <c r="T996" s="62">
        <v>4.0199999999999996</v>
      </c>
    </row>
    <row r="997" spans="1:20" ht="11.1" customHeight="1" x14ac:dyDescent="0.25">
      <c r="O997" s="59" t="s">
        <v>436</v>
      </c>
      <c r="P997" s="62">
        <v>77.540000000000006</v>
      </c>
      <c r="Q997" s="63">
        <v>20</v>
      </c>
      <c r="R997" s="62">
        <v>4.0199999999999996</v>
      </c>
      <c r="S997" s="61">
        <v>0</v>
      </c>
      <c r="T997" s="62">
        <v>0</v>
      </c>
    </row>
    <row r="998" spans="1:20" ht="11.85" customHeight="1" x14ac:dyDescent="0.25">
      <c r="A998" s="71" t="s">
        <v>620</v>
      </c>
      <c r="B998" s="71"/>
      <c r="C998" s="71"/>
      <c r="D998" s="71"/>
      <c r="E998" s="71"/>
      <c r="F998" s="71"/>
      <c r="G998" s="71"/>
      <c r="H998" s="71"/>
    </row>
    <row r="999" spans="1:20" ht="11.1" customHeight="1" x14ac:dyDescent="0.25">
      <c r="O999" s="59" t="s">
        <v>313</v>
      </c>
      <c r="P999" s="62">
        <v>126706.19</v>
      </c>
      <c r="R999" s="62">
        <v>25324.84</v>
      </c>
      <c r="S999" s="61">
        <v>0</v>
      </c>
      <c r="T999" s="62">
        <v>4253.72</v>
      </c>
    </row>
    <row r="1000" spans="1:20" ht="11.1" customHeight="1" x14ac:dyDescent="0.25">
      <c r="O1000" s="59" t="s">
        <v>436</v>
      </c>
      <c r="P1000" s="62">
        <v>79405.600000000006</v>
      </c>
      <c r="R1000" s="62">
        <v>4117.16</v>
      </c>
      <c r="S1000" s="61">
        <v>0</v>
      </c>
      <c r="T1000" s="62">
        <v>0</v>
      </c>
    </row>
    <row r="1001" spans="1:20" ht="11.1" customHeight="1" x14ac:dyDescent="0.25">
      <c r="A1001" s="56">
        <v>108377</v>
      </c>
      <c r="B1001" s="72">
        <v>46024</v>
      </c>
      <c r="C1001" s="68">
        <v>46024</v>
      </c>
      <c r="D1001" s="58" t="s">
        <v>1192</v>
      </c>
      <c r="E1001" s="59" t="s">
        <v>352</v>
      </c>
      <c r="F1001" s="56">
        <v>36</v>
      </c>
      <c r="G1001" s="73">
        <v>781</v>
      </c>
      <c r="H1001" s="74" t="s">
        <v>1193</v>
      </c>
      <c r="I1001" s="59" t="s">
        <v>1194</v>
      </c>
      <c r="J1001" s="59" t="s">
        <v>1195</v>
      </c>
      <c r="K1001" s="69">
        <v>6403</v>
      </c>
      <c r="L1001" s="56">
        <v>207</v>
      </c>
      <c r="M1001" s="59" t="s">
        <v>34</v>
      </c>
      <c r="N1001" s="61">
        <v>3161.18</v>
      </c>
      <c r="O1001" s="59" t="s">
        <v>313</v>
      </c>
      <c r="P1001" s="62">
        <v>2954.38</v>
      </c>
      <c r="Q1001" s="63">
        <v>12</v>
      </c>
      <c r="R1001" s="62">
        <v>354.53</v>
      </c>
      <c r="S1001" s="61">
        <v>0</v>
      </c>
      <c r="T1001" s="62">
        <v>206.8</v>
      </c>
    </row>
    <row r="1002" spans="1:20" ht="11.1" customHeight="1" x14ac:dyDescent="0.25">
      <c r="O1002" s="59" t="s">
        <v>436</v>
      </c>
      <c r="P1002" s="62">
        <v>2954.38</v>
      </c>
      <c r="Q1002" s="63">
        <v>19</v>
      </c>
      <c r="R1002" s="62">
        <v>206.8</v>
      </c>
      <c r="S1002" s="61">
        <v>0</v>
      </c>
      <c r="T1002" s="62">
        <v>0</v>
      </c>
    </row>
    <row r="1003" spans="1:20" ht="11.1" customHeight="1" x14ac:dyDescent="0.25">
      <c r="A1003" s="56">
        <v>108378</v>
      </c>
      <c r="B1003" s="72">
        <v>46024</v>
      </c>
      <c r="C1003" s="68">
        <v>46024</v>
      </c>
      <c r="D1003" s="58" t="s">
        <v>1192</v>
      </c>
      <c r="E1003" s="59" t="s">
        <v>352</v>
      </c>
      <c r="F1003" s="56">
        <v>36</v>
      </c>
      <c r="G1003" s="73">
        <v>781</v>
      </c>
      <c r="H1003" s="74" t="s">
        <v>1193</v>
      </c>
      <c r="I1003" s="59" t="s">
        <v>1194</v>
      </c>
      <c r="J1003" s="59" t="s">
        <v>1195</v>
      </c>
      <c r="K1003" s="69">
        <v>6102</v>
      </c>
      <c r="L1003" s="56">
        <v>238</v>
      </c>
      <c r="M1003" s="59" t="s">
        <v>34</v>
      </c>
      <c r="N1003" s="61">
        <v>436.2</v>
      </c>
      <c r="O1003" s="59" t="s">
        <v>313</v>
      </c>
      <c r="P1003" s="62">
        <v>436.2</v>
      </c>
      <c r="Q1003" s="63">
        <v>12</v>
      </c>
      <c r="R1003" s="62">
        <v>52.34</v>
      </c>
      <c r="S1003" s="61">
        <v>0</v>
      </c>
      <c r="T1003" s="62">
        <v>0</v>
      </c>
    </row>
    <row r="1004" spans="1:20" ht="11.1" customHeight="1" x14ac:dyDescent="0.25">
      <c r="A1004" s="56">
        <v>108379</v>
      </c>
      <c r="B1004" s="72">
        <v>46024</v>
      </c>
      <c r="C1004" s="68">
        <v>46024</v>
      </c>
      <c r="D1004" s="58" t="s">
        <v>1196</v>
      </c>
      <c r="E1004" s="59" t="s">
        <v>352</v>
      </c>
      <c r="F1004" s="56">
        <v>36</v>
      </c>
      <c r="G1004" s="73">
        <v>781</v>
      </c>
      <c r="H1004" s="74" t="s">
        <v>1193</v>
      </c>
      <c r="I1004" s="59" t="s">
        <v>1194</v>
      </c>
      <c r="J1004" s="59" t="s">
        <v>1195</v>
      </c>
      <c r="K1004" s="69">
        <v>6102</v>
      </c>
      <c r="L1004" s="56">
        <v>238</v>
      </c>
      <c r="M1004" s="59" t="s">
        <v>34</v>
      </c>
      <c r="N1004" s="61">
        <v>110.7</v>
      </c>
      <c r="O1004" s="59" t="s">
        <v>313</v>
      </c>
      <c r="P1004" s="62">
        <v>110.7</v>
      </c>
      <c r="Q1004" s="63">
        <v>12</v>
      </c>
      <c r="R1004" s="62">
        <v>13.28</v>
      </c>
      <c r="S1004" s="61">
        <v>0</v>
      </c>
      <c r="T1004" s="62">
        <v>0</v>
      </c>
    </row>
    <row r="1005" spans="1:20" ht="11.1" customHeight="1" x14ac:dyDescent="0.25">
      <c r="A1005" s="56">
        <v>108434</v>
      </c>
      <c r="B1005" s="72">
        <v>46027</v>
      </c>
      <c r="C1005" s="68">
        <v>46027</v>
      </c>
      <c r="D1005" s="58" t="s">
        <v>1197</v>
      </c>
      <c r="E1005" s="59" t="s">
        <v>352</v>
      </c>
      <c r="F1005" s="56">
        <v>36</v>
      </c>
      <c r="G1005" s="73">
        <v>781</v>
      </c>
      <c r="H1005" s="74" t="s">
        <v>1193</v>
      </c>
      <c r="I1005" s="59" t="s">
        <v>1194</v>
      </c>
      <c r="J1005" s="59" t="s">
        <v>1195</v>
      </c>
      <c r="K1005" s="69">
        <v>6403</v>
      </c>
      <c r="L1005" s="56">
        <v>207</v>
      </c>
      <c r="M1005" s="59" t="s">
        <v>34</v>
      </c>
      <c r="N1005" s="61">
        <v>1696.29</v>
      </c>
      <c r="O1005" s="59" t="s">
        <v>313</v>
      </c>
      <c r="P1005" s="62">
        <v>1585.32</v>
      </c>
      <c r="Q1005" s="63">
        <v>12</v>
      </c>
      <c r="R1005" s="62">
        <v>190.25</v>
      </c>
      <c r="S1005" s="61">
        <v>0</v>
      </c>
      <c r="T1005" s="62">
        <v>110.97</v>
      </c>
    </row>
    <row r="1006" spans="1:20" ht="11.1" customHeight="1" x14ac:dyDescent="0.25">
      <c r="O1006" s="59" t="s">
        <v>436</v>
      </c>
      <c r="P1006" s="62">
        <v>1585.32</v>
      </c>
      <c r="Q1006" s="63">
        <v>19</v>
      </c>
      <c r="R1006" s="62">
        <v>110.97</v>
      </c>
      <c r="S1006" s="61">
        <v>0</v>
      </c>
      <c r="T1006" s="62">
        <v>0</v>
      </c>
    </row>
    <row r="1007" spans="1:20" ht="11.1" customHeight="1" x14ac:dyDescent="0.25">
      <c r="A1007" s="56">
        <v>108435</v>
      </c>
      <c r="B1007" s="72">
        <v>46027</v>
      </c>
      <c r="C1007" s="68">
        <v>46027</v>
      </c>
      <c r="D1007" s="58" t="s">
        <v>1197</v>
      </c>
      <c r="E1007" s="59" t="s">
        <v>352</v>
      </c>
      <c r="F1007" s="56">
        <v>36</v>
      </c>
      <c r="G1007" s="73">
        <v>781</v>
      </c>
      <c r="H1007" s="74" t="s">
        <v>1193</v>
      </c>
      <c r="I1007" s="59" t="s">
        <v>1194</v>
      </c>
      <c r="J1007" s="59" t="s">
        <v>1195</v>
      </c>
      <c r="K1007" s="69">
        <v>6102</v>
      </c>
      <c r="L1007" s="56">
        <v>238</v>
      </c>
      <c r="M1007" s="59" t="s">
        <v>34</v>
      </c>
      <c r="N1007" s="61">
        <v>8486.2800000000007</v>
      </c>
      <c r="O1007" s="59" t="s">
        <v>313</v>
      </c>
      <c r="P1007" s="62">
        <v>8486.2800000000007</v>
      </c>
      <c r="Q1007" s="63">
        <v>12</v>
      </c>
      <c r="R1007" s="62">
        <v>1018.35</v>
      </c>
      <c r="S1007" s="61">
        <v>0</v>
      </c>
      <c r="T1007" s="62">
        <v>0</v>
      </c>
    </row>
    <row r="1008" spans="1:20" ht="11.1" customHeight="1" x14ac:dyDescent="0.25">
      <c r="A1008" s="56">
        <v>108509</v>
      </c>
      <c r="B1008" s="72">
        <v>46028</v>
      </c>
      <c r="C1008" s="68">
        <v>46028</v>
      </c>
      <c r="D1008" s="58" t="s">
        <v>1198</v>
      </c>
      <c r="E1008" s="59" t="s">
        <v>352</v>
      </c>
      <c r="F1008" s="56">
        <v>36</v>
      </c>
      <c r="G1008" s="73">
        <v>781</v>
      </c>
      <c r="H1008" s="74" t="s">
        <v>1193</v>
      </c>
      <c r="I1008" s="59" t="s">
        <v>1194</v>
      </c>
      <c r="J1008" s="59" t="s">
        <v>1195</v>
      </c>
      <c r="K1008" s="69">
        <v>6403</v>
      </c>
      <c r="L1008" s="56">
        <v>207</v>
      </c>
      <c r="M1008" s="59" t="s">
        <v>34</v>
      </c>
      <c r="N1008" s="61">
        <v>701.53</v>
      </c>
      <c r="O1008" s="59" t="s">
        <v>313</v>
      </c>
      <c r="P1008" s="62">
        <v>655.64</v>
      </c>
      <c r="Q1008" s="63">
        <v>12</v>
      </c>
      <c r="R1008" s="62">
        <v>78.680000000000007</v>
      </c>
      <c r="S1008" s="61">
        <v>0</v>
      </c>
      <c r="T1008" s="62">
        <v>45.89</v>
      </c>
    </row>
    <row r="1009" spans="1:20" ht="11.1" customHeight="1" x14ac:dyDescent="0.25">
      <c r="O1009" s="59" t="s">
        <v>436</v>
      </c>
      <c r="P1009" s="62">
        <v>655.64</v>
      </c>
      <c r="Q1009" s="63">
        <v>19</v>
      </c>
      <c r="R1009" s="62">
        <v>45.89</v>
      </c>
      <c r="S1009" s="61">
        <v>0</v>
      </c>
      <c r="T1009" s="62">
        <v>0</v>
      </c>
    </row>
    <row r="1010" spans="1:20" ht="11.1" customHeight="1" x14ac:dyDescent="0.25">
      <c r="A1010" s="56">
        <v>108510</v>
      </c>
      <c r="B1010" s="72">
        <v>46028</v>
      </c>
      <c r="C1010" s="68">
        <v>46028</v>
      </c>
      <c r="D1010" s="58" t="s">
        <v>1198</v>
      </c>
      <c r="E1010" s="59" t="s">
        <v>352</v>
      </c>
      <c r="F1010" s="56">
        <v>36</v>
      </c>
      <c r="G1010" s="73">
        <v>781</v>
      </c>
      <c r="H1010" s="74" t="s">
        <v>1193</v>
      </c>
      <c r="I1010" s="59" t="s">
        <v>1194</v>
      </c>
      <c r="J1010" s="59" t="s">
        <v>1195</v>
      </c>
      <c r="K1010" s="69">
        <v>6102</v>
      </c>
      <c r="L1010" s="56">
        <v>238</v>
      </c>
      <c r="M1010" s="59" t="s">
        <v>34</v>
      </c>
      <c r="N1010" s="61">
        <v>1121.3699999999999</v>
      </c>
      <c r="O1010" s="59" t="s">
        <v>313</v>
      </c>
      <c r="P1010" s="62">
        <v>1121.3699999999999</v>
      </c>
      <c r="Q1010" s="63">
        <v>12</v>
      </c>
      <c r="R1010" s="62">
        <v>134.56</v>
      </c>
      <c r="S1010" s="61">
        <v>0</v>
      </c>
      <c r="T1010" s="62">
        <v>0</v>
      </c>
    </row>
    <row r="1011" spans="1:20" ht="11.1" customHeight="1" x14ac:dyDescent="0.25">
      <c r="A1011" s="56">
        <v>108511</v>
      </c>
      <c r="B1011" s="72">
        <v>46028</v>
      </c>
      <c r="C1011" s="68">
        <v>46028</v>
      </c>
      <c r="D1011" s="58" t="s">
        <v>1199</v>
      </c>
      <c r="E1011" s="59" t="s">
        <v>352</v>
      </c>
      <c r="F1011" s="56">
        <v>36</v>
      </c>
      <c r="G1011" s="73">
        <v>781</v>
      </c>
      <c r="H1011" s="74" t="s">
        <v>1193</v>
      </c>
      <c r="I1011" s="59" t="s">
        <v>1194</v>
      </c>
      <c r="J1011" s="59" t="s">
        <v>1195</v>
      </c>
      <c r="K1011" s="69">
        <v>6102</v>
      </c>
      <c r="L1011" s="56">
        <v>238</v>
      </c>
      <c r="M1011" s="59" t="s">
        <v>34</v>
      </c>
      <c r="N1011" s="61">
        <v>276.3</v>
      </c>
      <c r="O1011" s="59" t="s">
        <v>313</v>
      </c>
      <c r="P1011" s="62">
        <v>276.3</v>
      </c>
      <c r="Q1011" s="63">
        <v>12</v>
      </c>
      <c r="R1011" s="62">
        <v>33.159999999999997</v>
      </c>
      <c r="S1011" s="61">
        <v>0</v>
      </c>
      <c r="T1011" s="62">
        <v>0</v>
      </c>
    </row>
    <row r="1012" spans="1:20" ht="11.1" customHeight="1" x14ac:dyDescent="0.25">
      <c r="A1012" s="56">
        <v>108512</v>
      </c>
      <c r="B1012" s="72">
        <v>46028</v>
      </c>
      <c r="C1012" s="68">
        <v>46028</v>
      </c>
      <c r="D1012" s="58" t="s">
        <v>1200</v>
      </c>
      <c r="E1012" s="59" t="s">
        <v>352</v>
      </c>
      <c r="F1012" s="56">
        <v>36</v>
      </c>
      <c r="G1012" s="73">
        <v>781</v>
      </c>
      <c r="H1012" s="74" t="s">
        <v>1193</v>
      </c>
      <c r="I1012" s="59" t="s">
        <v>1194</v>
      </c>
      <c r="J1012" s="59" t="s">
        <v>1195</v>
      </c>
      <c r="K1012" s="69">
        <v>6403</v>
      </c>
      <c r="L1012" s="56">
        <v>207</v>
      </c>
      <c r="M1012" s="59" t="s">
        <v>34</v>
      </c>
      <c r="N1012" s="61">
        <v>255.13</v>
      </c>
      <c r="O1012" s="59" t="s">
        <v>313</v>
      </c>
      <c r="P1012" s="62">
        <v>238.44</v>
      </c>
      <c r="Q1012" s="63">
        <v>12</v>
      </c>
      <c r="R1012" s="62">
        <v>28.61</v>
      </c>
      <c r="S1012" s="61">
        <v>0</v>
      </c>
      <c r="T1012" s="62">
        <v>16.690000000000001</v>
      </c>
    </row>
    <row r="1013" spans="1:20" ht="11.1" customHeight="1" x14ac:dyDescent="0.25">
      <c r="O1013" s="59" t="s">
        <v>436</v>
      </c>
      <c r="P1013" s="62">
        <v>238.44</v>
      </c>
      <c r="Q1013" s="63">
        <v>19</v>
      </c>
      <c r="R1013" s="62">
        <v>16.690000000000001</v>
      </c>
      <c r="S1013" s="61">
        <v>0</v>
      </c>
      <c r="T1013" s="62">
        <v>0</v>
      </c>
    </row>
    <row r="1014" spans="1:20" ht="11.1" customHeight="1" x14ac:dyDescent="0.25">
      <c r="A1014" s="56">
        <v>108513</v>
      </c>
      <c r="B1014" s="72">
        <v>46028</v>
      </c>
      <c r="C1014" s="68">
        <v>46028</v>
      </c>
      <c r="D1014" s="58" t="s">
        <v>1200</v>
      </c>
      <c r="E1014" s="59" t="s">
        <v>352</v>
      </c>
      <c r="F1014" s="56">
        <v>36</v>
      </c>
      <c r="G1014" s="73">
        <v>781</v>
      </c>
      <c r="H1014" s="74" t="s">
        <v>1193</v>
      </c>
      <c r="I1014" s="59" t="s">
        <v>1194</v>
      </c>
      <c r="J1014" s="59" t="s">
        <v>1195</v>
      </c>
      <c r="K1014" s="69">
        <v>6102</v>
      </c>
      <c r="L1014" s="56">
        <v>238</v>
      </c>
      <c r="M1014" s="59" t="s">
        <v>34</v>
      </c>
      <c r="N1014" s="61">
        <v>378.68</v>
      </c>
      <c r="O1014" s="59" t="s">
        <v>313</v>
      </c>
      <c r="P1014" s="62">
        <v>378.68</v>
      </c>
      <c r="Q1014" s="63">
        <v>12</v>
      </c>
      <c r="R1014" s="62">
        <v>45.44</v>
      </c>
      <c r="S1014" s="61">
        <v>0</v>
      </c>
      <c r="T1014" s="62">
        <v>0</v>
      </c>
    </row>
    <row r="1015" spans="1:20" ht="11.1" customHeight="1" x14ac:dyDescent="0.25">
      <c r="A1015" s="56">
        <v>108514</v>
      </c>
      <c r="B1015" s="72">
        <v>46028</v>
      </c>
      <c r="C1015" s="68">
        <v>46028</v>
      </c>
      <c r="D1015" s="58" t="s">
        <v>1201</v>
      </c>
      <c r="E1015" s="59" t="s">
        <v>352</v>
      </c>
      <c r="F1015" s="56">
        <v>36</v>
      </c>
      <c r="G1015" s="73">
        <v>781</v>
      </c>
      <c r="H1015" s="74" t="s">
        <v>1193</v>
      </c>
      <c r="I1015" s="59" t="s">
        <v>1194</v>
      </c>
      <c r="J1015" s="59" t="s">
        <v>1195</v>
      </c>
      <c r="K1015" s="69">
        <v>6102</v>
      </c>
      <c r="L1015" s="56">
        <v>238</v>
      </c>
      <c r="M1015" s="59" t="s">
        <v>34</v>
      </c>
      <c r="N1015" s="61">
        <v>356.4</v>
      </c>
      <c r="O1015" s="59" t="s">
        <v>313</v>
      </c>
      <c r="P1015" s="62">
        <v>356.4</v>
      </c>
      <c r="Q1015" s="63">
        <v>12</v>
      </c>
      <c r="R1015" s="62">
        <v>42.77</v>
      </c>
      <c r="S1015" s="61">
        <v>0</v>
      </c>
      <c r="T1015" s="62">
        <v>0</v>
      </c>
    </row>
    <row r="1016" spans="1:20" ht="11.1" customHeight="1" x14ac:dyDescent="0.25">
      <c r="A1016" s="56">
        <v>108587</v>
      </c>
      <c r="B1016" s="72">
        <v>46029</v>
      </c>
      <c r="C1016" s="68">
        <v>46029</v>
      </c>
      <c r="D1016" s="58" t="s">
        <v>1202</v>
      </c>
      <c r="E1016" s="59" t="s">
        <v>352</v>
      </c>
      <c r="F1016" s="56">
        <v>36</v>
      </c>
      <c r="G1016" s="73">
        <v>781</v>
      </c>
      <c r="H1016" s="74" t="s">
        <v>1193</v>
      </c>
      <c r="I1016" s="59" t="s">
        <v>1194</v>
      </c>
      <c r="J1016" s="59" t="s">
        <v>1195</v>
      </c>
      <c r="K1016" s="69">
        <v>6403</v>
      </c>
      <c r="L1016" s="56">
        <v>207</v>
      </c>
      <c r="M1016" s="59" t="s">
        <v>34</v>
      </c>
      <c r="N1016" s="61">
        <v>1611.84</v>
      </c>
      <c r="O1016" s="59" t="s">
        <v>313</v>
      </c>
      <c r="P1016" s="62">
        <v>1506.4</v>
      </c>
      <c r="Q1016" s="63">
        <v>12</v>
      </c>
      <c r="R1016" s="62">
        <v>180.77</v>
      </c>
      <c r="S1016" s="61">
        <v>0</v>
      </c>
      <c r="T1016" s="62">
        <v>105.44</v>
      </c>
    </row>
    <row r="1017" spans="1:20" ht="11.1" customHeight="1" x14ac:dyDescent="0.25">
      <c r="O1017" s="59" t="s">
        <v>436</v>
      </c>
      <c r="P1017" s="62">
        <v>1506.4</v>
      </c>
      <c r="Q1017" s="63">
        <v>19</v>
      </c>
      <c r="R1017" s="62">
        <v>105.44</v>
      </c>
      <c r="S1017" s="61">
        <v>0</v>
      </c>
      <c r="T1017" s="62">
        <v>0</v>
      </c>
    </row>
    <row r="1018" spans="1:20" ht="11.1" customHeight="1" x14ac:dyDescent="0.25">
      <c r="A1018" s="56">
        <v>108588</v>
      </c>
      <c r="B1018" s="72">
        <v>46029</v>
      </c>
      <c r="C1018" s="68">
        <v>46029</v>
      </c>
      <c r="D1018" s="58" t="s">
        <v>1202</v>
      </c>
      <c r="E1018" s="59" t="s">
        <v>352</v>
      </c>
      <c r="F1018" s="56">
        <v>36</v>
      </c>
      <c r="G1018" s="73">
        <v>781</v>
      </c>
      <c r="H1018" s="74" t="s">
        <v>1193</v>
      </c>
      <c r="I1018" s="59" t="s">
        <v>1194</v>
      </c>
      <c r="J1018" s="59" t="s">
        <v>1195</v>
      </c>
      <c r="K1018" s="69">
        <v>6102</v>
      </c>
      <c r="L1018" s="56">
        <v>238</v>
      </c>
      <c r="M1018" s="59" t="s">
        <v>34</v>
      </c>
      <c r="N1018" s="61">
        <v>430.56</v>
      </c>
      <c r="O1018" s="59" t="s">
        <v>313</v>
      </c>
      <c r="P1018" s="62">
        <v>430.56</v>
      </c>
      <c r="Q1018" s="63">
        <v>12</v>
      </c>
      <c r="R1018" s="62">
        <v>51.67</v>
      </c>
      <c r="S1018" s="61">
        <v>0</v>
      </c>
      <c r="T1018" s="62">
        <v>0</v>
      </c>
    </row>
    <row r="1019" spans="1:20" ht="11.1" customHeight="1" x14ac:dyDescent="0.25">
      <c r="A1019" s="56">
        <v>108626</v>
      </c>
      <c r="B1019" s="72">
        <v>46030</v>
      </c>
      <c r="C1019" s="68">
        <v>46030</v>
      </c>
      <c r="D1019" s="58" t="s">
        <v>1203</v>
      </c>
      <c r="E1019" s="59" t="s">
        <v>352</v>
      </c>
      <c r="F1019" s="56">
        <v>36</v>
      </c>
      <c r="G1019" s="73">
        <v>781</v>
      </c>
      <c r="H1019" s="74" t="s">
        <v>1193</v>
      </c>
      <c r="I1019" s="59" t="s">
        <v>1194</v>
      </c>
      <c r="J1019" s="59" t="s">
        <v>1195</v>
      </c>
      <c r="K1019" s="69">
        <v>6403</v>
      </c>
      <c r="L1019" s="56">
        <v>207</v>
      </c>
      <c r="M1019" s="59" t="s">
        <v>34</v>
      </c>
      <c r="N1019" s="61">
        <v>15707.98</v>
      </c>
      <c r="O1019" s="59" t="s">
        <v>313</v>
      </c>
      <c r="P1019" s="62">
        <v>14680.36</v>
      </c>
      <c r="Q1019" s="63">
        <v>12</v>
      </c>
      <c r="R1019" s="62">
        <v>1761.65</v>
      </c>
      <c r="S1019" s="61">
        <v>0</v>
      </c>
      <c r="T1019" s="62">
        <v>1027.6199999999999</v>
      </c>
    </row>
    <row r="1020" spans="1:20" ht="11.1" customHeight="1" x14ac:dyDescent="0.25">
      <c r="O1020" s="59" t="s">
        <v>436</v>
      </c>
      <c r="P1020" s="62">
        <v>14680.36</v>
      </c>
      <c r="Q1020" s="63">
        <v>19</v>
      </c>
      <c r="R1020" s="62">
        <v>1027.6199999999999</v>
      </c>
      <c r="S1020" s="61">
        <v>0</v>
      </c>
      <c r="T1020" s="62">
        <v>0</v>
      </c>
    </row>
    <row r="1021" spans="1:20" ht="11.1" customHeight="1" x14ac:dyDescent="0.25">
      <c r="A1021" s="56">
        <v>108627</v>
      </c>
      <c r="B1021" s="72">
        <v>46030</v>
      </c>
      <c r="C1021" s="68">
        <v>46030</v>
      </c>
      <c r="D1021" s="58" t="s">
        <v>1203</v>
      </c>
      <c r="E1021" s="59" t="s">
        <v>352</v>
      </c>
      <c r="F1021" s="56">
        <v>36</v>
      </c>
      <c r="G1021" s="73">
        <v>781</v>
      </c>
      <c r="H1021" s="74" t="s">
        <v>1193</v>
      </c>
      <c r="I1021" s="59" t="s">
        <v>1194</v>
      </c>
      <c r="J1021" s="59" t="s">
        <v>1195</v>
      </c>
      <c r="K1021" s="69">
        <v>6102</v>
      </c>
      <c r="L1021" s="56">
        <v>238</v>
      </c>
      <c r="M1021" s="59" t="s">
        <v>34</v>
      </c>
      <c r="N1021" s="61">
        <v>12178.33</v>
      </c>
      <c r="O1021" s="59" t="s">
        <v>313</v>
      </c>
      <c r="P1021" s="62">
        <v>12178.33</v>
      </c>
      <c r="Q1021" s="63">
        <v>12</v>
      </c>
      <c r="R1021" s="62">
        <v>1461.42</v>
      </c>
      <c r="S1021" s="61">
        <v>0</v>
      </c>
      <c r="T1021" s="62">
        <v>0</v>
      </c>
    </row>
    <row r="1022" spans="1:20" ht="11.1" customHeight="1" x14ac:dyDescent="0.25">
      <c r="A1022" s="56">
        <v>108629</v>
      </c>
      <c r="B1022" s="72">
        <v>46030</v>
      </c>
      <c r="C1022" s="68">
        <v>46030</v>
      </c>
      <c r="D1022" s="58" t="s">
        <v>1204</v>
      </c>
      <c r="E1022" s="59" t="s">
        <v>352</v>
      </c>
      <c r="F1022" s="56">
        <v>36</v>
      </c>
      <c r="G1022" s="73">
        <v>781</v>
      </c>
      <c r="H1022" s="74" t="s">
        <v>1193</v>
      </c>
      <c r="I1022" s="59" t="s">
        <v>1194</v>
      </c>
      <c r="J1022" s="59" t="s">
        <v>1195</v>
      </c>
      <c r="K1022" s="69">
        <v>6102</v>
      </c>
      <c r="L1022" s="56">
        <v>238</v>
      </c>
      <c r="M1022" s="59" t="s">
        <v>34</v>
      </c>
      <c r="N1022" s="61">
        <v>1298.9000000000001</v>
      </c>
      <c r="O1022" s="59" t="s">
        <v>313</v>
      </c>
      <c r="P1022" s="62">
        <v>1298.9000000000001</v>
      </c>
      <c r="Q1022" s="63">
        <v>12</v>
      </c>
      <c r="R1022" s="62">
        <v>155.87</v>
      </c>
      <c r="S1022" s="61">
        <v>0</v>
      </c>
      <c r="T1022" s="62">
        <v>0</v>
      </c>
    </row>
    <row r="1023" spans="1:20" ht="11.1" customHeight="1" x14ac:dyDescent="0.25">
      <c r="A1023" s="56">
        <v>108711</v>
      </c>
      <c r="B1023" s="72">
        <v>46031</v>
      </c>
      <c r="C1023" s="68">
        <v>46031</v>
      </c>
      <c r="D1023" s="58" t="s">
        <v>1205</v>
      </c>
      <c r="E1023" s="59" t="s">
        <v>352</v>
      </c>
      <c r="F1023" s="56">
        <v>36</v>
      </c>
      <c r="G1023" s="73">
        <v>781</v>
      </c>
      <c r="H1023" s="74" t="s">
        <v>1193</v>
      </c>
      <c r="I1023" s="59" t="s">
        <v>1194</v>
      </c>
      <c r="J1023" s="59" t="s">
        <v>1195</v>
      </c>
      <c r="K1023" s="69">
        <v>6403</v>
      </c>
      <c r="L1023" s="56">
        <v>207</v>
      </c>
      <c r="M1023" s="59" t="s">
        <v>34</v>
      </c>
      <c r="N1023" s="61">
        <v>3665.9</v>
      </c>
      <c r="O1023" s="59" t="s">
        <v>313</v>
      </c>
      <c r="P1023" s="62">
        <v>3426.05</v>
      </c>
      <c r="Q1023" s="63">
        <v>12</v>
      </c>
      <c r="R1023" s="62">
        <v>411.11</v>
      </c>
      <c r="S1023" s="61">
        <v>0</v>
      </c>
      <c r="T1023" s="62">
        <v>239.85</v>
      </c>
    </row>
    <row r="1024" spans="1:20" ht="11.1" customHeight="1" x14ac:dyDescent="0.25">
      <c r="O1024" s="59" t="s">
        <v>436</v>
      </c>
      <c r="P1024" s="62">
        <v>3426.05</v>
      </c>
      <c r="Q1024" s="63">
        <v>19</v>
      </c>
      <c r="R1024" s="62">
        <v>239.85</v>
      </c>
      <c r="S1024" s="61">
        <v>0</v>
      </c>
      <c r="T1024" s="62">
        <v>0</v>
      </c>
    </row>
    <row r="1025" spans="1:20" ht="11.1" customHeight="1" x14ac:dyDescent="0.25">
      <c r="A1025" s="56">
        <v>108712</v>
      </c>
      <c r="B1025" s="72">
        <v>46031</v>
      </c>
      <c r="C1025" s="68">
        <v>46031</v>
      </c>
      <c r="D1025" s="58" t="s">
        <v>1205</v>
      </c>
      <c r="E1025" s="59" t="s">
        <v>352</v>
      </c>
      <c r="F1025" s="56">
        <v>36</v>
      </c>
      <c r="G1025" s="73">
        <v>781</v>
      </c>
      <c r="H1025" s="74" t="s">
        <v>1193</v>
      </c>
      <c r="I1025" s="59" t="s">
        <v>1194</v>
      </c>
      <c r="J1025" s="59" t="s">
        <v>1195</v>
      </c>
      <c r="K1025" s="69">
        <v>6102</v>
      </c>
      <c r="L1025" s="56">
        <v>238</v>
      </c>
      <c r="M1025" s="59" t="s">
        <v>34</v>
      </c>
      <c r="N1025" s="61">
        <v>1505.95</v>
      </c>
      <c r="O1025" s="59" t="s">
        <v>313</v>
      </c>
      <c r="P1025" s="62">
        <v>1505.95</v>
      </c>
      <c r="Q1025" s="63">
        <v>12</v>
      </c>
      <c r="R1025" s="62">
        <v>180.72</v>
      </c>
      <c r="S1025" s="61">
        <v>0</v>
      </c>
      <c r="T1025" s="62">
        <v>0</v>
      </c>
    </row>
    <row r="1026" spans="1:20" ht="11.1" customHeight="1" x14ac:dyDescent="0.25">
      <c r="A1026" s="56">
        <v>108829</v>
      </c>
      <c r="B1026" s="72">
        <v>46035</v>
      </c>
      <c r="C1026" s="68">
        <v>46035</v>
      </c>
      <c r="D1026" s="58" t="s">
        <v>1206</v>
      </c>
      <c r="E1026" s="59" t="s">
        <v>352</v>
      </c>
      <c r="F1026" s="56">
        <v>36</v>
      </c>
      <c r="G1026" s="73">
        <v>781</v>
      </c>
      <c r="H1026" s="74" t="s">
        <v>1193</v>
      </c>
      <c r="I1026" s="59" t="s">
        <v>1194</v>
      </c>
      <c r="J1026" s="59" t="s">
        <v>1195</v>
      </c>
      <c r="K1026" s="69">
        <v>6403</v>
      </c>
      <c r="L1026" s="56">
        <v>207</v>
      </c>
      <c r="M1026" s="59" t="s">
        <v>34</v>
      </c>
      <c r="N1026" s="61">
        <v>1291.97</v>
      </c>
      <c r="O1026" s="59" t="s">
        <v>313</v>
      </c>
      <c r="P1026" s="62">
        <v>1207.44</v>
      </c>
      <c r="Q1026" s="63">
        <v>12</v>
      </c>
      <c r="R1026" s="62">
        <v>144.88999999999999</v>
      </c>
      <c r="S1026" s="61">
        <v>0</v>
      </c>
      <c r="T1026" s="62">
        <v>84.53</v>
      </c>
    </row>
    <row r="1027" spans="1:20" ht="11.1" customHeight="1" x14ac:dyDescent="0.25">
      <c r="O1027" s="59" t="s">
        <v>436</v>
      </c>
      <c r="P1027" s="62">
        <v>1207.44</v>
      </c>
      <c r="Q1027" s="63">
        <v>19</v>
      </c>
      <c r="R1027" s="62">
        <v>84.53</v>
      </c>
      <c r="S1027" s="61">
        <v>0</v>
      </c>
      <c r="T1027" s="62">
        <v>0</v>
      </c>
    </row>
    <row r="1028" spans="1:20" ht="11.1" customHeight="1" x14ac:dyDescent="0.25">
      <c r="A1028" s="56">
        <v>108830</v>
      </c>
      <c r="B1028" s="72">
        <v>46035</v>
      </c>
      <c r="C1028" s="68">
        <v>46035</v>
      </c>
      <c r="D1028" s="58" t="s">
        <v>1206</v>
      </c>
      <c r="E1028" s="59" t="s">
        <v>352</v>
      </c>
      <c r="F1028" s="56">
        <v>36</v>
      </c>
      <c r="G1028" s="73">
        <v>781</v>
      </c>
      <c r="H1028" s="74" t="s">
        <v>1193</v>
      </c>
      <c r="I1028" s="59" t="s">
        <v>1194</v>
      </c>
      <c r="J1028" s="59" t="s">
        <v>1195</v>
      </c>
      <c r="K1028" s="69">
        <v>6102</v>
      </c>
      <c r="L1028" s="56">
        <v>238</v>
      </c>
      <c r="M1028" s="59" t="s">
        <v>34</v>
      </c>
      <c r="N1028" s="61">
        <v>3338.91</v>
      </c>
      <c r="O1028" s="59" t="s">
        <v>313</v>
      </c>
      <c r="P1028" s="62">
        <v>3338.91</v>
      </c>
      <c r="Q1028" s="63">
        <v>12</v>
      </c>
      <c r="R1028" s="62">
        <v>400.68</v>
      </c>
      <c r="S1028" s="61">
        <v>0</v>
      </c>
      <c r="T1028" s="62">
        <v>0</v>
      </c>
    </row>
    <row r="1029" spans="1:20" ht="11.1" customHeight="1" x14ac:dyDescent="0.25">
      <c r="A1029" s="56">
        <v>108836</v>
      </c>
      <c r="B1029" s="72">
        <v>46035</v>
      </c>
      <c r="C1029" s="68">
        <v>46035</v>
      </c>
      <c r="D1029" s="58" t="s">
        <v>1207</v>
      </c>
      <c r="E1029" s="59" t="s">
        <v>352</v>
      </c>
      <c r="F1029" s="56">
        <v>36</v>
      </c>
      <c r="G1029" s="73">
        <v>781</v>
      </c>
      <c r="H1029" s="74" t="s">
        <v>1193</v>
      </c>
      <c r="I1029" s="59" t="s">
        <v>1194</v>
      </c>
      <c r="J1029" s="59" t="s">
        <v>1195</v>
      </c>
      <c r="K1029" s="69">
        <v>6403</v>
      </c>
      <c r="L1029" s="56">
        <v>207</v>
      </c>
      <c r="M1029" s="59" t="s">
        <v>34</v>
      </c>
      <c r="N1029" s="61">
        <v>3507.32</v>
      </c>
      <c r="O1029" s="59" t="s">
        <v>313</v>
      </c>
      <c r="P1029" s="62">
        <v>3277.86</v>
      </c>
      <c r="Q1029" s="63">
        <v>12</v>
      </c>
      <c r="R1029" s="62">
        <v>393.35</v>
      </c>
      <c r="S1029" s="61">
        <v>0</v>
      </c>
      <c r="T1029" s="62">
        <v>229.46</v>
      </c>
    </row>
    <row r="1030" spans="1:20" ht="11.1" customHeight="1" x14ac:dyDescent="0.25">
      <c r="O1030" s="59" t="s">
        <v>436</v>
      </c>
      <c r="P1030" s="62">
        <v>3277.86</v>
      </c>
      <c r="Q1030" s="63">
        <v>19</v>
      </c>
      <c r="R1030" s="62">
        <v>229.46</v>
      </c>
      <c r="S1030" s="61">
        <v>0</v>
      </c>
      <c r="T1030" s="62">
        <v>0</v>
      </c>
    </row>
    <row r="1031" spans="1:20" ht="11.1" customHeight="1" x14ac:dyDescent="0.25">
      <c r="A1031" s="56">
        <v>108837</v>
      </c>
      <c r="B1031" s="72">
        <v>46035</v>
      </c>
      <c r="C1031" s="68">
        <v>46035</v>
      </c>
      <c r="D1031" s="58" t="s">
        <v>1207</v>
      </c>
      <c r="E1031" s="59" t="s">
        <v>352</v>
      </c>
      <c r="F1031" s="56">
        <v>36</v>
      </c>
      <c r="G1031" s="73">
        <v>781</v>
      </c>
      <c r="H1031" s="74" t="s">
        <v>1193</v>
      </c>
      <c r="I1031" s="59" t="s">
        <v>1194</v>
      </c>
      <c r="J1031" s="59" t="s">
        <v>1195</v>
      </c>
      <c r="K1031" s="69">
        <v>6102</v>
      </c>
      <c r="L1031" s="56">
        <v>238</v>
      </c>
      <c r="M1031" s="59" t="s">
        <v>34</v>
      </c>
      <c r="N1031" s="61">
        <v>431.76</v>
      </c>
      <c r="O1031" s="59" t="s">
        <v>313</v>
      </c>
      <c r="P1031" s="62">
        <v>431.76</v>
      </c>
      <c r="Q1031" s="63">
        <v>12</v>
      </c>
      <c r="R1031" s="62">
        <v>51.81</v>
      </c>
      <c r="S1031" s="61">
        <v>0</v>
      </c>
      <c r="T1031" s="62">
        <v>0</v>
      </c>
    </row>
    <row r="1032" spans="1:20" ht="11.1" customHeight="1" x14ac:dyDescent="0.25">
      <c r="A1032" s="56">
        <v>108839</v>
      </c>
      <c r="B1032" s="72">
        <v>46035</v>
      </c>
      <c r="C1032" s="68">
        <v>46035</v>
      </c>
      <c r="D1032" s="58" t="s">
        <v>1208</v>
      </c>
      <c r="E1032" s="59" t="s">
        <v>352</v>
      </c>
      <c r="F1032" s="56">
        <v>36</v>
      </c>
      <c r="G1032" s="73">
        <v>781</v>
      </c>
      <c r="H1032" s="74" t="s">
        <v>1193</v>
      </c>
      <c r="I1032" s="59" t="s">
        <v>1194</v>
      </c>
      <c r="J1032" s="59" t="s">
        <v>1195</v>
      </c>
      <c r="K1032" s="69">
        <v>6403</v>
      </c>
      <c r="L1032" s="56">
        <v>207</v>
      </c>
      <c r="M1032" s="59" t="s">
        <v>34</v>
      </c>
      <c r="N1032" s="61">
        <v>442.48</v>
      </c>
      <c r="O1032" s="59" t="s">
        <v>313</v>
      </c>
      <c r="P1032" s="62">
        <v>413.54</v>
      </c>
      <c r="Q1032" s="63">
        <v>12</v>
      </c>
      <c r="R1032" s="62">
        <v>49.63</v>
      </c>
      <c r="S1032" s="61">
        <v>0</v>
      </c>
      <c r="T1032" s="62">
        <v>28.94</v>
      </c>
    </row>
    <row r="1033" spans="1:20" ht="11.1" customHeight="1" x14ac:dyDescent="0.25">
      <c r="O1033" s="59" t="s">
        <v>436</v>
      </c>
      <c r="P1033" s="62">
        <v>413.54</v>
      </c>
      <c r="Q1033" s="63">
        <v>19</v>
      </c>
      <c r="R1033" s="62">
        <v>28.94</v>
      </c>
      <c r="S1033" s="61">
        <v>0</v>
      </c>
      <c r="T1033" s="62">
        <v>0</v>
      </c>
    </row>
    <row r="1034" spans="1:20" ht="11.1" customHeight="1" x14ac:dyDescent="0.25">
      <c r="A1034" s="56">
        <v>108840</v>
      </c>
      <c r="B1034" s="72">
        <v>46035</v>
      </c>
      <c r="C1034" s="68">
        <v>46035</v>
      </c>
      <c r="D1034" s="58" t="s">
        <v>1208</v>
      </c>
      <c r="E1034" s="59" t="s">
        <v>352</v>
      </c>
      <c r="F1034" s="56">
        <v>36</v>
      </c>
      <c r="G1034" s="73">
        <v>781</v>
      </c>
      <c r="H1034" s="74" t="s">
        <v>1193</v>
      </c>
      <c r="I1034" s="59" t="s">
        <v>1194</v>
      </c>
      <c r="J1034" s="59" t="s">
        <v>1195</v>
      </c>
      <c r="K1034" s="69">
        <v>6102</v>
      </c>
      <c r="L1034" s="56">
        <v>238</v>
      </c>
      <c r="M1034" s="59" t="s">
        <v>34</v>
      </c>
      <c r="N1034" s="61">
        <v>1245.52</v>
      </c>
      <c r="O1034" s="59" t="s">
        <v>313</v>
      </c>
      <c r="P1034" s="62">
        <v>1245.52</v>
      </c>
      <c r="Q1034" s="63">
        <v>12</v>
      </c>
      <c r="R1034" s="62">
        <v>149.47</v>
      </c>
      <c r="S1034" s="61">
        <v>0</v>
      </c>
      <c r="T1034" s="62">
        <v>0</v>
      </c>
    </row>
    <row r="1035" spans="1:20" ht="11.1" customHeight="1" x14ac:dyDescent="0.25">
      <c r="A1035" s="56">
        <v>108909</v>
      </c>
      <c r="B1035" s="72">
        <v>46036</v>
      </c>
      <c r="C1035" s="68">
        <v>46036</v>
      </c>
      <c r="D1035" s="58" t="s">
        <v>1209</v>
      </c>
      <c r="E1035" s="59" t="s">
        <v>352</v>
      </c>
      <c r="F1035" s="56">
        <v>36</v>
      </c>
      <c r="G1035" s="73">
        <v>781</v>
      </c>
      <c r="H1035" s="74" t="s">
        <v>1193</v>
      </c>
      <c r="I1035" s="59" t="s">
        <v>1194</v>
      </c>
      <c r="J1035" s="59" t="s">
        <v>1195</v>
      </c>
      <c r="K1035" s="69">
        <v>6102</v>
      </c>
      <c r="L1035" s="56">
        <v>238</v>
      </c>
      <c r="M1035" s="59" t="s">
        <v>34</v>
      </c>
      <c r="N1035" s="61">
        <v>1301.04</v>
      </c>
      <c r="O1035" s="59" t="s">
        <v>313</v>
      </c>
      <c r="P1035" s="62">
        <v>1301.04</v>
      </c>
      <c r="Q1035" s="63">
        <v>12</v>
      </c>
      <c r="R1035" s="62">
        <v>156.13</v>
      </c>
      <c r="S1035" s="61">
        <v>0</v>
      </c>
      <c r="T1035" s="62">
        <v>0</v>
      </c>
    </row>
    <row r="1036" spans="1:20" ht="11.1" customHeight="1" x14ac:dyDescent="0.25">
      <c r="A1036" s="56">
        <v>108928</v>
      </c>
      <c r="B1036" s="72">
        <v>46036</v>
      </c>
      <c r="C1036" s="68">
        <v>46036</v>
      </c>
      <c r="D1036" s="58" t="s">
        <v>1210</v>
      </c>
      <c r="E1036" s="59" t="s">
        <v>352</v>
      </c>
      <c r="F1036" s="56">
        <v>36</v>
      </c>
      <c r="G1036" s="73">
        <v>781</v>
      </c>
      <c r="H1036" s="74" t="s">
        <v>1193</v>
      </c>
      <c r="I1036" s="59" t="s">
        <v>1194</v>
      </c>
      <c r="J1036" s="59" t="s">
        <v>1195</v>
      </c>
      <c r="K1036" s="69">
        <v>6403</v>
      </c>
      <c r="L1036" s="56">
        <v>207</v>
      </c>
      <c r="M1036" s="59" t="s">
        <v>34</v>
      </c>
      <c r="N1036" s="61">
        <v>12028.07</v>
      </c>
      <c r="O1036" s="59" t="s">
        <v>313</v>
      </c>
      <c r="P1036" s="62">
        <v>11241.15</v>
      </c>
      <c r="Q1036" s="63">
        <v>12</v>
      </c>
      <c r="R1036" s="62">
        <v>1348.91</v>
      </c>
      <c r="S1036" s="61">
        <v>0</v>
      </c>
      <c r="T1036" s="62">
        <v>786.92</v>
      </c>
    </row>
    <row r="1037" spans="1:20" ht="11.1" customHeight="1" x14ac:dyDescent="0.25">
      <c r="O1037" s="59" t="s">
        <v>436</v>
      </c>
      <c r="P1037" s="62">
        <v>11241.15</v>
      </c>
      <c r="Q1037" s="63">
        <v>19</v>
      </c>
      <c r="R1037" s="62">
        <v>786.92</v>
      </c>
      <c r="S1037" s="61">
        <v>0</v>
      </c>
      <c r="T1037" s="62">
        <v>0</v>
      </c>
    </row>
    <row r="1038" spans="1:20" ht="11.1" customHeight="1" x14ac:dyDescent="0.25">
      <c r="A1038" s="56">
        <v>108929</v>
      </c>
      <c r="B1038" s="72">
        <v>46036</v>
      </c>
      <c r="C1038" s="68">
        <v>46036</v>
      </c>
      <c r="D1038" s="58" t="s">
        <v>1210</v>
      </c>
      <c r="E1038" s="59" t="s">
        <v>352</v>
      </c>
      <c r="F1038" s="56">
        <v>36</v>
      </c>
      <c r="G1038" s="73">
        <v>781</v>
      </c>
      <c r="H1038" s="74" t="s">
        <v>1193</v>
      </c>
      <c r="I1038" s="59" t="s">
        <v>1194</v>
      </c>
      <c r="J1038" s="59" t="s">
        <v>1195</v>
      </c>
      <c r="K1038" s="69">
        <v>6102</v>
      </c>
      <c r="L1038" s="56">
        <v>238</v>
      </c>
      <c r="M1038" s="59" t="s">
        <v>34</v>
      </c>
      <c r="N1038" s="61">
        <v>22459.51</v>
      </c>
      <c r="O1038" s="59" t="s">
        <v>313</v>
      </c>
      <c r="P1038" s="62">
        <v>22459.51</v>
      </c>
      <c r="Q1038" s="63">
        <v>12</v>
      </c>
      <c r="R1038" s="62">
        <v>2695.14</v>
      </c>
      <c r="S1038" s="61">
        <v>0</v>
      </c>
      <c r="T1038" s="62">
        <v>0</v>
      </c>
    </row>
    <row r="1039" spans="1:20" ht="11.1" customHeight="1" x14ac:dyDescent="0.25">
      <c r="A1039" s="56">
        <v>108949</v>
      </c>
      <c r="B1039" s="72">
        <v>46037</v>
      </c>
      <c r="C1039" s="68">
        <v>46037</v>
      </c>
      <c r="D1039" s="58" t="s">
        <v>1211</v>
      </c>
      <c r="E1039" s="59" t="s">
        <v>352</v>
      </c>
      <c r="F1039" s="56">
        <v>36</v>
      </c>
      <c r="G1039" s="73">
        <v>781</v>
      </c>
      <c r="H1039" s="74" t="s">
        <v>1193</v>
      </c>
      <c r="I1039" s="59" t="s">
        <v>1194</v>
      </c>
      <c r="J1039" s="59" t="s">
        <v>1195</v>
      </c>
      <c r="K1039" s="69">
        <v>6403</v>
      </c>
      <c r="L1039" s="56">
        <v>207</v>
      </c>
      <c r="M1039" s="59" t="s">
        <v>34</v>
      </c>
      <c r="N1039" s="61">
        <v>316.12</v>
      </c>
      <c r="O1039" s="59" t="s">
        <v>313</v>
      </c>
      <c r="P1039" s="62">
        <v>295.44</v>
      </c>
      <c r="Q1039" s="63">
        <v>12</v>
      </c>
      <c r="R1039" s="62">
        <v>35.450000000000003</v>
      </c>
      <c r="S1039" s="61">
        <v>0</v>
      </c>
      <c r="T1039" s="62">
        <v>20.68</v>
      </c>
    </row>
    <row r="1040" spans="1:20" ht="11.1" customHeight="1" x14ac:dyDescent="0.25">
      <c r="O1040" s="59" t="s">
        <v>436</v>
      </c>
      <c r="P1040" s="62">
        <v>295.44</v>
      </c>
      <c r="Q1040" s="63">
        <v>19</v>
      </c>
      <c r="R1040" s="62">
        <v>20.68</v>
      </c>
      <c r="S1040" s="61">
        <v>0</v>
      </c>
      <c r="T1040" s="62">
        <v>0</v>
      </c>
    </row>
    <row r="1041" spans="1:20" ht="11.1" customHeight="1" x14ac:dyDescent="0.25">
      <c r="A1041" s="56">
        <v>108950</v>
      </c>
      <c r="B1041" s="72">
        <v>46037</v>
      </c>
      <c r="C1041" s="68">
        <v>46037</v>
      </c>
      <c r="D1041" s="58" t="s">
        <v>1211</v>
      </c>
      <c r="E1041" s="59" t="s">
        <v>352</v>
      </c>
      <c r="F1041" s="56">
        <v>36</v>
      </c>
      <c r="G1041" s="73">
        <v>781</v>
      </c>
      <c r="H1041" s="74" t="s">
        <v>1193</v>
      </c>
      <c r="I1041" s="59" t="s">
        <v>1194</v>
      </c>
      <c r="J1041" s="59" t="s">
        <v>1195</v>
      </c>
      <c r="K1041" s="69">
        <v>6102</v>
      </c>
      <c r="L1041" s="56">
        <v>238</v>
      </c>
      <c r="M1041" s="59" t="s">
        <v>34</v>
      </c>
      <c r="N1041" s="61">
        <v>392.16</v>
      </c>
      <c r="O1041" s="59" t="s">
        <v>313</v>
      </c>
      <c r="P1041" s="62">
        <v>392.16</v>
      </c>
      <c r="Q1041" s="63">
        <v>12</v>
      </c>
      <c r="R1041" s="62">
        <v>47.06</v>
      </c>
      <c r="S1041" s="61">
        <v>0</v>
      </c>
      <c r="T1041" s="62">
        <v>0</v>
      </c>
    </row>
    <row r="1042" spans="1:20" ht="11.1" customHeight="1" x14ac:dyDescent="0.25">
      <c r="A1042" s="56">
        <v>109089</v>
      </c>
      <c r="B1042" s="72">
        <v>46041</v>
      </c>
      <c r="C1042" s="68">
        <v>46041</v>
      </c>
      <c r="D1042" s="58" t="s">
        <v>1212</v>
      </c>
      <c r="E1042" s="59" t="s">
        <v>352</v>
      </c>
      <c r="F1042" s="56">
        <v>36</v>
      </c>
      <c r="G1042" s="73">
        <v>781</v>
      </c>
      <c r="H1042" s="74" t="s">
        <v>1193</v>
      </c>
      <c r="I1042" s="59" t="s">
        <v>1194</v>
      </c>
      <c r="J1042" s="59" t="s">
        <v>1195</v>
      </c>
      <c r="K1042" s="69">
        <v>6403</v>
      </c>
      <c r="L1042" s="56">
        <v>207</v>
      </c>
      <c r="M1042" s="59" t="s">
        <v>34</v>
      </c>
      <c r="N1042" s="61">
        <v>998.63</v>
      </c>
      <c r="O1042" s="59" t="s">
        <v>313</v>
      </c>
      <c r="P1042" s="62">
        <v>933.3</v>
      </c>
      <c r="Q1042" s="63">
        <v>12</v>
      </c>
      <c r="R1042" s="62">
        <v>111.99</v>
      </c>
      <c r="S1042" s="61">
        <v>0</v>
      </c>
      <c r="T1042" s="62">
        <v>65.33</v>
      </c>
    </row>
    <row r="1043" spans="1:20" ht="11.1" customHeight="1" x14ac:dyDescent="0.25">
      <c r="O1043" s="59" t="s">
        <v>436</v>
      </c>
      <c r="P1043" s="62">
        <v>933.3</v>
      </c>
      <c r="Q1043" s="63">
        <v>19</v>
      </c>
      <c r="R1043" s="62">
        <v>65.33</v>
      </c>
      <c r="S1043" s="61">
        <v>0</v>
      </c>
      <c r="T1043" s="62">
        <v>0</v>
      </c>
    </row>
    <row r="1044" spans="1:20" ht="11.1" customHeight="1" x14ac:dyDescent="0.25">
      <c r="A1044" s="56">
        <v>109090</v>
      </c>
      <c r="B1044" s="72">
        <v>46041</v>
      </c>
      <c r="C1044" s="68">
        <v>46041</v>
      </c>
      <c r="D1044" s="58" t="s">
        <v>1212</v>
      </c>
      <c r="E1044" s="59" t="s">
        <v>352</v>
      </c>
      <c r="F1044" s="56">
        <v>36</v>
      </c>
      <c r="G1044" s="73">
        <v>781</v>
      </c>
      <c r="H1044" s="74" t="s">
        <v>1193</v>
      </c>
      <c r="I1044" s="59" t="s">
        <v>1194</v>
      </c>
      <c r="J1044" s="59" t="s">
        <v>1195</v>
      </c>
      <c r="K1044" s="69">
        <v>6102</v>
      </c>
      <c r="L1044" s="56">
        <v>238</v>
      </c>
      <c r="M1044" s="59" t="s">
        <v>34</v>
      </c>
      <c r="N1044" s="61">
        <v>797.7</v>
      </c>
      <c r="O1044" s="59" t="s">
        <v>313</v>
      </c>
      <c r="P1044" s="62">
        <v>797.7</v>
      </c>
      <c r="Q1044" s="63">
        <v>12</v>
      </c>
      <c r="R1044" s="62">
        <v>95.72</v>
      </c>
      <c r="S1044" s="61">
        <v>0</v>
      </c>
      <c r="T1044" s="62">
        <v>0</v>
      </c>
    </row>
    <row r="1045" spans="1:20" ht="11.1" customHeight="1" x14ac:dyDescent="0.25">
      <c r="A1045" s="56">
        <v>109092</v>
      </c>
      <c r="B1045" s="72">
        <v>46041</v>
      </c>
      <c r="C1045" s="68">
        <v>46041</v>
      </c>
      <c r="D1045" s="58" t="s">
        <v>1213</v>
      </c>
      <c r="E1045" s="59" t="s">
        <v>352</v>
      </c>
      <c r="F1045" s="56">
        <v>36</v>
      </c>
      <c r="G1045" s="73">
        <v>781</v>
      </c>
      <c r="H1045" s="74" t="s">
        <v>1193</v>
      </c>
      <c r="I1045" s="59" t="s">
        <v>1194</v>
      </c>
      <c r="J1045" s="59" t="s">
        <v>1195</v>
      </c>
      <c r="K1045" s="69">
        <v>6403</v>
      </c>
      <c r="L1045" s="56">
        <v>207</v>
      </c>
      <c r="M1045" s="59" t="s">
        <v>34</v>
      </c>
      <c r="N1045" s="61">
        <v>1075.21</v>
      </c>
      <c r="O1045" s="59" t="s">
        <v>313</v>
      </c>
      <c r="P1045" s="62">
        <v>1004.86</v>
      </c>
      <c r="Q1045" s="63">
        <v>12</v>
      </c>
      <c r="R1045" s="62">
        <v>120.58</v>
      </c>
      <c r="S1045" s="61">
        <v>0</v>
      </c>
      <c r="T1045" s="62">
        <v>70.349999999999994</v>
      </c>
    </row>
    <row r="1046" spans="1:20" ht="11.1" customHeight="1" x14ac:dyDescent="0.25">
      <c r="O1046" s="59" t="s">
        <v>436</v>
      </c>
      <c r="P1046" s="62">
        <v>1004.86</v>
      </c>
      <c r="Q1046" s="63">
        <v>19</v>
      </c>
      <c r="R1046" s="62">
        <v>70.349999999999994</v>
      </c>
      <c r="S1046" s="61">
        <v>0</v>
      </c>
      <c r="T1046" s="62">
        <v>0</v>
      </c>
    </row>
    <row r="1047" spans="1:20" ht="11.1" customHeight="1" x14ac:dyDescent="0.25">
      <c r="A1047" s="56">
        <v>109093</v>
      </c>
      <c r="B1047" s="72">
        <v>46041</v>
      </c>
      <c r="C1047" s="68">
        <v>46041</v>
      </c>
      <c r="D1047" s="58" t="s">
        <v>1213</v>
      </c>
      <c r="E1047" s="59" t="s">
        <v>352</v>
      </c>
      <c r="F1047" s="56">
        <v>36</v>
      </c>
      <c r="G1047" s="73">
        <v>781</v>
      </c>
      <c r="H1047" s="74" t="s">
        <v>1193</v>
      </c>
      <c r="I1047" s="59" t="s">
        <v>1194</v>
      </c>
      <c r="J1047" s="59" t="s">
        <v>1195</v>
      </c>
      <c r="K1047" s="69">
        <v>6102</v>
      </c>
      <c r="L1047" s="56">
        <v>238</v>
      </c>
      <c r="M1047" s="59" t="s">
        <v>34</v>
      </c>
      <c r="N1047" s="61">
        <v>1607.07</v>
      </c>
      <c r="O1047" s="59" t="s">
        <v>313</v>
      </c>
      <c r="P1047" s="62">
        <v>1607.07</v>
      </c>
      <c r="Q1047" s="63">
        <v>12</v>
      </c>
      <c r="R1047" s="62">
        <v>192.84</v>
      </c>
      <c r="S1047" s="61">
        <v>0</v>
      </c>
      <c r="T1047" s="62">
        <v>0</v>
      </c>
    </row>
    <row r="1048" spans="1:20" ht="11.1" customHeight="1" x14ac:dyDescent="0.25">
      <c r="A1048" s="56">
        <v>109136</v>
      </c>
      <c r="B1048" s="72">
        <v>46042</v>
      </c>
      <c r="C1048" s="68">
        <v>46042</v>
      </c>
      <c r="D1048" s="58" t="s">
        <v>1214</v>
      </c>
      <c r="E1048" s="59" t="s">
        <v>352</v>
      </c>
      <c r="F1048" s="56">
        <v>36</v>
      </c>
      <c r="G1048" s="73">
        <v>781</v>
      </c>
      <c r="H1048" s="74" t="s">
        <v>1193</v>
      </c>
      <c r="I1048" s="59" t="s">
        <v>1194</v>
      </c>
      <c r="J1048" s="59" t="s">
        <v>1195</v>
      </c>
      <c r="K1048" s="69">
        <v>6403</v>
      </c>
      <c r="L1048" s="56">
        <v>207</v>
      </c>
      <c r="M1048" s="59" t="s">
        <v>34</v>
      </c>
      <c r="N1048" s="61">
        <v>211.25</v>
      </c>
      <c r="O1048" s="59" t="s">
        <v>313</v>
      </c>
      <c r="P1048" s="62">
        <v>197.43</v>
      </c>
      <c r="Q1048" s="63">
        <v>12</v>
      </c>
      <c r="R1048" s="62">
        <v>23.69</v>
      </c>
      <c r="S1048" s="61">
        <v>0</v>
      </c>
      <c r="T1048" s="62">
        <v>13.82</v>
      </c>
    </row>
    <row r="1049" spans="1:20" ht="11.1" customHeight="1" x14ac:dyDescent="0.25">
      <c r="O1049" s="59" t="s">
        <v>436</v>
      </c>
      <c r="P1049" s="62">
        <v>197.43</v>
      </c>
      <c r="Q1049" s="63">
        <v>19</v>
      </c>
      <c r="R1049" s="62">
        <v>13.82</v>
      </c>
      <c r="S1049" s="61">
        <v>0</v>
      </c>
      <c r="T1049" s="62">
        <v>0</v>
      </c>
    </row>
    <row r="1050" spans="1:20" ht="11.1" customHeight="1" x14ac:dyDescent="0.25">
      <c r="A1050" s="56">
        <v>109137</v>
      </c>
      <c r="B1050" s="72">
        <v>46042</v>
      </c>
      <c r="C1050" s="68">
        <v>46042</v>
      </c>
      <c r="D1050" s="58" t="s">
        <v>1214</v>
      </c>
      <c r="E1050" s="59" t="s">
        <v>352</v>
      </c>
      <c r="F1050" s="56">
        <v>36</v>
      </c>
      <c r="G1050" s="73">
        <v>781</v>
      </c>
      <c r="H1050" s="74" t="s">
        <v>1193</v>
      </c>
      <c r="I1050" s="59" t="s">
        <v>1194</v>
      </c>
      <c r="J1050" s="59" t="s">
        <v>1195</v>
      </c>
      <c r="K1050" s="69">
        <v>6102</v>
      </c>
      <c r="L1050" s="56">
        <v>238</v>
      </c>
      <c r="M1050" s="59" t="s">
        <v>34</v>
      </c>
      <c r="N1050" s="61">
        <v>112.2</v>
      </c>
      <c r="O1050" s="59" t="s">
        <v>313</v>
      </c>
      <c r="P1050" s="62">
        <v>112.2</v>
      </c>
      <c r="Q1050" s="63">
        <v>12</v>
      </c>
      <c r="R1050" s="62">
        <v>13.46</v>
      </c>
      <c r="S1050" s="61">
        <v>0</v>
      </c>
      <c r="T1050" s="62">
        <v>0</v>
      </c>
    </row>
    <row r="1051" spans="1:20" ht="11.1" customHeight="1" x14ac:dyDescent="0.25">
      <c r="A1051" s="56">
        <v>109146</v>
      </c>
      <c r="B1051" s="72">
        <v>46042</v>
      </c>
      <c r="C1051" s="68">
        <v>46042</v>
      </c>
      <c r="D1051" s="58" t="s">
        <v>1215</v>
      </c>
      <c r="E1051" s="59" t="s">
        <v>352</v>
      </c>
      <c r="F1051" s="56">
        <v>36</v>
      </c>
      <c r="G1051" s="73">
        <v>781</v>
      </c>
      <c r="H1051" s="74" t="s">
        <v>1193</v>
      </c>
      <c r="I1051" s="59" t="s">
        <v>1194</v>
      </c>
      <c r="J1051" s="59" t="s">
        <v>1195</v>
      </c>
      <c r="K1051" s="69">
        <v>6403</v>
      </c>
      <c r="L1051" s="56">
        <v>207</v>
      </c>
      <c r="M1051" s="59" t="s">
        <v>34</v>
      </c>
      <c r="N1051" s="61">
        <v>1791.37</v>
      </c>
      <c r="O1051" s="59" t="s">
        <v>313</v>
      </c>
      <c r="P1051" s="62">
        <v>1674.18</v>
      </c>
      <c r="Q1051" s="63">
        <v>12</v>
      </c>
      <c r="R1051" s="62">
        <v>200.9</v>
      </c>
      <c r="S1051" s="61">
        <v>0</v>
      </c>
      <c r="T1051" s="62">
        <v>117.19</v>
      </c>
    </row>
    <row r="1052" spans="1:20" ht="11.1" customHeight="1" x14ac:dyDescent="0.25">
      <c r="O1052" s="59" t="s">
        <v>436</v>
      </c>
      <c r="P1052" s="62">
        <v>1674.18</v>
      </c>
      <c r="Q1052" s="63">
        <v>19</v>
      </c>
      <c r="R1052" s="62">
        <v>117.19</v>
      </c>
      <c r="S1052" s="61">
        <v>0</v>
      </c>
      <c r="T1052" s="62">
        <v>0</v>
      </c>
    </row>
    <row r="1053" spans="1:20" ht="11.1" customHeight="1" x14ac:dyDescent="0.25">
      <c r="A1053" s="56">
        <v>109147</v>
      </c>
      <c r="B1053" s="72">
        <v>46042</v>
      </c>
      <c r="C1053" s="68">
        <v>46042</v>
      </c>
      <c r="D1053" s="58" t="s">
        <v>1215</v>
      </c>
      <c r="E1053" s="59" t="s">
        <v>352</v>
      </c>
      <c r="F1053" s="56">
        <v>36</v>
      </c>
      <c r="G1053" s="73">
        <v>781</v>
      </c>
      <c r="H1053" s="74" t="s">
        <v>1193</v>
      </c>
      <c r="I1053" s="59" t="s">
        <v>1194</v>
      </c>
      <c r="J1053" s="59" t="s">
        <v>1195</v>
      </c>
      <c r="K1053" s="69">
        <v>6102</v>
      </c>
      <c r="L1053" s="56">
        <v>238</v>
      </c>
      <c r="M1053" s="59" t="s">
        <v>34</v>
      </c>
      <c r="N1053" s="61">
        <v>344.64</v>
      </c>
      <c r="O1053" s="59" t="s">
        <v>313</v>
      </c>
      <c r="P1053" s="62">
        <v>344.64</v>
      </c>
      <c r="Q1053" s="63">
        <v>12</v>
      </c>
      <c r="R1053" s="62">
        <v>41.36</v>
      </c>
      <c r="S1053" s="61">
        <v>0</v>
      </c>
      <c r="T1053" s="62">
        <v>0</v>
      </c>
    </row>
    <row r="1054" spans="1:20" ht="11.1" customHeight="1" x14ac:dyDescent="0.25">
      <c r="A1054" s="56">
        <v>109249</v>
      </c>
      <c r="B1054" s="72">
        <v>46043</v>
      </c>
      <c r="C1054" s="68">
        <v>46043</v>
      </c>
      <c r="D1054" s="58" t="s">
        <v>1216</v>
      </c>
      <c r="E1054" s="59" t="s">
        <v>352</v>
      </c>
      <c r="F1054" s="56">
        <v>36</v>
      </c>
      <c r="G1054" s="73">
        <v>781</v>
      </c>
      <c r="H1054" s="74" t="s">
        <v>1193</v>
      </c>
      <c r="I1054" s="59" t="s">
        <v>1194</v>
      </c>
      <c r="J1054" s="59" t="s">
        <v>1195</v>
      </c>
      <c r="K1054" s="69">
        <v>6403</v>
      </c>
      <c r="L1054" s="56">
        <v>207</v>
      </c>
      <c r="M1054" s="59" t="s">
        <v>34</v>
      </c>
      <c r="N1054" s="61">
        <v>15874.56</v>
      </c>
      <c r="O1054" s="59" t="s">
        <v>313</v>
      </c>
      <c r="P1054" s="62">
        <v>14836.03</v>
      </c>
      <c r="Q1054" s="63">
        <v>12</v>
      </c>
      <c r="R1054" s="62">
        <v>1780.32</v>
      </c>
      <c r="S1054" s="61">
        <v>0</v>
      </c>
      <c r="T1054" s="62">
        <v>1038.53</v>
      </c>
    </row>
    <row r="1055" spans="1:20" ht="11.1" customHeight="1" x14ac:dyDescent="0.25">
      <c r="O1055" s="59" t="s">
        <v>436</v>
      </c>
      <c r="P1055" s="62">
        <v>14836.03</v>
      </c>
      <c r="Q1055" s="63">
        <v>19</v>
      </c>
      <c r="R1055" s="62">
        <v>1038.53</v>
      </c>
      <c r="S1055" s="61">
        <v>0</v>
      </c>
      <c r="T1055" s="62">
        <v>0</v>
      </c>
    </row>
    <row r="1056" spans="1:20" ht="11.1" customHeight="1" x14ac:dyDescent="0.25">
      <c r="A1056" s="56">
        <v>109250</v>
      </c>
      <c r="B1056" s="72">
        <v>46043</v>
      </c>
      <c r="C1056" s="68">
        <v>46043</v>
      </c>
      <c r="D1056" s="58" t="s">
        <v>1216</v>
      </c>
      <c r="E1056" s="59" t="s">
        <v>352</v>
      </c>
      <c r="F1056" s="56">
        <v>36</v>
      </c>
      <c r="G1056" s="73">
        <v>781</v>
      </c>
      <c r="H1056" s="74" t="s">
        <v>1193</v>
      </c>
      <c r="I1056" s="59" t="s">
        <v>1194</v>
      </c>
      <c r="J1056" s="59" t="s">
        <v>1195</v>
      </c>
      <c r="K1056" s="69">
        <v>6102</v>
      </c>
      <c r="L1056" s="56">
        <v>238</v>
      </c>
      <c r="M1056" s="59" t="s">
        <v>34</v>
      </c>
      <c r="N1056" s="61">
        <v>15775.89</v>
      </c>
      <c r="O1056" s="59" t="s">
        <v>313</v>
      </c>
      <c r="P1056" s="62">
        <v>15775.89</v>
      </c>
      <c r="Q1056" s="63">
        <v>12</v>
      </c>
      <c r="R1056" s="62">
        <v>1893.13</v>
      </c>
      <c r="S1056" s="61">
        <v>0</v>
      </c>
      <c r="T1056" s="62">
        <v>0</v>
      </c>
    </row>
    <row r="1057" spans="1:20" ht="11.1" customHeight="1" x14ac:dyDescent="0.25">
      <c r="A1057" s="56">
        <v>109251</v>
      </c>
      <c r="B1057" s="72">
        <v>46043</v>
      </c>
      <c r="C1057" s="68">
        <v>46043</v>
      </c>
      <c r="D1057" s="58" t="s">
        <v>1217</v>
      </c>
      <c r="E1057" s="59" t="s">
        <v>352</v>
      </c>
      <c r="F1057" s="56">
        <v>36</v>
      </c>
      <c r="G1057" s="73">
        <v>781</v>
      </c>
      <c r="H1057" s="74" t="s">
        <v>1193</v>
      </c>
      <c r="I1057" s="59" t="s">
        <v>1194</v>
      </c>
      <c r="J1057" s="59" t="s">
        <v>1195</v>
      </c>
      <c r="K1057" s="69">
        <v>6403</v>
      </c>
      <c r="L1057" s="56">
        <v>207</v>
      </c>
      <c r="M1057" s="59" t="s">
        <v>34</v>
      </c>
      <c r="N1057" s="61">
        <v>2646.04</v>
      </c>
      <c r="O1057" s="59" t="s">
        <v>313</v>
      </c>
      <c r="P1057" s="62">
        <v>2472.94</v>
      </c>
      <c r="Q1057" s="63">
        <v>12</v>
      </c>
      <c r="R1057" s="62">
        <v>296.76</v>
      </c>
      <c r="S1057" s="61">
        <v>0</v>
      </c>
      <c r="T1057" s="62">
        <v>173.1</v>
      </c>
    </row>
    <row r="1058" spans="1:20" ht="11.1" customHeight="1" x14ac:dyDescent="0.25">
      <c r="O1058" s="59" t="s">
        <v>436</v>
      </c>
      <c r="P1058" s="62">
        <v>2472.94</v>
      </c>
      <c r="Q1058" s="63">
        <v>19</v>
      </c>
      <c r="R1058" s="62">
        <v>173.1</v>
      </c>
      <c r="S1058" s="61">
        <v>0</v>
      </c>
      <c r="T1058" s="62">
        <v>0</v>
      </c>
    </row>
    <row r="1059" spans="1:20" ht="11.1" customHeight="1" x14ac:dyDescent="0.25">
      <c r="A1059" s="56">
        <v>109252</v>
      </c>
      <c r="B1059" s="72">
        <v>46043</v>
      </c>
      <c r="C1059" s="68">
        <v>46043</v>
      </c>
      <c r="D1059" s="58" t="s">
        <v>1217</v>
      </c>
      <c r="E1059" s="59" t="s">
        <v>352</v>
      </c>
      <c r="F1059" s="56">
        <v>36</v>
      </c>
      <c r="G1059" s="73">
        <v>781</v>
      </c>
      <c r="H1059" s="74" t="s">
        <v>1193</v>
      </c>
      <c r="I1059" s="59" t="s">
        <v>1194</v>
      </c>
      <c r="J1059" s="59" t="s">
        <v>1195</v>
      </c>
      <c r="K1059" s="69">
        <v>6102</v>
      </c>
      <c r="L1059" s="56">
        <v>238</v>
      </c>
      <c r="M1059" s="59" t="s">
        <v>34</v>
      </c>
      <c r="N1059" s="61">
        <v>1273.26</v>
      </c>
      <c r="O1059" s="59" t="s">
        <v>313</v>
      </c>
      <c r="P1059" s="62">
        <v>1273.26</v>
      </c>
      <c r="Q1059" s="63">
        <v>12</v>
      </c>
      <c r="R1059" s="62">
        <v>152.79</v>
      </c>
      <c r="S1059" s="61">
        <v>0</v>
      </c>
      <c r="T1059" s="62">
        <v>0</v>
      </c>
    </row>
    <row r="1060" spans="1:20" ht="11.1" customHeight="1" x14ac:dyDescent="0.25">
      <c r="A1060" s="56">
        <v>109289</v>
      </c>
      <c r="B1060" s="72">
        <v>46044</v>
      </c>
      <c r="C1060" s="68">
        <v>46044</v>
      </c>
      <c r="D1060" s="58" t="s">
        <v>1218</v>
      </c>
      <c r="E1060" s="59" t="s">
        <v>352</v>
      </c>
      <c r="F1060" s="56">
        <v>36</v>
      </c>
      <c r="G1060" s="73">
        <v>781</v>
      </c>
      <c r="H1060" s="74" t="s">
        <v>1193</v>
      </c>
      <c r="I1060" s="59" t="s">
        <v>1194</v>
      </c>
      <c r="J1060" s="59" t="s">
        <v>1195</v>
      </c>
      <c r="K1060" s="69">
        <v>6102</v>
      </c>
      <c r="L1060" s="56">
        <v>238</v>
      </c>
      <c r="M1060" s="59" t="s">
        <v>34</v>
      </c>
      <c r="N1060" s="61">
        <v>65.959999999999994</v>
      </c>
      <c r="O1060" s="59" t="s">
        <v>313</v>
      </c>
      <c r="P1060" s="62">
        <v>65.959999999999994</v>
      </c>
      <c r="Q1060" s="63">
        <v>12</v>
      </c>
      <c r="R1060" s="62">
        <v>7.92</v>
      </c>
      <c r="S1060" s="61">
        <v>0</v>
      </c>
      <c r="T1060" s="62">
        <v>0</v>
      </c>
    </row>
    <row r="1061" spans="1:20" ht="11.1" customHeight="1" x14ac:dyDescent="0.25">
      <c r="A1061" s="56">
        <v>109327</v>
      </c>
      <c r="B1061" s="72">
        <v>46045</v>
      </c>
      <c r="C1061" s="68">
        <v>46045</v>
      </c>
      <c r="D1061" s="58" t="s">
        <v>1219</v>
      </c>
      <c r="E1061" s="59" t="s">
        <v>352</v>
      </c>
      <c r="F1061" s="56">
        <v>36</v>
      </c>
      <c r="G1061" s="73">
        <v>781</v>
      </c>
      <c r="H1061" s="74" t="s">
        <v>1193</v>
      </c>
      <c r="I1061" s="59" t="s">
        <v>1194</v>
      </c>
      <c r="J1061" s="59" t="s">
        <v>1195</v>
      </c>
      <c r="K1061" s="69">
        <v>6403</v>
      </c>
      <c r="L1061" s="56">
        <v>207</v>
      </c>
      <c r="M1061" s="59" t="s">
        <v>34</v>
      </c>
      <c r="N1061" s="61">
        <v>977.71</v>
      </c>
      <c r="O1061" s="59" t="s">
        <v>313</v>
      </c>
      <c r="P1061" s="62">
        <v>913.75</v>
      </c>
      <c r="Q1061" s="63">
        <v>12</v>
      </c>
      <c r="R1061" s="62">
        <v>109.65</v>
      </c>
      <c r="S1061" s="61">
        <v>0</v>
      </c>
      <c r="T1061" s="62">
        <v>63.96</v>
      </c>
    </row>
    <row r="1062" spans="1:20" ht="11.1" customHeight="1" x14ac:dyDescent="0.25">
      <c r="O1062" s="59" t="s">
        <v>436</v>
      </c>
      <c r="P1062" s="62">
        <v>913.75</v>
      </c>
      <c r="Q1062" s="63">
        <v>19</v>
      </c>
      <c r="R1062" s="62">
        <v>63.96</v>
      </c>
      <c r="S1062" s="61">
        <v>0</v>
      </c>
      <c r="T1062" s="62">
        <v>0</v>
      </c>
    </row>
    <row r="1063" spans="1:20" ht="11.1" customHeight="1" x14ac:dyDescent="0.25">
      <c r="A1063" s="56">
        <v>109328</v>
      </c>
      <c r="B1063" s="72">
        <v>46045</v>
      </c>
      <c r="C1063" s="68">
        <v>46045</v>
      </c>
      <c r="D1063" s="58" t="s">
        <v>1219</v>
      </c>
      <c r="E1063" s="59" t="s">
        <v>352</v>
      </c>
      <c r="F1063" s="56">
        <v>36</v>
      </c>
      <c r="G1063" s="73">
        <v>781</v>
      </c>
      <c r="H1063" s="74" t="s">
        <v>1193</v>
      </c>
      <c r="I1063" s="59" t="s">
        <v>1194</v>
      </c>
      <c r="J1063" s="59" t="s">
        <v>1195</v>
      </c>
      <c r="K1063" s="69">
        <v>6102</v>
      </c>
      <c r="L1063" s="56">
        <v>238</v>
      </c>
      <c r="M1063" s="59" t="s">
        <v>34</v>
      </c>
      <c r="N1063" s="61">
        <v>241.47</v>
      </c>
      <c r="O1063" s="59" t="s">
        <v>313</v>
      </c>
      <c r="P1063" s="62">
        <v>241.47</v>
      </c>
      <c r="Q1063" s="63">
        <v>12</v>
      </c>
      <c r="R1063" s="62">
        <v>28.98</v>
      </c>
      <c r="S1063" s="61">
        <v>0</v>
      </c>
      <c r="T1063" s="62">
        <v>0</v>
      </c>
    </row>
    <row r="1064" spans="1:20" ht="11.1" customHeight="1" x14ac:dyDescent="0.25">
      <c r="A1064" s="56">
        <v>109427</v>
      </c>
      <c r="B1064" s="72">
        <v>46048</v>
      </c>
      <c r="C1064" s="68">
        <v>46048</v>
      </c>
      <c r="D1064" s="58" t="s">
        <v>1220</v>
      </c>
      <c r="E1064" s="59" t="s">
        <v>352</v>
      </c>
      <c r="F1064" s="56">
        <v>36</v>
      </c>
      <c r="G1064" s="73">
        <v>781</v>
      </c>
      <c r="H1064" s="74" t="s">
        <v>1193</v>
      </c>
      <c r="I1064" s="59" t="s">
        <v>1194</v>
      </c>
      <c r="J1064" s="59" t="s">
        <v>1195</v>
      </c>
      <c r="K1064" s="69">
        <v>6403</v>
      </c>
      <c r="L1064" s="56">
        <v>207</v>
      </c>
      <c r="M1064" s="59" t="s">
        <v>34</v>
      </c>
      <c r="N1064" s="61">
        <v>1312.08</v>
      </c>
      <c r="O1064" s="59" t="s">
        <v>313</v>
      </c>
      <c r="P1064" s="62">
        <v>1226.25</v>
      </c>
      <c r="Q1064" s="63">
        <v>12</v>
      </c>
      <c r="R1064" s="62">
        <v>147.15</v>
      </c>
      <c r="S1064" s="61">
        <v>0</v>
      </c>
      <c r="T1064" s="62">
        <v>85.83</v>
      </c>
    </row>
    <row r="1065" spans="1:20" ht="11.1" customHeight="1" x14ac:dyDescent="0.25">
      <c r="O1065" s="59" t="s">
        <v>436</v>
      </c>
      <c r="P1065" s="62">
        <v>1226.25</v>
      </c>
      <c r="Q1065" s="63">
        <v>19</v>
      </c>
      <c r="R1065" s="62">
        <v>85.83</v>
      </c>
      <c r="S1065" s="61">
        <v>0</v>
      </c>
      <c r="T1065" s="62">
        <v>0</v>
      </c>
    </row>
    <row r="1066" spans="1:20" ht="11.1" customHeight="1" x14ac:dyDescent="0.25">
      <c r="A1066" s="56">
        <v>109428</v>
      </c>
      <c r="B1066" s="72">
        <v>46048</v>
      </c>
      <c r="C1066" s="68">
        <v>46048</v>
      </c>
      <c r="D1066" s="58" t="s">
        <v>1220</v>
      </c>
      <c r="E1066" s="59" t="s">
        <v>352</v>
      </c>
      <c r="F1066" s="56">
        <v>36</v>
      </c>
      <c r="G1066" s="73">
        <v>781</v>
      </c>
      <c r="H1066" s="74" t="s">
        <v>1193</v>
      </c>
      <c r="I1066" s="59" t="s">
        <v>1194</v>
      </c>
      <c r="J1066" s="59" t="s">
        <v>1195</v>
      </c>
      <c r="K1066" s="69">
        <v>6102</v>
      </c>
      <c r="L1066" s="56">
        <v>238</v>
      </c>
      <c r="M1066" s="59" t="s">
        <v>34</v>
      </c>
      <c r="N1066" s="61">
        <v>1262.97</v>
      </c>
      <c r="O1066" s="59" t="s">
        <v>313</v>
      </c>
      <c r="P1066" s="62">
        <v>1262.97</v>
      </c>
      <c r="Q1066" s="63">
        <v>12</v>
      </c>
      <c r="R1066" s="62">
        <v>151.55000000000001</v>
      </c>
      <c r="S1066" s="61">
        <v>0</v>
      </c>
      <c r="T1066" s="62">
        <v>0</v>
      </c>
    </row>
    <row r="1067" spans="1:20" ht="11.1" customHeight="1" x14ac:dyDescent="0.25">
      <c r="A1067" s="56">
        <v>109465</v>
      </c>
      <c r="B1067" s="72">
        <v>46048</v>
      </c>
      <c r="C1067" s="68">
        <v>46048</v>
      </c>
      <c r="D1067" s="58" t="s">
        <v>1221</v>
      </c>
      <c r="E1067" s="59" t="s">
        <v>352</v>
      </c>
      <c r="F1067" s="56">
        <v>36</v>
      </c>
      <c r="G1067" s="73">
        <v>781</v>
      </c>
      <c r="H1067" s="74" t="s">
        <v>1193</v>
      </c>
      <c r="I1067" s="59" t="s">
        <v>1194</v>
      </c>
      <c r="J1067" s="59" t="s">
        <v>1195</v>
      </c>
      <c r="K1067" s="69">
        <v>6403</v>
      </c>
      <c r="L1067" s="56">
        <v>207</v>
      </c>
      <c r="M1067" s="59" t="s">
        <v>34</v>
      </c>
      <c r="N1067" s="61">
        <v>893.67</v>
      </c>
      <c r="O1067" s="59" t="s">
        <v>313</v>
      </c>
      <c r="P1067" s="62">
        <v>835.2</v>
      </c>
      <c r="Q1067" s="63">
        <v>12</v>
      </c>
      <c r="R1067" s="62">
        <v>100.22</v>
      </c>
      <c r="S1067" s="61">
        <v>0</v>
      </c>
      <c r="T1067" s="62">
        <v>58.47</v>
      </c>
    </row>
    <row r="1068" spans="1:20" ht="11.1" customHeight="1" x14ac:dyDescent="0.25">
      <c r="O1068" s="59" t="s">
        <v>436</v>
      </c>
      <c r="P1068" s="62">
        <v>835.2</v>
      </c>
      <c r="Q1068" s="63">
        <v>19</v>
      </c>
      <c r="R1068" s="62">
        <v>58.47</v>
      </c>
      <c r="S1068" s="61">
        <v>0</v>
      </c>
      <c r="T1068" s="62">
        <v>0</v>
      </c>
    </row>
    <row r="1069" spans="1:20" ht="11.1" customHeight="1" x14ac:dyDescent="0.25">
      <c r="A1069" s="56">
        <v>109486</v>
      </c>
      <c r="B1069" s="72">
        <v>46049</v>
      </c>
      <c r="C1069" s="68">
        <v>46049</v>
      </c>
      <c r="D1069" s="58" t="s">
        <v>1222</v>
      </c>
      <c r="E1069" s="59" t="s">
        <v>352</v>
      </c>
      <c r="F1069" s="56">
        <v>36</v>
      </c>
      <c r="G1069" s="73">
        <v>781</v>
      </c>
      <c r="H1069" s="74" t="s">
        <v>1193</v>
      </c>
      <c r="I1069" s="59" t="s">
        <v>1194</v>
      </c>
      <c r="J1069" s="59" t="s">
        <v>1195</v>
      </c>
      <c r="K1069" s="69">
        <v>6403</v>
      </c>
      <c r="L1069" s="56">
        <v>207</v>
      </c>
      <c r="M1069" s="59" t="s">
        <v>34</v>
      </c>
      <c r="N1069" s="61">
        <v>3691.68</v>
      </c>
      <c r="O1069" s="59" t="s">
        <v>313</v>
      </c>
      <c r="P1069" s="62">
        <v>3450.17</v>
      </c>
      <c r="Q1069" s="63">
        <v>12</v>
      </c>
      <c r="R1069" s="62">
        <v>414.02</v>
      </c>
      <c r="S1069" s="61">
        <v>0</v>
      </c>
      <c r="T1069" s="62">
        <v>241.51</v>
      </c>
    </row>
    <row r="1070" spans="1:20" ht="11.1" customHeight="1" x14ac:dyDescent="0.25">
      <c r="O1070" s="59" t="s">
        <v>436</v>
      </c>
      <c r="P1070" s="62">
        <v>3450.17</v>
      </c>
      <c r="Q1070" s="63">
        <v>19</v>
      </c>
      <c r="R1070" s="62">
        <v>241.51</v>
      </c>
      <c r="S1070" s="61">
        <v>0</v>
      </c>
      <c r="T1070" s="62">
        <v>0</v>
      </c>
    </row>
    <row r="1071" spans="1:20" ht="11.1" customHeight="1" x14ac:dyDescent="0.25">
      <c r="A1071" s="56">
        <v>109487</v>
      </c>
      <c r="B1071" s="72">
        <v>46049</v>
      </c>
      <c r="C1071" s="68">
        <v>46049</v>
      </c>
      <c r="D1071" s="58" t="s">
        <v>1222</v>
      </c>
      <c r="E1071" s="59" t="s">
        <v>352</v>
      </c>
      <c r="F1071" s="56">
        <v>36</v>
      </c>
      <c r="G1071" s="73">
        <v>781</v>
      </c>
      <c r="H1071" s="74" t="s">
        <v>1193</v>
      </c>
      <c r="I1071" s="59" t="s">
        <v>1194</v>
      </c>
      <c r="J1071" s="59" t="s">
        <v>1195</v>
      </c>
      <c r="K1071" s="69">
        <v>6102</v>
      </c>
      <c r="L1071" s="56">
        <v>238</v>
      </c>
      <c r="M1071" s="59" t="s">
        <v>34</v>
      </c>
      <c r="N1071" s="61">
        <v>942.87</v>
      </c>
      <c r="O1071" s="59" t="s">
        <v>313</v>
      </c>
      <c r="P1071" s="62">
        <v>942.87</v>
      </c>
      <c r="Q1071" s="63">
        <v>12</v>
      </c>
      <c r="R1071" s="62">
        <v>113.14</v>
      </c>
      <c r="S1071" s="61">
        <v>0</v>
      </c>
      <c r="T1071" s="62">
        <v>0</v>
      </c>
    </row>
    <row r="1072" spans="1:20" ht="11.1" customHeight="1" x14ac:dyDescent="0.25">
      <c r="A1072" s="56">
        <v>109547</v>
      </c>
      <c r="B1072" s="72">
        <v>46050</v>
      </c>
      <c r="C1072" s="68">
        <v>46050</v>
      </c>
      <c r="D1072" s="58" t="s">
        <v>1223</v>
      </c>
      <c r="E1072" s="59" t="s">
        <v>352</v>
      </c>
      <c r="F1072" s="56">
        <v>36</v>
      </c>
      <c r="G1072" s="73">
        <v>781</v>
      </c>
      <c r="H1072" s="74" t="s">
        <v>1193</v>
      </c>
      <c r="I1072" s="59" t="s">
        <v>1194</v>
      </c>
      <c r="J1072" s="59" t="s">
        <v>1195</v>
      </c>
      <c r="K1072" s="69">
        <v>6102</v>
      </c>
      <c r="L1072" s="56">
        <v>238</v>
      </c>
      <c r="M1072" s="59" t="s">
        <v>34</v>
      </c>
      <c r="N1072" s="61">
        <v>640.38</v>
      </c>
      <c r="O1072" s="59" t="s">
        <v>313</v>
      </c>
      <c r="P1072" s="62">
        <v>640.38</v>
      </c>
      <c r="Q1072" s="63">
        <v>12</v>
      </c>
      <c r="R1072" s="62">
        <v>76.849999999999994</v>
      </c>
      <c r="S1072" s="61">
        <v>0</v>
      </c>
      <c r="T1072" s="62">
        <v>0</v>
      </c>
    </row>
    <row r="1073" spans="1:20" ht="11.1" customHeight="1" x14ac:dyDescent="0.25">
      <c r="A1073" s="56">
        <v>109551</v>
      </c>
      <c r="B1073" s="72">
        <v>46050</v>
      </c>
      <c r="C1073" s="68">
        <v>46050</v>
      </c>
      <c r="D1073" s="58" t="s">
        <v>1224</v>
      </c>
      <c r="E1073" s="59" t="s">
        <v>352</v>
      </c>
      <c r="F1073" s="56">
        <v>36</v>
      </c>
      <c r="G1073" s="73">
        <v>781</v>
      </c>
      <c r="H1073" s="74" t="s">
        <v>1193</v>
      </c>
      <c r="I1073" s="59" t="s">
        <v>1194</v>
      </c>
      <c r="J1073" s="59" t="s">
        <v>1195</v>
      </c>
      <c r="K1073" s="69">
        <v>6403</v>
      </c>
      <c r="L1073" s="56">
        <v>207</v>
      </c>
      <c r="M1073" s="59" t="s">
        <v>34</v>
      </c>
      <c r="N1073" s="61">
        <v>220.98</v>
      </c>
      <c r="O1073" s="59" t="s">
        <v>313</v>
      </c>
      <c r="P1073" s="62">
        <v>206.52</v>
      </c>
      <c r="Q1073" s="63">
        <v>12</v>
      </c>
      <c r="R1073" s="62">
        <v>24.78</v>
      </c>
      <c r="S1073" s="61">
        <v>0</v>
      </c>
      <c r="T1073" s="62">
        <v>14.46</v>
      </c>
    </row>
    <row r="1074" spans="1:20" ht="11.1" customHeight="1" x14ac:dyDescent="0.25">
      <c r="O1074" s="59" t="s">
        <v>436</v>
      </c>
      <c r="P1074" s="62">
        <v>206.52</v>
      </c>
      <c r="Q1074" s="63">
        <v>19</v>
      </c>
      <c r="R1074" s="62">
        <v>14.46</v>
      </c>
      <c r="S1074" s="61">
        <v>0</v>
      </c>
      <c r="T1074" s="62">
        <v>0</v>
      </c>
    </row>
    <row r="1075" spans="1:20" ht="11.1" customHeight="1" x14ac:dyDescent="0.25">
      <c r="A1075" s="56">
        <v>109552</v>
      </c>
      <c r="B1075" s="72">
        <v>46050</v>
      </c>
      <c r="C1075" s="68">
        <v>46050</v>
      </c>
      <c r="D1075" s="58" t="s">
        <v>1224</v>
      </c>
      <c r="E1075" s="59" t="s">
        <v>352</v>
      </c>
      <c r="F1075" s="56">
        <v>36</v>
      </c>
      <c r="G1075" s="73">
        <v>781</v>
      </c>
      <c r="H1075" s="74" t="s">
        <v>1193</v>
      </c>
      <c r="I1075" s="59" t="s">
        <v>1194</v>
      </c>
      <c r="J1075" s="59" t="s">
        <v>1195</v>
      </c>
      <c r="K1075" s="69">
        <v>6102</v>
      </c>
      <c r="L1075" s="56">
        <v>238</v>
      </c>
      <c r="M1075" s="59" t="s">
        <v>34</v>
      </c>
      <c r="N1075" s="61">
        <v>228.96</v>
      </c>
      <c r="O1075" s="59" t="s">
        <v>313</v>
      </c>
      <c r="P1075" s="62">
        <v>228.96</v>
      </c>
      <c r="Q1075" s="63">
        <v>12</v>
      </c>
      <c r="R1075" s="62">
        <v>27.48</v>
      </c>
      <c r="S1075" s="61">
        <v>0</v>
      </c>
      <c r="T1075" s="62">
        <v>0</v>
      </c>
    </row>
    <row r="1076" spans="1:20" ht="11.1" customHeight="1" x14ac:dyDescent="0.25">
      <c r="A1076" s="56">
        <v>109555</v>
      </c>
      <c r="B1076" s="72">
        <v>46050</v>
      </c>
      <c r="C1076" s="68">
        <v>46050</v>
      </c>
      <c r="D1076" s="58" t="s">
        <v>1225</v>
      </c>
      <c r="E1076" s="59" t="s">
        <v>352</v>
      </c>
      <c r="F1076" s="56">
        <v>36</v>
      </c>
      <c r="G1076" s="73">
        <v>781</v>
      </c>
      <c r="H1076" s="74" t="s">
        <v>1193</v>
      </c>
      <c r="I1076" s="59" t="s">
        <v>1194</v>
      </c>
      <c r="J1076" s="59" t="s">
        <v>1195</v>
      </c>
      <c r="K1076" s="69">
        <v>6403</v>
      </c>
      <c r="L1076" s="56">
        <v>207</v>
      </c>
      <c r="M1076" s="59" t="s">
        <v>34</v>
      </c>
      <c r="N1076" s="61">
        <v>1212.28</v>
      </c>
      <c r="O1076" s="59" t="s">
        <v>313</v>
      </c>
      <c r="P1076" s="62">
        <v>1132.97</v>
      </c>
      <c r="Q1076" s="63">
        <v>12</v>
      </c>
      <c r="R1076" s="62">
        <v>135.94999999999999</v>
      </c>
      <c r="S1076" s="61">
        <v>0</v>
      </c>
      <c r="T1076" s="62">
        <v>79.31</v>
      </c>
    </row>
    <row r="1077" spans="1:20" ht="11.1" customHeight="1" x14ac:dyDescent="0.25">
      <c r="O1077" s="59" t="s">
        <v>436</v>
      </c>
      <c r="P1077" s="62">
        <v>1132.97</v>
      </c>
      <c r="Q1077" s="63">
        <v>19</v>
      </c>
      <c r="R1077" s="62">
        <v>79.31</v>
      </c>
      <c r="S1077" s="61">
        <v>0</v>
      </c>
      <c r="T1077" s="62">
        <v>0</v>
      </c>
    </row>
    <row r="1078" spans="1:20" ht="11.1" customHeight="1" x14ac:dyDescent="0.25">
      <c r="A1078" s="56">
        <v>109556</v>
      </c>
      <c r="B1078" s="72">
        <v>46050</v>
      </c>
      <c r="C1078" s="68">
        <v>46050</v>
      </c>
      <c r="D1078" s="58" t="s">
        <v>1225</v>
      </c>
      <c r="E1078" s="59" t="s">
        <v>352</v>
      </c>
      <c r="F1078" s="56">
        <v>36</v>
      </c>
      <c r="G1078" s="73">
        <v>781</v>
      </c>
      <c r="H1078" s="74" t="s">
        <v>1193</v>
      </c>
      <c r="I1078" s="59" t="s">
        <v>1194</v>
      </c>
      <c r="J1078" s="59" t="s">
        <v>1195</v>
      </c>
      <c r="K1078" s="69">
        <v>6102</v>
      </c>
      <c r="L1078" s="56">
        <v>238</v>
      </c>
      <c r="M1078" s="59" t="s">
        <v>34</v>
      </c>
      <c r="N1078" s="61">
        <v>2684.65</v>
      </c>
      <c r="O1078" s="59" t="s">
        <v>313</v>
      </c>
      <c r="P1078" s="62">
        <v>2684.65</v>
      </c>
      <c r="Q1078" s="63">
        <v>12</v>
      </c>
      <c r="R1078" s="62">
        <v>322.16000000000003</v>
      </c>
      <c r="S1078" s="61">
        <v>0</v>
      </c>
      <c r="T1078" s="62">
        <v>0</v>
      </c>
    </row>
    <row r="1079" spans="1:20" ht="11.1" customHeight="1" x14ac:dyDescent="0.25">
      <c r="A1079" s="56">
        <v>109560</v>
      </c>
      <c r="B1079" s="72">
        <v>46050</v>
      </c>
      <c r="C1079" s="68">
        <v>46050</v>
      </c>
      <c r="D1079" s="58" t="s">
        <v>1226</v>
      </c>
      <c r="E1079" s="59" t="s">
        <v>352</v>
      </c>
      <c r="F1079" s="56">
        <v>36</v>
      </c>
      <c r="G1079" s="73">
        <v>781</v>
      </c>
      <c r="H1079" s="74" t="s">
        <v>1193</v>
      </c>
      <c r="I1079" s="59" t="s">
        <v>1194</v>
      </c>
      <c r="J1079" s="59" t="s">
        <v>1195</v>
      </c>
      <c r="K1079" s="69">
        <v>6403</v>
      </c>
      <c r="L1079" s="56">
        <v>207</v>
      </c>
      <c r="M1079" s="59" t="s">
        <v>34</v>
      </c>
      <c r="N1079" s="61">
        <v>233.53</v>
      </c>
      <c r="O1079" s="59" t="s">
        <v>313</v>
      </c>
      <c r="P1079" s="62">
        <v>218.25</v>
      </c>
      <c r="Q1079" s="63">
        <v>12</v>
      </c>
      <c r="R1079" s="62">
        <v>26.19</v>
      </c>
      <c r="S1079" s="61">
        <v>0</v>
      </c>
      <c r="T1079" s="62">
        <v>15.28</v>
      </c>
    </row>
    <row r="1080" spans="1:20" ht="11.1" customHeight="1" x14ac:dyDescent="0.25">
      <c r="O1080" s="59" t="s">
        <v>436</v>
      </c>
      <c r="P1080" s="62">
        <v>218.25</v>
      </c>
      <c r="Q1080" s="63">
        <v>19</v>
      </c>
      <c r="R1080" s="62">
        <v>15.28</v>
      </c>
      <c r="S1080" s="61">
        <v>0</v>
      </c>
      <c r="T1080" s="62">
        <v>0</v>
      </c>
    </row>
    <row r="1081" spans="1:20" ht="11.1" customHeight="1" x14ac:dyDescent="0.25">
      <c r="A1081" s="56">
        <v>109585</v>
      </c>
      <c r="B1081" s="72">
        <v>46050</v>
      </c>
      <c r="C1081" s="68">
        <v>46050</v>
      </c>
      <c r="D1081" s="58" t="s">
        <v>1227</v>
      </c>
      <c r="E1081" s="59" t="s">
        <v>352</v>
      </c>
      <c r="F1081" s="56">
        <v>36</v>
      </c>
      <c r="G1081" s="73">
        <v>781</v>
      </c>
      <c r="H1081" s="74" t="s">
        <v>1193</v>
      </c>
      <c r="I1081" s="59" t="s">
        <v>1194</v>
      </c>
      <c r="J1081" s="59" t="s">
        <v>1195</v>
      </c>
      <c r="K1081" s="69">
        <v>6403</v>
      </c>
      <c r="L1081" s="56">
        <v>207</v>
      </c>
      <c r="M1081" s="59" t="s">
        <v>34</v>
      </c>
      <c r="N1081" s="61">
        <v>8060.24</v>
      </c>
      <c r="O1081" s="59" t="s">
        <v>313</v>
      </c>
      <c r="P1081" s="62">
        <v>7532.94</v>
      </c>
      <c r="Q1081" s="63">
        <v>12</v>
      </c>
      <c r="R1081" s="62">
        <v>903.96</v>
      </c>
      <c r="S1081" s="61">
        <v>0</v>
      </c>
      <c r="T1081" s="62">
        <v>527.29999999999995</v>
      </c>
    </row>
    <row r="1082" spans="1:20" ht="11.1" customHeight="1" x14ac:dyDescent="0.25">
      <c r="O1082" s="59" t="s">
        <v>436</v>
      </c>
      <c r="P1082" s="62">
        <v>7532.94</v>
      </c>
      <c r="Q1082" s="63">
        <v>19</v>
      </c>
      <c r="R1082" s="62">
        <v>527.29999999999995</v>
      </c>
      <c r="S1082" s="61">
        <v>0</v>
      </c>
      <c r="T1082" s="62">
        <v>0</v>
      </c>
    </row>
    <row r="1083" spans="1:20" ht="11.1" customHeight="1" x14ac:dyDescent="0.25">
      <c r="A1083" s="56">
        <v>109586</v>
      </c>
      <c r="B1083" s="72">
        <v>46050</v>
      </c>
      <c r="C1083" s="68">
        <v>46050</v>
      </c>
      <c r="D1083" s="58" t="s">
        <v>1227</v>
      </c>
      <c r="E1083" s="59" t="s">
        <v>352</v>
      </c>
      <c r="F1083" s="56">
        <v>36</v>
      </c>
      <c r="G1083" s="73">
        <v>781</v>
      </c>
      <c r="H1083" s="74" t="s">
        <v>1193</v>
      </c>
      <c r="I1083" s="59" t="s">
        <v>1194</v>
      </c>
      <c r="J1083" s="59" t="s">
        <v>1195</v>
      </c>
      <c r="K1083" s="69">
        <v>6102</v>
      </c>
      <c r="L1083" s="56">
        <v>238</v>
      </c>
      <c r="M1083" s="59" t="s">
        <v>34</v>
      </c>
      <c r="N1083" s="61">
        <v>10288.030000000001</v>
      </c>
      <c r="O1083" s="59" t="s">
        <v>313</v>
      </c>
      <c r="P1083" s="62">
        <v>10288.030000000001</v>
      </c>
      <c r="Q1083" s="63">
        <v>12</v>
      </c>
      <c r="R1083" s="62">
        <v>1234.56</v>
      </c>
      <c r="S1083" s="61">
        <v>0</v>
      </c>
      <c r="T1083" s="62">
        <v>0</v>
      </c>
    </row>
    <row r="1084" spans="1:20" ht="11.1" customHeight="1" x14ac:dyDescent="0.25">
      <c r="A1084" s="56">
        <v>109594</v>
      </c>
      <c r="B1084" s="72">
        <v>46051</v>
      </c>
      <c r="C1084" s="68">
        <v>46051</v>
      </c>
      <c r="D1084" s="58" t="s">
        <v>1228</v>
      </c>
      <c r="E1084" s="59" t="s">
        <v>352</v>
      </c>
      <c r="F1084" s="56">
        <v>36</v>
      </c>
      <c r="G1084" s="73">
        <v>781</v>
      </c>
      <c r="H1084" s="74" t="s">
        <v>1193</v>
      </c>
      <c r="I1084" s="59" t="s">
        <v>1194</v>
      </c>
      <c r="J1084" s="59" t="s">
        <v>1195</v>
      </c>
      <c r="K1084" s="69">
        <v>6403</v>
      </c>
      <c r="L1084" s="56">
        <v>207</v>
      </c>
      <c r="M1084" s="59" t="s">
        <v>34</v>
      </c>
      <c r="N1084" s="61">
        <v>158.83000000000001</v>
      </c>
      <c r="O1084" s="59" t="s">
        <v>313</v>
      </c>
      <c r="P1084" s="62">
        <v>148.44</v>
      </c>
      <c r="Q1084" s="63">
        <v>12</v>
      </c>
      <c r="R1084" s="62">
        <v>17.809999999999999</v>
      </c>
      <c r="S1084" s="61">
        <v>0</v>
      </c>
      <c r="T1084" s="62">
        <v>10.39</v>
      </c>
    </row>
    <row r="1085" spans="1:20" ht="11.1" customHeight="1" x14ac:dyDescent="0.25">
      <c r="O1085" s="59" t="s">
        <v>436</v>
      </c>
      <c r="P1085" s="62">
        <v>148.44</v>
      </c>
      <c r="Q1085" s="63">
        <v>19</v>
      </c>
      <c r="R1085" s="62">
        <v>10.39</v>
      </c>
      <c r="S1085" s="61">
        <v>0</v>
      </c>
      <c r="T1085" s="62">
        <v>0</v>
      </c>
    </row>
    <row r="1086" spans="1:20" ht="11.1" customHeight="1" x14ac:dyDescent="0.25">
      <c r="A1086" s="56">
        <v>109604</v>
      </c>
      <c r="B1086" s="72">
        <v>46051</v>
      </c>
      <c r="C1086" s="68">
        <v>46051</v>
      </c>
      <c r="D1086" s="58" t="s">
        <v>1229</v>
      </c>
      <c r="E1086" s="59" t="s">
        <v>352</v>
      </c>
      <c r="F1086" s="56">
        <v>36</v>
      </c>
      <c r="G1086" s="73">
        <v>781</v>
      </c>
      <c r="H1086" s="74" t="s">
        <v>1193</v>
      </c>
      <c r="I1086" s="59" t="s">
        <v>1194</v>
      </c>
      <c r="J1086" s="59" t="s">
        <v>1195</v>
      </c>
      <c r="K1086" s="69">
        <v>6102</v>
      </c>
      <c r="L1086" s="56">
        <v>238</v>
      </c>
      <c r="M1086" s="59" t="s">
        <v>34</v>
      </c>
      <c r="N1086" s="61">
        <v>58.16</v>
      </c>
      <c r="O1086" s="59" t="s">
        <v>313</v>
      </c>
      <c r="P1086" s="62">
        <v>58.16</v>
      </c>
      <c r="Q1086" s="63">
        <v>12</v>
      </c>
      <c r="R1086" s="62">
        <v>6.98</v>
      </c>
      <c r="S1086" s="61">
        <v>0</v>
      </c>
      <c r="T1086" s="62">
        <v>0</v>
      </c>
    </row>
    <row r="1087" spans="1:20" ht="11.1" customHeight="1" x14ac:dyDescent="0.25">
      <c r="A1087" s="56">
        <v>109649</v>
      </c>
      <c r="B1087" s="72">
        <v>46052</v>
      </c>
      <c r="C1087" s="68">
        <v>46052</v>
      </c>
      <c r="D1087" s="58" t="s">
        <v>1230</v>
      </c>
      <c r="E1087" s="59" t="s">
        <v>352</v>
      </c>
      <c r="F1087" s="56">
        <v>36</v>
      </c>
      <c r="G1087" s="73">
        <v>781</v>
      </c>
      <c r="H1087" s="74" t="s">
        <v>1193</v>
      </c>
      <c r="I1087" s="59" t="s">
        <v>1194</v>
      </c>
      <c r="J1087" s="59" t="s">
        <v>1195</v>
      </c>
      <c r="K1087" s="69">
        <v>6403</v>
      </c>
      <c r="L1087" s="56">
        <v>207</v>
      </c>
      <c r="M1087" s="59" t="s">
        <v>34</v>
      </c>
      <c r="N1087" s="61">
        <v>359.52</v>
      </c>
      <c r="O1087" s="59" t="s">
        <v>313</v>
      </c>
      <c r="P1087" s="62">
        <v>336</v>
      </c>
      <c r="Q1087" s="63">
        <v>12</v>
      </c>
      <c r="R1087" s="62">
        <v>40.32</v>
      </c>
      <c r="S1087" s="61">
        <v>0</v>
      </c>
      <c r="T1087" s="62">
        <v>23.52</v>
      </c>
    </row>
    <row r="1088" spans="1:20" ht="11.1" customHeight="1" x14ac:dyDescent="0.25">
      <c r="O1088" s="59" t="s">
        <v>436</v>
      </c>
      <c r="P1088" s="62">
        <v>336</v>
      </c>
      <c r="Q1088" s="63">
        <v>19</v>
      </c>
      <c r="R1088" s="62">
        <v>23.52</v>
      </c>
      <c r="S1088" s="61">
        <v>0</v>
      </c>
      <c r="T1088" s="62">
        <v>0</v>
      </c>
    </row>
    <row r="1089" spans="1:20" ht="11.1" customHeight="1" x14ac:dyDescent="0.25">
      <c r="A1089" s="56">
        <v>109651</v>
      </c>
      <c r="B1089" s="72">
        <v>46052</v>
      </c>
      <c r="C1089" s="68">
        <v>46052</v>
      </c>
      <c r="D1089" s="58" t="s">
        <v>1231</v>
      </c>
      <c r="E1089" s="59" t="s">
        <v>352</v>
      </c>
      <c r="F1089" s="56">
        <v>36</v>
      </c>
      <c r="G1089" s="73">
        <v>781</v>
      </c>
      <c r="H1089" s="74" t="s">
        <v>1193</v>
      </c>
      <c r="I1089" s="59" t="s">
        <v>1194</v>
      </c>
      <c r="J1089" s="59" t="s">
        <v>1195</v>
      </c>
      <c r="K1089" s="69">
        <v>6403</v>
      </c>
      <c r="L1089" s="56">
        <v>207</v>
      </c>
      <c r="M1089" s="59" t="s">
        <v>34</v>
      </c>
      <c r="N1089" s="61">
        <v>1024.33</v>
      </c>
      <c r="O1089" s="59" t="s">
        <v>313</v>
      </c>
      <c r="P1089" s="62">
        <v>957.31</v>
      </c>
      <c r="Q1089" s="63">
        <v>12</v>
      </c>
      <c r="R1089" s="62">
        <v>114.88</v>
      </c>
      <c r="S1089" s="61">
        <v>0</v>
      </c>
      <c r="T1089" s="62">
        <v>67.02</v>
      </c>
    </row>
    <row r="1090" spans="1:20" ht="11.1" customHeight="1" x14ac:dyDescent="0.25">
      <c r="O1090" s="59" t="s">
        <v>436</v>
      </c>
      <c r="P1090" s="62">
        <v>957.31</v>
      </c>
      <c r="Q1090" s="63">
        <v>19</v>
      </c>
      <c r="R1090" s="62">
        <v>67.02</v>
      </c>
      <c r="S1090" s="61">
        <v>0</v>
      </c>
      <c r="T1090" s="62">
        <v>0</v>
      </c>
    </row>
    <row r="1091" spans="1:20" ht="11.1" customHeight="1" x14ac:dyDescent="0.25">
      <c r="A1091" s="56">
        <v>109652</v>
      </c>
      <c r="B1091" s="72">
        <v>46052</v>
      </c>
      <c r="C1091" s="68">
        <v>46052</v>
      </c>
      <c r="D1091" s="58" t="s">
        <v>1231</v>
      </c>
      <c r="E1091" s="59" t="s">
        <v>352</v>
      </c>
      <c r="F1091" s="56">
        <v>36</v>
      </c>
      <c r="G1091" s="73">
        <v>781</v>
      </c>
      <c r="H1091" s="74" t="s">
        <v>1193</v>
      </c>
      <c r="I1091" s="59" t="s">
        <v>1194</v>
      </c>
      <c r="J1091" s="59" t="s">
        <v>1195</v>
      </c>
      <c r="K1091" s="69">
        <v>6102</v>
      </c>
      <c r="L1091" s="56">
        <v>238</v>
      </c>
      <c r="M1091" s="59" t="s">
        <v>34</v>
      </c>
      <c r="N1091" s="61">
        <v>111.15</v>
      </c>
      <c r="O1091" s="59" t="s">
        <v>313</v>
      </c>
      <c r="P1091" s="62">
        <v>111.15</v>
      </c>
      <c r="Q1091" s="63">
        <v>12</v>
      </c>
      <c r="R1091" s="62">
        <v>13.34</v>
      </c>
      <c r="S1091" s="61">
        <v>0</v>
      </c>
      <c r="T1091" s="62">
        <v>0</v>
      </c>
    </row>
    <row r="1092" spans="1:20" ht="11.1" customHeight="1" x14ac:dyDescent="0.25">
      <c r="A1092" s="56">
        <v>109654</v>
      </c>
      <c r="B1092" s="72">
        <v>46052</v>
      </c>
      <c r="C1092" s="68">
        <v>46052</v>
      </c>
      <c r="D1092" s="58" t="s">
        <v>1232</v>
      </c>
      <c r="E1092" s="59" t="s">
        <v>352</v>
      </c>
      <c r="F1092" s="56">
        <v>36</v>
      </c>
      <c r="G1092" s="73">
        <v>781</v>
      </c>
      <c r="H1092" s="74" t="s">
        <v>1193</v>
      </c>
      <c r="I1092" s="59" t="s">
        <v>1194</v>
      </c>
      <c r="J1092" s="59" t="s">
        <v>1195</v>
      </c>
      <c r="K1092" s="69">
        <v>6403</v>
      </c>
      <c r="L1092" s="56">
        <v>207</v>
      </c>
      <c r="M1092" s="59" t="s">
        <v>34</v>
      </c>
      <c r="N1092" s="61">
        <v>255.13</v>
      </c>
      <c r="O1092" s="59" t="s">
        <v>313</v>
      </c>
      <c r="P1092" s="62">
        <v>238.44</v>
      </c>
      <c r="Q1092" s="63">
        <v>12</v>
      </c>
      <c r="R1092" s="62">
        <v>28.61</v>
      </c>
      <c r="S1092" s="61">
        <v>0</v>
      </c>
      <c r="T1092" s="62">
        <v>16.690000000000001</v>
      </c>
    </row>
    <row r="1093" spans="1:20" ht="11.1" customHeight="1" x14ac:dyDescent="0.25">
      <c r="O1093" s="59" t="s">
        <v>436</v>
      </c>
      <c r="P1093" s="62">
        <v>238.44</v>
      </c>
      <c r="Q1093" s="63">
        <v>19</v>
      </c>
      <c r="R1093" s="62">
        <v>16.690000000000001</v>
      </c>
      <c r="S1093" s="61">
        <v>0</v>
      </c>
      <c r="T1093" s="62">
        <v>0</v>
      </c>
    </row>
    <row r="1094" spans="1:20" ht="11.1" customHeight="1" x14ac:dyDescent="0.25">
      <c r="A1094" s="56">
        <v>109682</v>
      </c>
      <c r="B1094" s="72">
        <v>46052</v>
      </c>
      <c r="C1094" s="68">
        <v>46052</v>
      </c>
      <c r="D1094" s="58" t="s">
        <v>1233</v>
      </c>
      <c r="E1094" s="59" t="s">
        <v>352</v>
      </c>
      <c r="F1094" s="56">
        <v>36</v>
      </c>
      <c r="G1094" s="73">
        <v>781</v>
      </c>
      <c r="H1094" s="74" t="s">
        <v>1193</v>
      </c>
      <c r="I1094" s="59" t="s">
        <v>1194</v>
      </c>
      <c r="J1094" s="59" t="s">
        <v>1195</v>
      </c>
      <c r="K1094" s="69">
        <v>6102</v>
      </c>
      <c r="L1094" s="56">
        <v>238</v>
      </c>
      <c r="M1094" s="59" t="s">
        <v>34</v>
      </c>
      <c r="N1094" s="61">
        <v>64.09</v>
      </c>
      <c r="O1094" s="59" t="s">
        <v>313</v>
      </c>
      <c r="P1094" s="62">
        <v>64.09</v>
      </c>
      <c r="Q1094" s="63">
        <v>12</v>
      </c>
      <c r="R1094" s="62">
        <v>7.69</v>
      </c>
      <c r="S1094" s="61">
        <v>0</v>
      </c>
      <c r="T1094" s="62">
        <v>0</v>
      </c>
    </row>
    <row r="1095" spans="1:20" ht="11.85" customHeight="1" x14ac:dyDescent="0.25">
      <c r="A1095" s="71" t="s">
        <v>620</v>
      </c>
      <c r="B1095" s="71"/>
      <c r="C1095" s="71"/>
      <c r="D1095" s="71"/>
      <c r="E1095" s="71"/>
      <c r="F1095" s="71"/>
      <c r="G1095" s="71"/>
      <c r="H1095" s="71"/>
    </row>
    <row r="1096" spans="1:20" ht="11.1" customHeight="1" x14ac:dyDescent="0.25">
      <c r="O1096" s="59" t="s">
        <v>313</v>
      </c>
      <c r="P1096" s="62">
        <v>172045.02</v>
      </c>
      <c r="R1096" s="62">
        <v>20645.43</v>
      </c>
      <c r="S1096" s="61">
        <v>0</v>
      </c>
      <c r="T1096" s="62">
        <v>5585.85</v>
      </c>
    </row>
    <row r="1097" spans="1:20" ht="11.1" customHeight="1" x14ac:dyDescent="0.25">
      <c r="O1097" s="59" t="s">
        <v>436</v>
      </c>
      <c r="P1097" s="62">
        <v>79797</v>
      </c>
      <c r="R1097" s="62">
        <v>5585.85</v>
      </c>
      <c r="S1097" s="61">
        <v>0</v>
      </c>
      <c r="T1097" s="62">
        <v>0</v>
      </c>
    </row>
    <row r="1098" spans="1:20" ht="11.1" customHeight="1" x14ac:dyDescent="0.25">
      <c r="A1098" s="56">
        <v>108382</v>
      </c>
      <c r="B1098" s="72">
        <v>46024</v>
      </c>
      <c r="C1098" s="68">
        <v>46024</v>
      </c>
      <c r="D1098" s="58" t="s">
        <v>1234</v>
      </c>
      <c r="E1098" s="59" t="s">
        <v>352</v>
      </c>
      <c r="F1098" s="56">
        <v>36</v>
      </c>
      <c r="G1098" s="73">
        <v>2</v>
      </c>
      <c r="H1098" s="74" t="s">
        <v>1235</v>
      </c>
      <c r="I1098" s="59" t="s">
        <v>1236</v>
      </c>
      <c r="J1098" s="59" t="s">
        <v>1237</v>
      </c>
      <c r="K1098" s="69">
        <v>5102</v>
      </c>
      <c r="L1098" s="56">
        <v>205</v>
      </c>
      <c r="M1098" s="59" t="s">
        <v>26</v>
      </c>
      <c r="N1098" s="61">
        <v>243.78</v>
      </c>
      <c r="O1098" s="59" t="s">
        <v>313</v>
      </c>
      <c r="P1098" s="62">
        <v>243.78</v>
      </c>
      <c r="Q1098" s="63">
        <v>20</v>
      </c>
      <c r="R1098" s="62">
        <v>48.76</v>
      </c>
      <c r="S1098" s="61">
        <v>0</v>
      </c>
      <c r="T1098" s="62">
        <v>0</v>
      </c>
    </row>
    <row r="1099" spans="1:20" ht="11.1" customHeight="1" x14ac:dyDescent="0.25">
      <c r="A1099" s="56">
        <v>108383</v>
      </c>
      <c r="B1099" s="72">
        <v>46024</v>
      </c>
      <c r="C1099" s="68">
        <v>46024</v>
      </c>
      <c r="D1099" s="58" t="s">
        <v>1234</v>
      </c>
      <c r="E1099" s="59" t="s">
        <v>352</v>
      </c>
      <c r="F1099" s="56">
        <v>36</v>
      </c>
      <c r="G1099" s="73">
        <v>2</v>
      </c>
      <c r="H1099" s="74" t="s">
        <v>1235</v>
      </c>
      <c r="I1099" s="59" t="s">
        <v>1236</v>
      </c>
      <c r="J1099" s="59" t="s">
        <v>1237</v>
      </c>
      <c r="K1099" s="69">
        <v>5403</v>
      </c>
      <c r="L1099" s="56">
        <v>207</v>
      </c>
      <c r="M1099" s="59" t="s">
        <v>26</v>
      </c>
      <c r="N1099" s="61">
        <v>121.42</v>
      </c>
      <c r="O1099" s="59" t="s">
        <v>313</v>
      </c>
      <c r="P1099" s="62">
        <v>113.48</v>
      </c>
      <c r="Q1099" s="63">
        <v>20</v>
      </c>
      <c r="R1099" s="62">
        <v>22.7</v>
      </c>
      <c r="S1099" s="61">
        <v>0</v>
      </c>
      <c r="T1099" s="62">
        <v>7.94</v>
      </c>
    </row>
    <row r="1100" spans="1:20" ht="11.1" customHeight="1" x14ac:dyDescent="0.25">
      <c r="O1100" s="59" t="s">
        <v>436</v>
      </c>
      <c r="P1100" s="62">
        <v>153.19999999999999</v>
      </c>
      <c r="Q1100" s="63">
        <v>20</v>
      </c>
      <c r="R1100" s="62">
        <v>7.94</v>
      </c>
      <c r="S1100" s="61">
        <v>0</v>
      </c>
      <c r="T1100" s="62">
        <v>0</v>
      </c>
    </row>
    <row r="1101" spans="1:20" ht="11.1" customHeight="1" x14ac:dyDescent="0.25">
      <c r="A1101" s="56">
        <v>108398</v>
      </c>
      <c r="B1101" s="72">
        <v>46024</v>
      </c>
      <c r="C1101" s="68">
        <v>46024</v>
      </c>
      <c r="D1101" s="58" t="s">
        <v>1238</v>
      </c>
      <c r="E1101" s="59" t="s">
        <v>352</v>
      </c>
      <c r="F1101" s="56">
        <v>36</v>
      </c>
      <c r="G1101" s="73">
        <v>2</v>
      </c>
      <c r="H1101" s="74" t="s">
        <v>1235</v>
      </c>
      <c r="I1101" s="59" t="s">
        <v>1236</v>
      </c>
      <c r="J1101" s="59" t="s">
        <v>1237</v>
      </c>
      <c r="K1101" s="69">
        <v>5403</v>
      </c>
      <c r="L1101" s="56">
        <v>207</v>
      </c>
      <c r="M1101" s="59" t="s">
        <v>26</v>
      </c>
      <c r="N1101" s="61">
        <v>407.02</v>
      </c>
      <c r="O1101" s="59" t="s">
        <v>313</v>
      </c>
      <c r="P1101" s="62">
        <v>380.39</v>
      </c>
      <c r="Q1101" s="63">
        <v>20</v>
      </c>
      <c r="R1101" s="62">
        <v>76.08</v>
      </c>
      <c r="S1101" s="61">
        <v>0</v>
      </c>
      <c r="T1101" s="62">
        <v>26.63</v>
      </c>
    </row>
    <row r="1102" spans="1:20" ht="11.1" customHeight="1" x14ac:dyDescent="0.25">
      <c r="O1102" s="59" t="s">
        <v>436</v>
      </c>
      <c r="P1102" s="62">
        <v>513.53</v>
      </c>
      <c r="Q1102" s="63">
        <v>20</v>
      </c>
      <c r="R1102" s="62">
        <v>26.63</v>
      </c>
      <c r="S1102" s="61">
        <v>0</v>
      </c>
      <c r="T1102" s="62">
        <v>0</v>
      </c>
    </row>
    <row r="1103" spans="1:20" ht="11.1" customHeight="1" x14ac:dyDescent="0.25">
      <c r="A1103" s="56">
        <v>108429</v>
      </c>
      <c r="B1103" s="72">
        <v>46027</v>
      </c>
      <c r="C1103" s="68">
        <v>46027</v>
      </c>
      <c r="D1103" s="58" t="s">
        <v>1239</v>
      </c>
      <c r="E1103" s="59" t="s">
        <v>352</v>
      </c>
      <c r="F1103" s="56">
        <v>36</v>
      </c>
      <c r="G1103" s="73">
        <v>2</v>
      </c>
      <c r="H1103" s="74" t="s">
        <v>1235</v>
      </c>
      <c r="I1103" s="59" t="s">
        <v>1236</v>
      </c>
      <c r="J1103" s="59" t="s">
        <v>1237</v>
      </c>
      <c r="K1103" s="69">
        <v>5403</v>
      </c>
      <c r="L1103" s="56">
        <v>207</v>
      </c>
      <c r="M1103" s="59" t="s">
        <v>26</v>
      </c>
      <c r="N1103" s="61">
        <v>43.7</v>
      </c>
      <c r="O1103" s="59" t="s">
        <v>313</v>
      </c>
      <c r="P1103" s="62">
        <v>40.840000000000003</v>
      </c>
      <c r="Q1103" s="63">
        <v>20</v>
      </c>
      <c r="R1103" s="62">
        <v>8.17</v>
      </c>
      <c r="S1103" s="61">
        <v>0</v>
      </c>
      <c r="T1103" s="62">
        <v>2.86</v>
      </c>
    </row>
    <row r="1104" spans="1:20" ht="11.1" customHeight="1" x14ac:dyDescent="0.25">
      <c r="O1104" s="59" t="s">
        <v>436</v>
      </c>
      <c r="P1104" s="62">
        <v>55.13</v>
      </c>
      <c r="Q1104" s="63">
        <v>20</v>
      </c>
      <c r="R1104" s="62">
        <v>2.86</v>
      </c>
      <c r="S1104" s="61">
        <v>0</v>
      </c>
      <c r="T1104" s="62">
        <v>0</v>
      </c>
    </row>
    <row r="1105" spans="1:20" ht="11.1" customHeight="1" x14ac:dyDescent="0.25">
      <c r="A1105" s="56">
        <v>108447</v>
      </c>
      <c r="B1105" s="72">
        <v>46027</v>
      </c>
      <c r="C1105" s="68">
        <v>46027</v>
      </c>
      <c r="D1105" s="58" t="s">
        <v>1240</v>
      </c>
      <c r="E1105" s="59" t="s">
        <v>352</v>
      </c>
      <c r="F1105" s="56">
        <v>36</v>
      </c>
      <c r="G1105" s="73">
        <v>2</v>
      </c>
      <c r="H1105" s="74" t="s">
        <v>1235</v>
      </c>
      <c r="I1105" s="59" t="s">
        <v>1236</v>
      </c>
      <c r="J1105" s="59" t="s">
        <v>1237</v>
      </c>
      <c r="K1105" s="69">
        <v>5102</v>
      </c>
      <c r="L1105" s="56">
        <v>205</v>
      </c>
      <c r="M1105" s="59" t="s">
        <v>26</v>
      </c>
      <c r="N1105" s="61">
        <v>96.5</v>
      </c>
      <c r="O1105" s="59" t="s">
        <v>313</v>
      </c>
      <c r="P1105" s="62">
        <v>96.5</v>
      </c>
      <c r="Q1105" s="63">
        <v>20</v>
      </c>
      <c r="R1105" s="62">
        <v>19.3</v>
      </c>
      <c r="S1105" s="61">
        <v>0</v>
      </c>
      <c r="T1105" s="62">
        <v>0</v>
      </c>
    </row>
    <row r="1106" spans="1:20" ht="11.1" customHeight="1" x14ac:dyDescent="0.25">
      <c r="A1106" s="56">
        <v>108501</v>
      </c>
      <c r="B1106" s="72">
        <v>46028</v>
      </c>
      <c r="C1106" s="68">
        <v>46028</v>
      </c>
      <c r="D1106" s="58" t="s">
        <v>1241</v>
      </c>
      <c r="E1106" s="59" t="s">
        <v>352</v>
      </c>
      <c r="F1106" s="56">
        <v>36</v>
      </c>
      <c r="G1106" s="73">
        <v>2</v>
      </c>
      <c r="H1106" s="74" t="s">
        <v>1235</v>
      </c>
      <c r="I1106" s="59" t="s">
        <v>1236</v>
      </c>
      <c r="J1106" s="59" t="s">
        <v>1237</v>
      </c>
      <c r="K1106" s="69">
        <v>5403</v>
      </c>
      <c r="L1106" s="56">
        <v>207</v>
      </c>
      <c r="M1106" s="59" t="s">
        <v>26</v>
      </c>
      <c r="N1106" s="61">
        <v>154.4</v>
      </c>
      <c r="O1106" s="59" t="s">
        <v>313</v>
      </c>
      <c r="P1106" s="62">
        <v>144.30000000000001</v>
      </c>
      <c r="Q1106" s="63">
        <v>20</v>
      </c>
      <c r="R1106" s="62">
        <v>28.86</v>
      </c>
      <c r="S1106" s="61">
        <v>0</v>
      </c>
      <c r="T1106" s="62">
        <v>10.1</v>
      </c>
    </row>
    <row r="1107" spans="1:20" ht="11.1" customHeight="1" x14ac:dyDescent="0.25">
      <c r="O1107" s="59" t="s">
        <v>436</v>
      </c>
      <c r="P1107" s="62">
        <v>194.81</v>
      </c>
      <c r="Q1107" s="63">
        <v>20</v>
      </c>
      <c r="R1107" s="62">
        <v>10.1</v>
      </c>
      <c r="S1107" s="61">
        <v>0</v>
      </c>
      <c r="T1107" s="62">
        <v>0</v>
      </c>
    </row>
    <row r="1108" spans="1:20" ht="11.1" customHeight="1" x14ac:dyDescent="0.25">
      <c r="A1108" s="56">
        <v>108507</v>
      </c>
      <c r="B1108" s="72">
        <v>46028</v>
      </c>
      <c r="C1108" s="68">
        <v>46028</v>
      </c>
      <c r="D1108" s="58" t="s">
        <v>1242</v>
      </c>
      <c r="E1108" s="59" t="s">
        <v>352</v>
      </c>
      <c r="F1108" s="56">
        <v>36</v>
      </c>
      <c r="G1108" s="73">
        <v>2</v>
      </c>
      <c r="H1108" s="74" t="s">
        <v>1235</v>
      </c>
      <c r="I1108" s="59" t="s">
        <v>1236</v>
      </c>
      <c r="J1108" s="59" t="s">
        <v>1237</v>
      </c>
      <c r="K1108" s="69">
        <v>5403</v>
      </c>
      <c r="L1108" s="56">
        <v>207</v>
      </c>
      <c r="M1108" s="59" t="s">
        <v>26</v>
      </c>
      <c r="N1108" s="61">
        <v>186.18</v>
      </c>
      <c r="O1108" s="59" t="s">
        <v>313</v>
      </c>
      <c r="P1108" s="62">
        <v>174</v>
      </c>
      <c r="Q1108" s="63">
        <v>20</v>
      </c>
      <c r="R1108" s="62">
        <v>34.799999999999997</v>
      </c>
      <c r="S1108" s="61">
        <v>0</v>
      </c>
      <c r="T1108" s="62">
        <v>12.18</v>
      </c>
    </row>
    <row r="1109" spans="1:20" ht="11.1" customHeight="1" x14ac:dyDescent="0.25">
      <c r="O1109" s="59" t="s">
        <v>436</v>
      </c>
      <c r="P1109" s="62">
        <v>234.9</v>
      </c>
      <c r="Q1109" s="63">
        <v>20</v>
      </c>
      <c r="R1109" s="62">
        <v>12.18</v>
      </c>
      <c r="S1109" s="61">
        <v>0</v>
      </c>
      <c r="T1109" s="62">
        <v>0</v>
      </c>
    </row>
    <row r="1110" spans="1:20" ht="11.1" customHeight="1" x14ac:dyDescent="0.25">
      <c r="A1110" s="56">
        <v>108563</v>
      </c>
      <c r="B1110" s="72">
        <v>46029</v>
      </c>
      <c r="C1110" s="68">
        <v>46029</v>
      </c>
      <c r="D1110" s="58" t="s">
        <v>1243</v>
      </c>
      <c r="E1110" s="59" t="s">
        <v>352</v>
      </c>
      <c r="F1110" s="56">
        <v>36</v>
      </c>
      <c r="G1110" s="73">
        <v>2</v>
      </c>
      <c r="H1110" s="74" t="s">
        <v>1235</v>
      </c>
      <c r="I1110" s="59" t="s">
        <v>1236</v>
      </c>
      <c r="J1110" s="59" t="s">
        <v>1237</v>
      </c>
      <c r="K1110" s="69">
        <v>5403</v>
      </c>
      <c r="L1110" s="56">
        <v>207</v>
      </c>
      <c r="M1110" s="59" t="s">
        <v>26</v>
      </c>
      <c r="N1110" s="61">
        <v>501.27</v>
      </c>
      <c r="O1110" s="59" t="s">
        <v>313</v>
      </c>
      <c r="P1110" s="62">
        <v>468.48</v>
      </c>
      <c r="Q1110" s="63">
        <v>20</v>
      </c>
      <c r="R1110" s="62">
        <v>93.7</v>
      </c>
      <c r="S1110" s="61">
        <v>0</v>
      </c>
      <c r="T1110" s="62">
        <v>32.79</v>
      </c>
    </row>
    <row r="1111" spans="1:20" ht="11.1" customHeight="1" x14ac:dyDescent="0.25">
      <c r="O1111" s="59" t="s">
        <v>436</v>
      </c>
      <c r="P1111" s="62">
        <v>632.45000000000005</v>
      </c>
      <c r="Q1111" s="63">
        <v>20</v>
      </c>
      <c r="R1111" s="62">
        <v>32.79</v>
      </c>
      <c r="S1111" s="61">
        <v>0</v>
      </c>
      <c r="T1111" s="62">
        <v>0</v>
      </c>
    </row>
    <row r="1112" spans="1:20" ht="11.1" customHeight="1" x14ac:dyDescent="0.25">
      <c r="A1112" s="56">
        <v>108568</v>
      </c>
      <c r="B1112" s="72">
        <v>46029</v>
      </c>
      <c r="C1112" s="68">
        <v>46029</v>
      </c>
      <c r="D1112" s="58" t="s">
        <v>1244</v>
      </c>
      <c r="E1112" s="59" t="s">
        <v>352</v>
      </c>
      <c r="F1112" s="56">
        <v>36</v>
      </c>
      <c r="G1112" s="73">
        <v>2</v>
      </c>
      <c r="H1112" s="74" t="s">
        <v>1235</v>
      </c>
      <c r="I1112" s="59" t="s">
        <v>1236</v>
      </c>
      <c r="J1112" s="59" t="s">
        <v>1237</v>
      </c>
      <c r="K1112" s="69">
        <v>5403</v>
      </c>
      <c r="L1112" s="56">
        <v>207</v>
      </c>
      <c r="M1112" s="59" t="s">
        <v>26</v>
      </c>
      <c r="N1112" s="61">
        <v>1572.71</v>
      </c>
      <c r="O1112" s="59" t="s">
        <v>313</v>
      </c>
      <c r="P1112" s="62">
        <v>1469.83</v>
      </c>
      <c r="Q1112" s="63">
        <v>20</v>
      </c>
      <c r="R1112" s="62">
        <v>293.97000000000003</v>
      </c>
      <c r="S1112" s="61">
        <v>0</v>
      </c>
      <c r="T1112" s="62">
        <v>102.88</v>
      </c>
    </row>
    <row r="1113" spans="1:20" ht="11.1" customHeight="1" x14ac:dyDescent="0.25">
      <c r="O1113" s="59" t="s">
        <v>436</v>
      </c>
      <c r="P1113" s="62">
        <v>1984.27</v>
      </c>
      <c r="Q1113" s="63">
        <v>20</v>
      </c>
      <c r="R1113" s="62">
        <v>102.88</v>
      </c>
      <c r="S1113" s="61">
        <v>0</v>
      </c>
      <c r="T1113" s="62">
        <v>0</v>
      </c>
    </row>
    <row r="1114" spans="1:20" ht="11.1" customHeight="1" x14ac:dyDescent="0.25">
      <c r="A1114" s="56">
        <v>108592</v>
      </c>
      <c r="B1114" s="72">
        <v>46029</v>
      </c>
      <c r="C1114" s="68">
        <v>46029</v>
      </c>
      <c r="D1114" s="58" t="s">
        <v>1245</v>
      </c>
      <c r="E1114" s="59" t="s">
        <v>352</v>
      </c>
      <c r="F1114" s="56">
        <v>36</v>
      </c>
      <c r="G1114" s="73">
        <v>2</v>
      </c>
      <c r="H1114" s="74" t="s">
        <v>1235</v>
      </c>
      <c r="I1114" s="59" t="s">
        <v>1236</v>
      </c>
      <c r="J1114" s="59" t="s">
        <v>1237</v>
      </c>
      <c r="K1114" s="69">
        <v>5403</v>
      </c>
      <c r="L1114" s="56">
        <v>207</v>
      </c>
      <c r="M1114" s="59" t="s">
        <v>26</v>
      </c>
      <c r="N1114" s="61">
        <v>756.94</v>
      </c>
      <c r="O1114" s="59" t="s">
        <v>313</v>
      </c>
      <c r="P1114" s="62">
        <v>707.42</v>
      </c>
      <c r="Q1114" s="63">
        <v>20</v>
      </c>
      <c r="R1114" s="62">
        <v>141.47999999999999</v>
      </c>
      <c r="S1114" s="61">
        <v>0</v>
      </c>
      <c r="T1114" s="62">
        <v>49.52</v>
      </c>
    </row>
    <row r="1115" spans="1:20" ht="11.1" customHeight="1" x14ac:dyDescent="0.25">
      <c r="O1115" s="59" t="s">
        <v>436</v>
      </c>
      <c r="P1115" s="62">
        <v>955.02</v>
      </c>
      <c r="Q1115" s="63">
        <v>20</v>
      </c>
      <c r="R1115" s="62">
        <v>49.52</v>
      </c>
      <c r="S1115" s="61">
        <v>0</v>
      </c>
      <c r="T1115" s="62">
        <v>0</v>
      </c>
    </row>
    <row r="1116" spans="1:20" ht="11.1" customHeight="1" x14ac:dyDescent="0.25">
      <c r="A1116" s="56">
        <v>108599</v>
      </c>
      <c r="B1116" s="72">
        <v>46029</v>
      </c>
      <c r="C1116" s="68">
        <v>46029</v>
      </c>
      <c r="D1116" s="58" t="s">
        <v>1246</v>
      </c>
      <c r="E1116" s="59" t="s">
        <v>352</v>
      </c>
      <c r="F1116" s="56">
        <v>36</v>
      </c>
      <c r="G1116" s="73">
        <v>2</v>
      </c>
      <c r="H1116" s="74" t="s">
        <v>1235</v>
      </c>
      <c r="I1116" s="59" t="s">
        <v>1236</v>
      </c>
      <c r="J1116" s="59" t="s">
        <v>1237</v>
      </c>
      <c r="K1116" s="69">
        <v>5403</v>
      </c>
      <c r="L1116" s="56">
        <v>207</v>
      </c>
      <c r="M1116" s="59" t="s">
        <v>26</v>
      </c>
      <c r="N1116" s="61">
        <v>183.77</v>
      </c>
      <c r="O1116" s="59" t="s">
        <v>313</v>
      </c>
      <c r="P1116" s="62">
        <v>171.76</v>
      </c>
      <c r="Q1116" s="63">
        <v>20</v>
      </c>
      <c r="R1116" s="62">
        <v>34.36</v>
      </c>
      <c r="S1116" s="61">
        <v>0</v>
      </c>
      <c r="T1116" s="62">
        <v>12.01</v>
      </c>
    </row>
    <row r="1117" spans="1:20" ht="11.1" customHeight="1" x14ac:dyDescent="0.25">
      <c r="O1117" s="59" t="s">
        <v>436</v>
      </c>
      <c r="P1117" s="62">
        <v>231.87</v>
      </c>
      <c r="Q1117" s="63">
        <v>20</v>
      </c>
      <c r="R1117" s="62">
        <v>12.01</v>
      </c>
      <c r="S1117" s="61">
        <v>0</v>
      </c>
      <c r="T1117" s="62">
        <v>0</v>
      </c>
    </row>
    <row r="1118" spans="1:20" ht="11.1" customHeight="1" x14ac:dyDescent="0.25">
      <c r="A1118" s="56">
        <v>108607</v>
      </c>
      <c r="B1118" s="72">
        <v>46029</v>
      </c>
      <c r="C1118" s="68">
        <v>46029</v>
      </c>
      <c r="D1118" s="58" t="s">
        <v>1247</v>
      </c>
      <c r="E1118" s="59" t="s">
        <v>352</v>
      </c>
      <c r="F1118" s="56">
        <v>36</v>
      </c>
      <c r="G1118" s="73">
        <v>2</v>
      </c>
      <c r="H1118" s="74" t="s">
        <v>1235</v>
      </c>
      <c r="I1118" s="59" t="s">
        <v>1236</v>
      </c>
      <c r="J1118" s="59" t="s">
        <v>1237</v>
      </c>
      <c r="K1118" s="69">
        <v>5102</v>
      </c>
      <c r="L1118" s="56">
        <v>205</v>
      </c>
      <c r="M1118" s="59" t="s">
        <v>26</v>
      </c>
      <c r="N1118" s="61">
        <v>118.95</v>
      </c>
      <c r="O1118" s="59" t="s">
        <v>313</v>
      </c>
      <c r="P1118" s="62">
        <v>118.95</v>
      </c>
      <c r="Q1118" s="63">
        <v>20</v>
      </c>
      <c r="R1118" s="62">
        <v>23.79</v>
      </c>
      <c r="S1118" s="61">
        <v>0</v>
      </c>
      <c r="T1118" s="62">
        <v>0</v>
      </c>
    </row>
    <row r="1119" spans="1:20" ht="11.1" customHeight="1" x14ac:dyDescent="0.25">
      <c r="A1119" s="56">
        <v>108636</v>
      </c>
      <c r="B1119" s="72">
        <v>46030</v>
      </c>
      <c r="C1119" s="68">
        <v>46030</v>
      </c>
      <c r="D1119" s="58" t="s">
        <v>1248</v>
      </c>
      <c r="E1119" s="59" t="s">
        <v>352</v>
      </c>
      <c r="F1119" s="56">
        <v>36</v>
      </c>
      <c r="G1119" s="73">
        <v>2</v>
      </c>
      <c r="H1119" s="74" t="s">
        <v>1235</v>
      </c>
      <c r="I1119" s="59" t="s">
        <v>1236</v>
      </c>
      <c r="J1119" s="59" t="s">
        <v>1237</v>
      </c>
      <c r="K1119" s="69">
        <v>5403</v>
      </c>
      <c r="L1119" s="56">
        <v>207</v>
      </c>
      <c r="M1119" s="59" t="s">
        <v>26</v>
      </c>
      <c r="N1119" s="61">
        <v>40.26</v>
      </c>
      <c r="O1119" s="59" t="s">
        <v>313</v>
      </c>
      <c r="P1119" s="62">
        <v>37.619999999999997</v>
      </c>
      <c r="Q1119" s="63">
        <v>20</v>
      </c>
      <c r="R1119" s="62">
        <v>7.52</v>
      </c>
      <c r="S1119" s="61">
        <v>0</v>
      </c>
      <c r="T1119" s="62">
        <v>2.64</v>
      </c>
    </row>
    <row r="1120" spans="1:20" ht="11.1" customHeight="1" x14ac:dyDescent="0.25">
      <c r="O1120" s="59" t="s">
        <v>436</v>
      </c>
      <c r="P1120" s="62">
        <v>50.79</v>
      </c>
      <c r="Q1120" s="63">
        <v>20</v>
      </c>
      <c r="R1120" s="62">
        <v>2.64</v>
      </c>
      <c r="S1120" s="61">
        <v>0</v>
      </c>
      <c r="T1120" s="62">
        <v>0</v>
      </c>
    </row>
    <row r="1121" spans="1:20" ht="11.1" customHeight="1" x14ac:dyDescent="0.25">
      <c r="A1121" s="56">
        <v>108641</v>
      </c>
      <c r="B1121" s="72">
        <v>46030</v>
      </c>
      <c r="C1121" s="68">
        <v>46030</v>
      </c>
      <c r="D1121" s="58" t="s">
        <v>1249</v>
      </c>
      <c r="E1121" s="59" t="s">
        <v>352</v>
      </c>
      <c r="F1121" s="56">
        <v>36</v>
      </c>
      <c r="G1121" s="73">
        <v>2</v>
      </c>
      <c r="H1121" s="74" t="s">
        <v>1235</v>
      </c>
      <c r="I1121" s="59" t="s">
        <v>1236</v>
      </c>
      <c r="J1121" s="59" t="s">
        <v>1237</v>
      </c>
      <c r="K1121" s="69">
        <v>5102</v>
      </c>
      <c r="L1121" s="56">
        <v>205</v>
      </c>
      <c r="M1121" s="59" t="s">
        <v>26</v>
      </c>
      <c r="N1121" s="61">
        <v>32.64</v>
      </c>
      <c r="O1121" s="59" t="s">
        <v>313</v>
      </c>
      <c r="P1121" s="62">
        <v>32.64</v>
      </c>
      <c r="Q1121" s="63">
        <v>20</v>
      </c>
      <c r="R1121" s="62">
        <v>6.53</v>
      </c>
      <c r="S1121" s="61">
        <v>0</v>
      </c>
      <c r="T1121" s="62">
        <v>0</v>
      </c>
    </row>
    <row r="1122" spans="1:20" ht="11.1" customHeight="1" x14ac:dyDescent="0.25">
      <c r="A1122" s="56">
        <v>108653</v>
      </c>
      <c r="B1122" s="72">
        <v>46030</v>
      </c>
      <c r="C1122" s="68">
        <v>46030</v>
      </c>
      <c r="D1122" s="58" t="s">
        <v>1250</v>
      </c>
      <c r="E1122" s="59" t="s">
        <v>352</v>
      </c>
      <c r="F1122" s="56">
        <v>36</v>
      </c>
      <c r="G1122" s="73">
        <v>2</v>
      </c>
      <c r="H1122" s="74" t="s">
        <v>1235</v>
      </c>
      <c r="I1122" s="59" t="s">
        <v>1236</v>
      </c>
      <c r="J1122" s="59" t="s">
        <v>1237</v>
      </c>
      <c r="K1122" s="69">
        <v>5102</v>
      </c>
      <c r="L1122" s="56">
        <v>205</v>
      </c>
      <c r="M1122" s="59" t="s">
        <v>26</v>
      </c>
      <c r="N1122" s="61">
        <v>185.72</v>
      </c>
      <c r="O1122" s="59" t="s">
        <v>313</v>
      </c>
      <c r="P1122" s="62">
        <v>185.72</v>
      </c>
      <c r="Q1122" s="63">
        <v>20</v>
      </c>
      <c r="R1122" s="62">
        <v>37.14</v>
      </c>
      <c r="S1122" s="61">
        <v>0</v>
      </c>
      <c r="T1122" s="62">
        <v>0</v>
      </c>
    </row>
    <row r="1123" spans="1:20" ht="11.1" customHeight="1" x14ac:dyDescent="0.25">
      <c r="A1123" s="56">
        <v>108654</v>
      </c>
      <c r="B1123" s="72">
        <v>46030</v>
      </c>
      <c r="C1123" s="68">
        <v>46030</v>
      </c>
      <c r="D1123" s="58" t="s">
        <v>1250</v>
      </c>
      <c r="E1123" s="59" t="s">
        <v>352</v>
      </c>
      <c r="F1123" s="56">
        <v>36</v>
      </c>
      <c r="G1123" s="73">
        <v>2</v>
      </c>
      <c r="H1123" s="74" t="s">
        <v>1235</v>
      </c>
      <c r="I1123" s="59" t="s">
        <v>1236</v>
      </c>
      <c r="J1123" s="59" t="s">
        <v>1237</v>
      </c>
      <c r="K1123" s="69">
        <v>5403</v>
      </c>
      <c r="L1123" s="56">
        <v>207</v>
      </c>
      <c r="M1123" s="59" t="s">
        <v>26</v>
      </c>
      <c r="N1123" s="61">
        <v>130.03</v>
      </c>
      <c r="O1123" s="59" t="s">
        <v>313</v>
      </c>
      <c r="P1123" s="62">
        <v>121.52</v>
      </c>
      <c r="Q1123" s="63">
        <v>20</v>
      </c>
      <c r="R1123" s="62">
        <v>24.3</v>
      </c>
      <c r="S1123" s="61">
        <v>0</v>
      </c>
      <c r="T1123" s="62">
        <v>8.51</v>
      </c>
    </row>
    <row r="1124" spans="1:20" ht="11.1" customHeight="1" x14ac:dyDescent="0.25">
      <c r="O1124" s="59" t="s">
        <v>436</v>
      </c>
      <c r="P1124" s="62">
        <v>164.05</v>
      </c>
      <c r="Q1124" s="63">
        <v>20</v>
      </c>
      <c r="R1124" s="62">
        <v>8.51</v>
      </c>
      <c r="S1124" s="61">
        <v>0</v>
      </c>
      <c r="T1124" s="62">
        <v>0</v>
      </c>
    </row>
    <row r="1125" spans="1:20" ht="11.1" customHeight="1" x14ac:dyDescent="0.25">
      <c r="A1125" s="56">
        <v>108688</v>
      </c>
      <c r="B1125" s="72">
        <v>46031</v>
      </c>
      <c r="C1125" s="68">
        <v>46031</v>
      </c>
      <c r="D1125" s="58" t="s">
        <v>1251</v>
      </c>
      <c r="E1125" s="59" t="s">
        <v>352</v>
      </c>
      <c r="F1125" s="56">
        <v>36</v>
      </c>
      <c r="G1125" s="73">
        <v>2</v>
      </c>
      <c r="H1125" s="74" t="s">
        <v>1235</v>
      </c>
      <c r="I1125" s="59" t="s">
        <v>1236</v>
      </c>
      <c r="J1125" s="59" t="s">
        <v>1237</v>
      </c>
      <c r="K1125" s="69">
        <v>5102</v>
      </c>
      <c r="L1125" s="56">
        <v>205</v>
      </c>
      <c r="M1125" s="59" t="s">
        <v>26</v>
      </c>
      <c r="N1125" s="61">
        <v>156.96</v>
      </c>
      <c r="O1125" s="59" t="s">
        <v>313</v>
      </c>
      <c r="P1125" s="62">
        <v>156.96</v>
      </c>
      <c r="Q1125" s="63">
        <v>20</v>
      </c>
      <c r="R1125" s="62">
        <v>31.39</v>
      </c>
      <c r="S1125" s="61">
        <v>0</v>
      </c>
      <c r="T1125" s="62">
        <v>0</v>
      </c>
    </row>
    <row r="1126" spans="1:20" ht="11.1" customHeight="1" x14ac:dyDescent="0.25">
      <c r="A1126" s="56">
        <v>108693</v>
      </c>
      <c r="B1126" s="72">
        <v>46031</v>
      </c>
      <c r="C1126" s="68">
        <v>46031</v>
      </c>
      <c r="D1126" s="58" t="s">
        <v>1252</v>
      </c>
      <c r="E1126" s="59" t="s">
        <v>352</v>
      </c>
      <c r="F1126" s="56">
        <v>36</v>
      </c>
      <c r="G1126" s="73">
        <v>2</v>
      </c>
      <c r="H1126" s="74" t="s">
        <v>1235</v>
      </c>
      <c r="I1126" s="59" t="s">
        <v>1236</v>
      </c>
      <c r="J1126" s="59" t="s">
        <v>1237</v>
      </c>
      <c r="K1126" s="69">
        <v>5403</v>
      </c>
      <c r="L1126" s="56">
        <v>207</v>
      </c>
      <c r="M1126" s="59" t="s">
        <v>26</v>
      </c>
      <c r="N1126" s="61">
        <v>626.77</v>
      </c>
      <c r="O1126" s="59" t="s">
        <v>313</v>
      </c>
      <c r="P1126" s="62">
        <v>585.76</v>
      </c>
      <c r="Q1126" s="63">
        <v>20</v>
      </c>
      <c r="R1126" s="62">
        <v>117.15</v>
      </c>
      <c r="S1126" s="61">
        <v>0</v>
      </c>
      <c r="T1126" s="62">
        <v>41.01</v>
      </c>
    </row>
    <row r="1127" spans="1:20" ht="11.1" customHeight="1" x14ac:dyDescent="0.25">
      <c r="O1127" s="59" t="s">
        <v>436</v>
      </c>
      <c r="P1127" s="62">
        <v>790.78</v>
      </c>
      <c r="Q1127" s="63">
        <v>20</v>
      </c>
      <c r="R1127" s="62">
        <v>41.01</v>
      </c>
      <c r="S1127" s="61">
        <v>0</v>
      </c>
      <c r="T1127" s="62">
        <v>0</v>
      </c>
    </row>
    <row r="1128" spans="1:20" ht="11.1" customHeight="1" x14ac:dyDescent="0.25">
      <c r="A1128" s="56">
        <v>108717</v>
      </c>
      <c r="B1128" s="72">
        <v>46031</v>
      </c>
      <c r="C1128" s="68">
        <v>46031</v>
      </c>
      <c r="D1128" s="58" t="s">
        <v>1253</v>
      </c>
      <c r="E1128" s="59" t="s">
        <v>352</v>
      </c>
      <c r="F1128" s="56">
        <v>36</v>
      </c>
      <c r="G1128" s="73">
        <v>2</v>
      </c>
      <c r="H1128" s="74" t="s">
        <v>1235</v>
      </c>
      <c r="I1128" s="59" t="s">
        <v>1236</v>
      </c>
      <c r="J1128" s="59" t="s">
        <v>1237</v>
      </c>
      <c r="K1128" s="69">
        <v>5102</v>
      </c>
      <c r="L1128" s="56">
        <v>205</v>
      </c>
      <c r="M1128" s="59" t="s">
        <v>26</v>
      </c>
      <c r="N1128" s="61">
        <v>567.36</v>
      </c>
      <c r="O1128" s="59" t="s">
        <v>313</v>
      </c>
      <c r="P1128" s="62">
        <v>567.36</v>
      </c>
      <c r="Q1128" s="63">
        <v>20</v>
      </c>
      <c r="R1128" s="62">
        <v>113.47</v>
      </c>
      <c r="S1128" s="61">
        <v>0</v>
      </c>
      <c r="T1128" s="62">
        <v>0</v>
      </c>
    </row>
    <row r="1129" spans="1:20" ht="11.1" customHeight="1" x14ac:dyDescent="0.25">
      <c r="A1129" s="56">
        <v>108718</v>
      </c>
      <c r="B1129" s="72">
        <v>46031</v>
      </c>
      <c r="C1129" s="68">
        <v>46031</v>
      </c>
      <c r="D1129" s="58" t="s">
        <v>1253</v>
      </c>
      <c r="E1129" s="59" t="s">
        <v>352</v>
      </c>
      <c r="F1129" s="56">
        <v>36</v>
      </c>
      <c r="G1129" s="73">
        <v>2</v>
      </c>
      <c r="H1129" s="74" t="s">
        <v>1235</v>
      </c>
      <c r="I1129" s="59" t="s">
        <v>1236</v>
      </c>
      <c r="J1129" s="59" t="s">
        <v>1237</v>
      </c>
      <c r="K1129" s="69">
        <v>5403</v>
      </c>
      <c r="L1129" s="56">
        <v>207</v>
      </c>
      <c r="M1129" s="59" t="s">
        <v>26</v>
      </c>
      <c r="N1129" s="61">
        <v>988</v>
      </c>
      <c r="O1129" s="59" t="s">
        <v>313</v>
      </c>
      <c r="P1129" s="62">
        <v>923.36</v>
      </c>
      <c r="Q1129" s="63">
        <v>20</v>
      </c>
      <c r="R1129" s="62">
        <v>184.67</v>
      </c>
      <c r="S1129" s="61">
        <v>0</v>
      </c>
      <c r="T1129" s="62">
        <v>64.64</v>
      </c>
    </row>
    <row r="1130" spans="1:20" ht="11.1" customHeight="1" x14ac:dyDescent="0.25">
      <c r="O1130" s="59" t="s">
        <v>436</v>
      </c>
      <c r="P1130" s="62">
        <v>1246.54</v>
      </c>
      <c r="Q1130" s="63">
        <v>20</v>
      </c>
      <c r="R1130" s="62">
        <v>64.64</v>
      </c>
      <c r="S1130" s="61">
        <v>0</v>
      </c>
      <c r="T1130" s="62">
        <v>0</v>
      </c>
    </row>
    <row r="1131" spans="1:20" ht="11.1" customHeight="1" x14ac:dyDescent="0.25">
      <c r="A1131" s="56">
        <v>108749</v>
      </c>
      <c r="B1131" s="72">
        <v>46031</v>
      </c>
      <c r="C1131" s="68">
        <v>46031</v>
      </c>
      <c r="D1131" s="58" t="s">
        <v>1254</v>
      </c>
      <c r="E1131" s="59" t="s">
        <v>352</v>
      </c>
      <c r="F1131" s="56">
        <v>36</v>
      </c>
      <c r="G1131" s="73">
        <v>2</v>
      </c>
      <c r="H1131" s="74" t="s">
        <v>1235</v>
      </c>
      <c r="I1131" s="59" t="s">
        <v>1236</v>
      </c>
      <c r="J1131" s="59" t="s">
        <v>1237</v>
      </c>
      <c r="K1131" s="69">
        <v>5403</v>
      </c>
      <c r="L1131" s="56">
        <v>207</v>
      </c>
      <c r="M1131" s="59" t="s">
        <v>26</v>
      </c>
      <c r="N1131" s="61">
        <v>983.91</v>
      </c>
      <c r="O1131" s="59" t="s">
        <v>313</v>
      </c>
      <c r="P1131" s="62">
        <v>919.55</v>
      </c>
      <c r="Q1131" s="63">
        <v>20</v>
      </c>
      <c r="R1131" s="62">
        <v>183.91</v>
      </c>
      <c r="S1131" s="61">
        <v>0</v>
      </c>
      <c r="T1131" s="62">
        <v>64.36</v>
      </c>
    </row>
    <row r="1132" spans="1:20" ht="11.1" customHeight="1" x14ac:dyDescent="0.25">
      <c r="O1132" s="59" t="s">
        <v>436</v>
      </c>
      <c r="P1132" s="62">
        <v>1241.3900000000001</v>
      </c>
      <c r="Q1132" s="63">
        <v>20</v>
      </c>
      <c r="R1132" s="62">
        <v>64.36</v>
      </c>
      <c r="S1132" s="61">
        <v>0</v>
      </c>
      <c r="T1132" s="62">
        <v>0</v>
      </c>
    </row>
    <row r="1133" spans="1:20" ht="11.1" customHeight="1" x14ac:dyDescent="0.25">
      <c r="A1133" s="56">
        <v>108750</v>
      </c>
      <c r="B1133" s="72">
        <v>46031</v>
      </c>
      <c r="C1133" s="68">
        <v>46031</v>
      </c>
      <c r="D1133" s="58" t="s">
        <v>1255</v>
      </c>
      <c r="E1133" s="59" t="s">
        <v>352</v>
      </c>
      <c r="F1133" s="56">
        <v>36</v>
      </c>
      <c r="G1133" s="73">
        <v>2</v>
      </c>
      <c r="H1133" s="74" t="s">
        <v>1235</v>
      </c>
      <c r="I1133" s="59" t="s">
        <v>1236</v>
      </c>
      <c r="J1133" s="59" t="s">
        <v>1237</v>
      </c>
      <c r="K1133" s="69">
        <v>5102</v>
      </c>
      <c r="L1133" s="56">
        <v>205</v>
      </c>
      <c r="M1133" s="59" t="s">
        <v>26</v>
      </c>
      <c r="N1133" s="61">
        <v>1092.03</v>
      </c>
      <c r="O1133" s="59" t="s">
        <v>313</v>
      </c>
      <c r="P1133" s="62">
        <v>1092.03</v>
      </c>
      <c r="Q1133" s="63">
        <v>20</v>
      </c>
      <c r="R1133" s="62">
        <v>218.41</v>
      </c>
      <c r="S1133" s="61">
        <v>0</v>
      </c>
      <c r="T1133" s="62">
        <v>0</v>
      </c>
    </row>
    <row r="1134" spans="1:20" ht="11.1" customHeight="1" x14ac:dyDescent="0.25">
      <c r="A1134" s="56">
        <v>108751</v>
      </c>
      <c r="B1134" s="72">
        <v>46031</v>
      </c>
      <c r="C1134" s="68">
        <v>46031</v>
      </c>
      <c r="D1134" s="58" t="s">
        <v>1255</v>
      </c>
      <c r="E1134" s="59" t="s">
        <v>352</v>
      </c>
      <c r="F1134" s="56">
        <v>36</v>
      </c>
      <c r="G1134" s="73">
        <v>2</v>
      </c>
      <c r="H1134" s="74" t="s">
        <v>1235</v>
      </c>
      <c r="I1134" s="59" t="s">
        <v>1236</v>
      </c>
      <c r="J1134" s="59" t="s">
        <v>1237</v>
      </c>
      <c r="K1134" s="69">
        <v>5403</v>
      </c>
      <c r="L1134" s="56">
        <v>207</v>
      </c>
      <c r="M1134" s="59" t="s">
        <v>26</v>
      </c>
      <c r="N1134" s="61">
        <v>1548.32</v>
      </c>
      <c r="O1134" s="59" t="s">
        <v>313</v>
      </c>
      <c r="P1134" s="62">
        <v>1447.03</v>
      </c>
      <c r="Q1134" s="63">
        <v>20</v>
      </c>
      <c r="R1134" s="62">
        <v>289.41000000000003</v>
      </c>
      <c r="S1134" s="61">
        <v>0</v>
      </c>
      <c r="T1134" s="62">
        <v>101.29</v>
      </c>
    </row>
    <row r="1135" spans="1:20" ht="11.1" customHeight="1" x14ac:dyDescent="0.25">
      <c r="O1135" s="59" t="s">
        <v>436</v>
      </c>
      <c r="P1135" s="62">
        <v>1953.5</v>
      </c>
      <c r="Q1135" s="63">
        <v>20</v>
      </c>
      <c r="R1135" s="62">
        <v>101.29</v>
      </c>
      <c r="S1135" s="61">
        <v>0</v>
      </c>
      <c r="T1135" s="62">
        <v>0</v>
      </c>
    </row>
    <row r="1136" spans="1:20" ht="11.1" customHeight="1" x14ac:dyDescent="0.25">
      <c r="A1136" s="56">
        <v>108756</v>
      </c>
      <c r="B1136" s="72">
        <v>46031</v>
      </c>
      <c r="C1136" s="68">
        <v>46031</v>
      </c>
      <c r="D1136" s="58" t="s">
        <v>1256</v>
      </c>
      <c r="E1136" s="59" t="s">
        <v>352</v>
      </c>
      <c r="F1136" s="56">
        <v>36</v>
      </c>
      <c r="G1136" s="73">
        <v>2</v>
      </c>
      <c r="H1136" s="74" t="s">
        <v>1235</v>
      </c>
      <c r="I1136" s="59" t="s">
        <v>1236</v>
      </c>
      <c r="J1136" s="59" t="s">
        <v>1237</v>
      </c>
      <c r="K1136" s="69">
        <v>5102</v>
      </c>
      <c r="L1136" s="56">
        <v>205</v>
      </c>
      <c r="M1136" s="59" t="s">
        <v>26</v>
      </c>
      <c r="N1136" s="61">
        <v>425.52</v>
      </c>
      <c r="O1136" s="59" t="s">
        <v>313</v>
      </c>
      <c r="P1136" s="62">
        <v>425.52</v>
      </c>
      <c r="Q1136" s="63">
        <v>20</v>
      </c>
      <c r="R1136" s="62">
        <v>85.1</v>
      </c>
      <c r="S1136" s="61">
        <v>0</v>
      </c>
      <c r="T1136" s="62">
        <v>0</v>
      </c>
    </row>
    <row r="1137" spans="1:20" ht="11.1" customHeight="1" x14ac:dyDescent="0.25">
      <c r="A1137" s="56">
        <v>108757</v>
      </c>
      <c r="B1137" s="72">
        <v>46031</v>
      </c>
      <c r="C1137" s="68">
        <v>46031</v>
      </c>
      <c r="D1137" s="58" t="s">
        <v>1257</v>
      </c>
      <c r="E1137" s="59" t="s">
        <v>352</v>
      </c>
      <c r="F1137" s="56">
        <v>36</v>
      </c>
      <c r="G1137" s="73">
        <v>2</v>
      </c>
      <c r="H1137" s="74" t="s">
        <v>1235</v>
      </c>
      <c r="I1137" s="59" t="s">
        <v>1236</v>
      </c>
      <c r="J1137" s="59" t="s">
        <v>1237</v>
      </c>
      <c r="K1137" s="69">
        <v>5403</v>
      </c>
      <c r="L1137" s="56">
        <v>207</v>
      </c>
      <c r="M1137" s="59" t="s">
        <v>26</v>
      </c>
      <c r="N1137" s="61">
        <v>988</v>
      </c>
      <c r="O1137" s="59" t="s">
        <v>313</v>
      </c>
      <c r="P1137" s="62">
        <v>923.36</v>
      </c>
      <c r="Q1137" s="63">
        <v>20</v>
      </c>
      <c r="R1137" s="62">
        <v>184.67</v>
      </c>
      <c r="S1137" s="61">
        <v>0</v>
      </c>
      <c r="T1137" s="62">
        <v>64.64</v>
      </c>
    </row>
    <row r="1138" spans="1:20" ht="11.1" customHeight="1" x14ac:dyDescent="0.25">
      <c r="O1138" s="59" t="s">
        <v>436</v>
      </c>
      <c r="P1138" s="62">
        <v>1246.54</v>
      </c>
      <c r="Q1138" s="63">
        <v>20</v>
      </c>
      <c r="R1138" s="62">
        <v>64.64</v>
      </c>
      <c r="S1138" s="61">
        <v>0</v>
      </c>
      <c r="T1138" s="62">
        <v>0</v>
      </c>
    </row>
    <row r="1139" spans="1:20" ht="11.1" customHeight="1" x14ac:dyDescent="0.25">
      <c r="A1139" s="56">
        <v>108758</v>
      </c>
      <c r="B1139" s="72">
        <v>46031</v>
      </c>
      <c r="C1139" s="68">
        <v>46031</v>
      </c>
      <c r="D1139" s="58" t="s">
        <v>1258</v>
      </c>
      <c r="E1139" s="59" t="s">
        <v>352</v>
      </c>
      <c r="F1139" s="56">
        <v>36</v>
      </c>
      <c r="G1139" s="73">
        <v>2</v>
      </c>
      <c r="H1139" s="74" t="s">
        <v>1235</v>
      </c>
      <c r="I1139" s="59" t="s">
        <v>1236</v>
      </c>
      <c r="J1139" s="59" t="s">
        <v>1237</v>
      </c>
      <c r="K1139" s="69">
        <v>5403</v>
      </c>
      <c r="L1139" s="56">
        <v>207</v>
      </c>
      <c r="M1139" s="59" t="s">
        <v>26</v>
      </c>
      <c r="N1139" s="61">
        <v>325.12</v>
      </c>
      <c r="O1139" s="59" t="s">
        <v>313</v>
      </c>
      <c r="P1139" s="62">
        <v>303.85000000000002</v>
      </c>
      <c r="Q1139" s="63">
        <v>20</v>
      </c>
      <c r="R1139" s="62">
        <v>60.77</v>
      </c>
      <c r="S1139" s="61">
        <v>0</v>
      </c>
      <c r="T1139" s="62">
        <v>21.27</v>
      </c>
    </row>
    <row r="1140" spans="1:20" ht="11.1" customHeight="1" x14ac:dyDescent="0.25">
      <c r="O1140" s="59" t="s">
        <v>436</v>
      </c>
      <c r="P1140" s="62">
        <v>410.2</v>
      </c>
      <c r="Q1140" s="63">
        <v>20</v>
      </c>
      <c r="R1140" s="62">
        <v>21.27</v>
      </c>
      <c r="S1140" s="61">
        <v>0</v>
      </c>
      <c r="T1140" s="62">
        <v>0</v>
      </c>
    </row>
    <row r="1141" spans="1:20" ht="11.1" customHeight="1" x14ac:dyDescent="0.25">
      <c r="A1141" s="56">
        <v>108766</v>
      </c>
      <c r="B1141" s="72">
        <v>46034</v>
      </c>
      <c r="C1141" s="68">
        <v>46034</v>
      </c>
      <c r="D1141" s="58" t="s">
        <v>1259</v>
      </c>
      <c r="E1141" s="59" t="s">
        <v>352</v>
      </c>
      <c r="F1141" s="56">
        <v>36</v>
      </c>
      <c r="G1141" s="73">
        <v>2</v>
      </c>
      <c r="H1141" s="74" t="s">
        <v>1235</v>
      </c>
      <c r="I1141" s="59" t="s">
        <v>1236</v>
      </c>
      <c r="J1141" s="59" t="s">
        <v>1237</v>
      </c>
      <c r="K1141" s="69">
        <v>5102</v>
      </c>
      <c r="L1141" s="56">
        <v>205</v>
      </c>
      <c r="M1141" s="59" t="s">
        <v>26</v>
      </c>
      <c r="N1141" s="61">
        <v>198.5</v>
      </c>
      <c r="O1141" s="59" t="s">
        <v>313</v>
      </c>
      <c r="P1141" s="62">
        <v>198.5</v>
      </c>
      <c r="Q1141" s="63">
        <v>20</v>
      </c>
      <c r="R1141" s="62">
        <v>39.700000000000003</v>
      </c>
      <c r="S1141" s="61">
        <v>0</v>
      </c>
      <c r="T1141" s="62">
        <v>0</v>
      </c>
    </row>
    <row r="1142" spans="1:20" ht="11.1" customHeight="1" x14ac:dyDescent="0.25">
      <c r="A1142" s="56">
        <v>108809</v>
      </c>
      <c r="B1142" s="72">
        <v>46034</v>
      </c>
      <c r="C1142" s="68">
        <v>46034</v>
      </c>
      <c r="D1142" s="58" t="s">
        <v>1260</v>
      </c>
      <c r="E1142" s="59" t="s">
        <v>352</v>
      </c>
      <c r="F1142" s="56">
        <v>36</v>
      </c>
      <c r="G1142" s="73">
        <v>2</v>
      </c>
      <c r="H1142" s="74" t="s">
        <v>1235</v>
      </c>
      <c r="I1142" s="59" t="s">
        <v>1236</v>
      </c>
      <c r="J1142" s="59" t="s">
        <v>1237</v>
      </c>
      <c r="K1142" s="69">
        <v>5102</v>
      </c>
      <c r="L1142" s="56">
        <v>205</v>
      </c>
      <c r="M1142" s="59" t="s">
        <v>26</v>
      </c>
      <c r="N1142" s="61">
        <v>25936.97</v>
      </c>
      <c r="O1142" s="59" t="s">
        <v>313</v>
      </c>
      <c r="P1142" s="62">
        <v>25936.97</v>
      </c>
      <c r="Q1142" s="63">
        <v>20</v>
      </c>
      <c r="R1142" s="62">
        <v>5187.41</v>
      </c>
      <c r="S1142" s="61">
        <v>0</v>
      </c>
      <c r="T1142" s="62">
        <v>0</v>
      </c>
    </row>
    <row r="1143" spans="1:20" ht="11.1" customHeight="1" x14ac:dyDescent="0.25">
      <c r="A1143" s="56">
        <v>108810</v>
      </c>
      <c r="B1143" s="72">
        <v>46034</v>
      </c>
      <c r="C1143" s="68">
        <v>46034</v>
      </c>
      <c r="D1143" s="58" t="s">
        <v>1260</v>
      </c>
      <c r="E1143" s="59" t="s">
        <v>352</v>
      </c>
      <c r="F1143" s="56">
        <v>36</v>
      </c>
      <c r="G1143" s="73">
        <v>2</v>
      </c>
      <c r="H1143" s="74" t="s">
        <v>1235</v>
      </c>
      <c r="I1143" s="59" t="s">
        <v>1236</v>
      </c>
      <c r="J1143" s="59" t="s">
        <v>1237</v>
      </c>
      <c r="K1143" s="69">
        <v>5405</v>
      </c>
      <c r="L1143" s="56">
        <v>206</v>
      </c>
      <c r="M1143" s="59" t="s">
        <v>26</v>
      </c>
      <c r="N1143" s="61">
        <v>475.05</v>
      </c>
      <c r="O1143" s="59" t="s">
        <v>313</v>
      </c>
      <c r="P1143" s="62">
        <v>0</v>
      </c>
      <c r="Q1143" s="63">
        <v>0</v>
      </c>
      <c r="R1143" s="62">
        <v>0</v>
      </c>
      <c r="S1143" s="61">
        <v>0</v>
      </c>
      <c r="T1143" s="62">
        <v>475.05</v>
      </c>
    </row>
    <row r="1144" spans="1:20" ht="11.1" customHeight="1" x14ac:dyDescent="0.25">
      <c r="A1144" s="56">
        <v>108811</v>
      </c>
      <c r="B1144" s="72">
        <v>46034</v>
      </c>
      <c r="C1144" s="68">
        <v>46034</v>
      </c>
      <c r="D1144" s="58" t="s">
        <v>1260</v>
      </c>
      <c r="E1144" s="59" t="s">
        <v>352</v>
      </c>
      <c r="F1144" s="56">
        <v>36</v>
      </c>
      <c r="G1144" s="73">
        <v>2</v>
      </c>
      <c r="H1144" s="74" t="s">
        <v>1235</v>
      </c>
      <c r="I1144" s="59" t="s">
        <v>1236</v>
      </c>
      <c r="J1144" s="59" t="s">
        <v>1237</v>
      </c>
      <c r="K1144" s="69">
        <v>5403</v>
      </c>
      <c r="L1144" s="56">
        <v>207</v>
      </c>
      <c r="M1144" s="59" t="s">
        <v>26</v>
      </c>
      <c r="N1144" s="61">
        <v>21635.5</v>
      </c>
      <c r="O1144" s="59" t="s">
        <v>313</v>
      </c>
      <c r="P1144" s="62">
        <v>20220.099999999999</v>
      </c>
      <c r="Q1144" s="63">
        <v>20</v>
      </c>
      <c r="R1144" s="62">
        <v>4044</v>
      </c>
      <c r="S1144" s="61">
        <v>0</v>
      </c>
      <c r="T1144" s="62">
        <v>1415.4</v>
      </c>
    </row>
    <row r="1145" spans="1:20" ht="11.1" customHeight="1" x14ac:dyDescent="0.25">
      <c r="O1145" s="59" t="s">
        <v>436</v>
      </c>
      <c r="P1145" s="62">
        <v>27297.16</v>
      </c>
      <c r="Q1145" s="63">
        <v>20</v>
      </c>
      <c r="R1145" s="62">
        <v>1415.4</v>
      </c>
      <c r="S1145" s="61">
        <v>0</v>
      </c>
      <c r="T1145" s="62">
        <v>0</v>
      </c>
    </row>
    <row r="1146" spans="1:20" ht="11.1" customHeight="1" x14ac:dyDescent="0.25">
      <c r="A1146" s="56">
        <v>108865</v>
      </c>
      <c r="B1146" s="72">
        <v>46035</v>
      </c>
      <c r="C1146" s="68">
        <v>46035</v>
      </c>
      <c r="D1146" s="58" t="s">
        <v>1261</v>
      </c>
      <c r="E1146" s="59" t="s">
        <v>352</v>
      </c>
      <c r="F1146" s="56">
        <v>36</v>
      </c>
      <c r="G1146" s="73">
        <v>2</v>
      </c>
      <c r="H1146" s="74" t="s">
        <v>1235</v>
      </c>
      <c r="I1146" s="59" t="s">
        <v>1236</v>
      </c>
      <c r="J1146" s="59" t="s">
        <v>1237</v>
      </c>
      <c r="K1146" s="69">
        <v>5102</v>
      </c>
      <c r="L1146" s="56">
        <v>205</v>
      </c>
      <c r="M1146" s="59" t="s">
        <v>26</v>
      </c>
      <c r="N1146" s="61">
        <v>7066.95</v>
      </c>
      <c r="O1146" s="59" t="s">
        <v>313</v>
      </c>
      <c r="P1146" s="62">
        <v>7066.95</v>
      </c>
      <c r="Q1146" s="63">
        <v>20</v>
      </c>
      <c r="R1146" s="62">
        <v>1413.39</v>
      </c>
      <c r="S1146" s="61">
        <v>0</v>
      </c>
      <c r="T1146" s="62">
        <v>0</v>
      </c>
    </row>
    <row r="1147" spans="1:20" ht="11.1" customHeight="1" x14ac:dyDescent="0.25">
      <c r="A1147" s="56">
        <v>108866</v>
      </c>
      <c r="B1147" s="72">
        <v>46035</v>
      </c>
      <c r="C1147" s="68">
        <v>46035</v>
      </c>
      <c r="D1147" s="58" t="s">
        <v>1262</v>
      </c>
      <c r="E1147" s="59" t="s">
        <v>352</v>
      </c>
      <c r="F1147" s="56">
        <v>36</v>
      </c>
      <c r="G1147" s="73">
        <v>2</v>
      </c>
      <c r="H1147" s="74" t="s">
        <v>1235</v>
      </c>
      <c r="I1147" s="59" t="s">
        <v>1236</v>
      </c>
      <c r="J1147" s="59" t="s">
        <v>1237</v>
      </c>
      <c r="K1147" s="69">
        <v>5102</v>
      </c>
      <c r="L1147" s="56">
        <v>205</v>
      </c>
      <c r="M1147" s="59" t="s">
        <v>26</v>
      </c>
      <c r="N1147" s="61">
        <v>195.22</v>
      </c>
      <c r="O1147" s="59" t="s">
        <v>313</v>
      </c>
      <c r="P1147" s="62">
        <v>195.22</v>
      </c>
      <c r="Q1147" s="63">
        <v>20</v>
      </c>
      <c r="R1147" s="62">
        <v>39.049999999999997</v>
      </c>
      <c r="S1147" s="61">
        <v>0</v>
      </c>
      <c r="T1147" s="62">
        <v>0</v>
      </c>
    </row>
    <row r="1148" spans="1:20" ht="11.1" customHeight="1" x14ac:dyDescent="0.25">
      <c r="A1148" s="56">
        <v>108867</v>
      </c>
      <c r="B1148" s="72">
        <v>46035</v>
      </c>
      <c r="C1148" s="68">
        <v>46035</v>
      </c>
      <c r="D1148" s="58" t="s">
        <v>1262</v>
      </c>
      <c r="E1148" s="59" t="s">
        <v>352</v>
      </c>
      <c r="F1148" s="56">
        <v>36</v>
      </c>
      <c r="G1148" s="73">
        <v>2</v>
      </c>
      <c r="H1148" s="74" t="s">
        <v>1235</v>
      </c>
      <c r="I1148" s="59" t="s">
        <v>1236</v>
      </c>
      <c r="J1148" s="59" t="s">
        <v>1237</v>
      </c>
      <c r="K1148" s="69">
        <v>5403</v>
      </c>
      <c r="L1148" s="56">
        <v>207</v>
      </c>
      <c r="M1148" s="59" t="s">
        <v>26</v>
      </c>
      <c r="N1148" s="61">
        <v>82.63</v>
      </c>
      <c r="O1148" s="59" t="s">
        <v>313</v>
      </c>
      <c r="P1148" s="62">
        <v>77.22</v>
      </c>
      <c r="Q1148" s="63">
        <v>20</v>
      </c>
      <c r="R1148" s="62">
        <v>15.44</v>
      </c>
      <c r="S1148" s="61">
        <v>0</v>
      </c>
      <c r="T1148" s="62">
        <v>5.41</v>
      </c>
    </row>
    <row r="1149" spans="1:20" ht="11.1" customHeight="1" x14ac:dyDescent="0.25">
      <c r="O1149" s="59" t="s">
        <v>436</v>
      </c>
      <c r="P1149" s="62">
        <v>104.25</v>
      </c>
      <c r="Q1149" s="63">
        <v>20</v>
      </c>
      <c r="R1149" s="62">
        <v>5.41</v>
      </c>
      <c r="S1149" s="61">
        <v>0</v>
      </c>
      <c r="T1149" s="62">
        <v>0</v>
      </c>
    </row>
    <row r="1150" spans="1:20" ht="11.1" customHeight="1" x14ac:dyDescent="0.25">
      <c r="A1150" s="56">
        <v>108888</v>
      </c>
      <c r="B1150" s="72">
        <v>46035</v>
      </c>
      <c r="C1150" s="68">
        <v>46035</v>
      </c>
      <c r="D1150" s="58" t="s">
        <v>1263</v>
      </c>
      <c r="E1150" s="59" t="s">
        <v>352</v>
      </c>
      <c r="F1150" s="56">
        <v>36</v>
      </c>
      <c r="G1150" s="73">
        <v>2</v>
      </c>
      <c r="H1150" s="74" t="s">
        <v>1235</v>
      </c>
      <c r="I1150" s="59" t="s">
        <v>1236</v>
      </c>
      <c r="J1150" s="59" t="s">
        <v>1237</v>
      </c>
      <c r="K1150" s="69">
        <v>5102</v>
      </c>
      <c r="L1150" s="56">
        <v>205</v>
      </c>
      <c r="M1150" s="59" t="s">
        <v>26</v>
      </c>
      <c r="N1150" s="61">
        <v>246.84</v>
      </c>
      <c r="O1150" s="59" t="s">
        <v>313</v>
      </c>
      <c r="P1150" s="62">
        <v>246.84</v>
      </c>
      <c r="Q1150" s="63">
        <v>20</v>
      </c>
      <c r="R1150" s="62">
        <v>49.37</v>
      </c>
      <c r="S1150" s="61">
        <v>0</v>
      </c>
      <c r="T1150" s="62">
        <v>0</v>
      </c>
    </row>
    <row r="1151" spans="1:20" ht="11.1" customHeight="1" x14ac:dyDescent="0.25">
      <c r="A1151" s="56">
        <v>108945</v>
      </c>
      <c r="B1151" s="72">
        <v>46037</v>
      </c>
      <c r="C1151" s="68">
        <v>46037</v>
      </c>
      <c r="D1151" s="58" t="s">
        <v>1264</v>
      </c>
      <c r="E1151" s="59" t="s">
        <v>352</v>
      </c>
      <c r="F1151" s="56">
        <v>36</v>
      </c>
      <c r="G1151" s="73">
        <v>2</v>
      </c>
      <c r="H1151" s="74" t="s">
        <v>1235</v>
      </c>
      <c r="I1151" s="59" t="s">
        <v>1236</v>
      </c>
      <c r="J1151" s="59" t="s">
        <v>1237</v>
      </c>
      <c r="K1151" s="69">
        <v>5102</v>
      </c>
      <c r="L1151" s="56">
        <v>205</v>
      </c>
      <c r="M1151" s="59" t="s">
        <v>26</v>
      </c>
      <c r="N1151" s="61">
        <v>322.8</v>
      </c>
      <c r="O1151" s="59" t="s">
        <v>313</v>
      </c>
      <c r="P1151" s="62">
        <v>322.8</v>
      </c>
      <c r="Q1151" s="63">
        <v>20</v>
      </c>
      <c r="R1151" s="62">
        <v>64.56</v>
      </c>
      <c r="S1151" s="61">
        <v>0</v>
      </c>
      <c r="T1151" s="62">
        <v>0</v>
      </c>
    </row>
    <row r="1152" spans="1:20" ht="11.1" customHeight="1" x14ac:dyDescent="0.25">
      <c r="A1152" s="56">
        <v>108976</v>
      </c>
      <c r="B1152" s="72">
        <v>46037</v>
      </c>
      <c r="C1152" s="68">
        <v>46037</v>
      </c>
      <c r="D1152" s="58" t="s">
        <v>1265</v>
      </c>
      <c r="E1152" s="59" t="s">
        <v>352</v>
      </c>
      <c r="F1152" s="56">
        <v>36</v>
      </c>
      <c r="G1152" s="73">
        <v>2</v>
      </c>
      <c r="H1152" s="74" t="s">
        <v>1235</v>
      </c>
      <c r="I1152" s="59" t="s">
        <v>1236</v>
      </c>
      <c r="J1152" s="59" t="s">
        <v>1237</v>
      </c>
      <c r="K1152" s="69">
        <v>5102</v>
      </c>
      <c r="L1152" s="56">
        <v>205</v>
      </c>
      <c r="M1152" s="59" t="s">
        <v>26</v>
      </c>
      <c r="N1152" s="61">
        <v>780.8</v>
      </c>
      <c r="O1152" s="59" t="s">
        <v>313</v>
      </c>
      <c r="P1152" s="62">
        <v>780.8</v>
      </c>
      <c r="Q1152" s="63">
        <v>20</v>
      </c>
      <c r="R1152" s="62">
        <v>156.16</v>
      </c>
      <c r="S1152" s="61">
        <v>0</v>
      </c>
      <c r="T1152" s="62">
        <v>0</v>
      </c>
    </row>
    <row r="1153" spans="1:20" ht="11.1" customHeight="1" x14ac:dyDescent="0.25">
      <c r="A1153" s="56">
        <v>109054</v>
      </c>
      <c r="B1153" s="72">
        <v>46038</v>
      </c>
      <c r="C1153" s="68">
        <v>46038</v>
      </c>
      <c r="D1153" s="58" t="s">
        <v>1266</v>
      </c>
      <c r="E1153" s="59" t="s">
        <v>352</v>
      </c>
      <c r="F1153" s="56">
        <v>36</v>
      </c>
      <c r="G1153" s="73">
        <v>2</v>
      </c>
      <c r="H1153" s="74" t="s">
        <v>1235</v>
      </c>
      <c r="I1153" s="59" t="s">
        <v>1236</v>
      </c>
      <c r="J1153" s="59" t="s">
        <v>1237</v>
      </c>
      <c r="K1153" s="69">
        <v>5102</v>
      </c>
      <c r="L1153" s="56">
        <v>205</v>
      </c>
      <c r="M1153" s="59" t="s">
        <v>26</v>
      </c>
      <c r="N1153" s="61">
        <v>206.91</v>
      </c>
      <c r="O1153" s="59" t="s">
        <v>313</v>
      </c>
      <c r="P1153" s="62">
        <v>206.91</v>
      </c>
      <c r="Q1153" s="63">
        <v>20</v>
      </c>
      <c r="R1153" s="62">
        <v>41.38</v>
      </c>
      <c r="S1153" s="61">
        <v>0</v>
      </c>
      <c r="T1153" s="62">
        <v>0</v>
      </c>
    </row>
    <row r="1154" spans="1:20" ht="11.1" customHeight="1" x14ac:dyDescent="0.25">
      <c r="A1154" s="56">
        <v>109055</v>
      </c>
      <c r="B1154" s="72">
        <v>46038</v>
      </c>
      <c r="C1154" s="68">
        <v>46038</v>
      </c>
      <c r="D1154" s="58" t="s">
        <v>1266</v>
      </c>
      <c r="E1154" s="59" t="s">
        <v>352</v>
      </c>
      <c r="F1154" s="56">
        <v>36</v>
      </c>
      <c r="G1154" s="73">
        <v>2</v>
      </c>
      <c r="H1154" s="74" t="s">
        <v>1235</v>
      </c>
      <c r="I1154" s="59" t="s">
        <v>1236</v>
      </c>
      <c r="J1154" s="59" t="s">
        <v>1237</v>
      </c>
      <c r="K1154" s="69">
        <v>5403</v>
      </c>
      <c r="L1154" s="56">
        <v>207</v>
      </c>
      <c r="M1154" s="59" t="s">
        <v>26</v>
      </c>
      <c r="N1154" s="61">
        <v>581.20000000000005</v>
      </c>
      <c r="O1154" s="59" t="s">
        <v>313</v>
      </c>
      <c r="P1154" s="62">
        <v>543.17999999999995</v>
      </c>
      <c r="Q1154" s="63">
        <v>20</v>
      </c>
      <c r="R1154" s="62">
        <v>108.64</v>
      </c>
      <c r="S1154" s="61">
        <v>0</v>
      </c>
      <c r="T1154" s="62">
        <v>38.020000000000003</v>
      </c>
    </row>
    <row r="1155" spans="1:20" ht="11.1" customHeight="1" x14ac:dyDescent="0.25">
      <c r="O1155" s="59" t="s">
        <v>436</v>
      </c>
      <c r="P1155" s="62">
        <v>733.29</v>
      </c>
      <c r="Q1155" s="63">
        <v>20</v>
      </c>
      <c r="R1155" s="62">
        <v>38.020000000000003</v>
      </c>
      <c r="S1155" s="61">
        <v>0</v>
      </c>
      <c r="T1155" s="62">
        <v>0</v>
      </c>
    </row>
    <row r="1156" spans="1:20" ht="11.1" customHeight="1" x14ac:dyDescent="0.25">
      <c r="A1156" s="56">
        <v>109086</v>
      </c>
      <c r="B1156" s="72">
        <v>46041</v>
      </c>
      <c r="C1156" s="68">
        <v>46041</v>
      </c>
      <c r="D1156" s="58" t="s">
        <v>1267</v>
      </c>
      <c r="E1156" s="59" t="s">
        <v>352</v>
      </c>
      <c r="F1156" s="56">
        <v>36</v>
      </c>
      <c r="G1156" s="73">
        <v>2</v>
      </c>
      <c r="H1156" s="74" t="s">
        <v>1235</v>
      </c>
      <c r="I1156" s="59" t="s">
        <v>1236</v>
      </c>
      <c r="J1156" s="59" t="s">
        <v>1237</v>
      </c>
      <c r="K1156" s="69">
        <v>5403</v>
      </c>
      <c r="L1156" s="56">
        <v>207</v>
      </c>
      <c r="M1156" s="59" t="s">
        <v>26</v>
      </c>
      <c r="N1156" s="61">
        <v>749.48</v>
      </c>
      <c r="O1156" s="59" t="s">
        <v>313</v>
      </c>
      <c r="P1156" s="62">
        <v>700.45</v>
      </c>
      <c r="Q1156" s="63">
        <v>20</v>
      </c>
      <c r="R1156" s="62">
        <v>140.09</v>
      </c>
      <c r="S1156" s="61">
        <v>0</v>
      </c>
      <c r="T1156" s="62">
        <v>49.03</v>
      </c>
    </row>
    <row r="1157" spans="1:20" ht="11.1" customHeight="1" x14ac:dyDescent="0.25">
      <c r="O1157" s="59" t="s">
        <v>436</v>
      </c>
      <c r="P1157" s="62">
        <v>945.61</v>
      </c>
      <c r="Q1157" s="63">
        <v>20</v>
      </c>
      <c r="R1157" s="62">
        <v>49.03</v>
      </c>
      <c r="S1157" s="61">
        <v>0</v>
      </c>
      <c r="T1157" s="62">
        <v>0</v>
      </c>
    </row>
    <row r="1158" spans="1:20" ht="11.1" customHeight="1" x14ac:dyDescent="0.25">
      <c r="A1158" s="56">
        <v>109087</v>
      </c>
      <c r="B1158" s="72">
        <v>46041</v>
      </c>
      <c r="C1158" s="68">
        <v>46041</v>
      </c>
      <c r="D1158" s="58" t="s">
        <v>1268</v>
      </c>
      <c r="E1158" s="59" t="s">
        <v>352</v>
      </c>
      <c r="F1158" s="56">
        <v>36</v>
      </c>
      <c r="G1158" s="73">
        <v>2</v>
      </c>
      <c r="H1158" s="74" t="s">
        <v>1235</v>
      </c>
      <c r="I1158" s="59" t="s">
        <v>1236</v>
      </c>
      <c r="J1158" s="59" t="s">
        <v>1237</v>
      </c>
      <c r="K1158" s="69">
        <v>5102</v>
      </c>
      <c r="L1158" s="56">
        <v>205</v>
      </c>
      <c r="M1158" s="59" t="s">
        <v>26</v>
      </c>
      <c r="N1158" s="61">
        <v>839.12</v>
      </c>
      <c r="O1158" s="59" t="s">
        <v>313</v>
      </c>
      <c r="P1158" s="62">
        <v>839.12</v>
      </c>
      <c r="Q1158" s="63">
        <v>20</v>
      </c>
      <c r="R1158" s="62">
        <v>167.82</v>
      </c>
      <c r="S1158" s="61">
        <v>0</v>
      </c>
      <c r="T1158" s="62">
        <v>0</v>
      </c>
    </row>
    <row r="1159" spans="1:20" ht="11.1" customHeight="1" x14ac:dyDescent="0.25">
      <c r="A1159" s="56">
        <v>109088</v>
      </c>
      <c r="B1159" s="72">
        <v>46041</v>
      </c>
      <c r="C1159" s="68">
        <v>46041</v>
      </c>
      <c r="D1159" s="58" t="s">
        <v>1269</v>
      </c>
      <c r="E1159" s="59" t="s">
        <v>352</v>
      </c>
      <c r="F1159" s="56">
        <v>36</v>
      </c>
      <c r="G1159" s="73">
        <v>2</v>
      </c>
      <c r="H1159" s="74" t="s">
        <v>1235</v>
      </c>
      <c r="I1159" s="59" t="s">
        <v>1236</v>
      </c>
      <c r="J1159" s="59" t="s">
        <v>1237</v>
      </c>
      <c r="K1159" s="69">
        <v>5102</v>
      </c>
      <c r="L1159" s="56">
        <v>205</v>
      </c>
      <c r="M1159" s="59" t="s">
        <v>26</v>
      </c>
      <c r="N1159" s="61">
        <v>365.13</v>
      </c>
      <c r="O1159" s="59" t="s">
        <v>313</v>
      </c>
      <c r="P1159" s="62">
        <v>365.13</v>
      </c>
      <c r="Q1159" s="63">
        <v>20</v>
      </c>
      <c r="R1159" s="62">
        <v>73.03</v>
      </c>
      <c r="S1159" s="61">
        <v>0</v>
      </c>
      <c r="T1159" s="62">
        <v>0</v>
      </c>
    </row>
    <row r="1160" spans="1:20" ht="11.1" customHeight="1" x14ac:dyDescent="0.25">
      <c r="A1160" s="56">
        <v>109115</v>
      </c>
      <c r="B1160" s="72">
        <v>46041</v>
      </c>
      <c r="C1160" s="68">
        <v>46041</v>
      </c>
      <c r="D1160" s="58" t="s">
        <v>1270</v>
      </c>
      <c r="E1160" s="59" t="s">
        <v>352</v>
      </c>
      <c r="F1160" s="56">
        <v>36</v>
      </c>
      <c r="G1160" s="73">
        <v>2</v>
      </c>
      <c r="H1160" s="74" t="s">
        <v>1235</v>
      </c>
      <c r="I1160" s="59" t="s">
        <v>1236</v>
      </c>
      <c r="J1160" s="59" t="s">
        <v>1237</v>
      </c>
      <c r="K1160" s="69">
        <v>5102</v>
      </c>
      <c r="L1160" s="56">
        <v>205</v>
      </c>
      <c r="M1160" s="59" t="s">
        <v>26</v>
      </c>
      <c r="N1160" s="61">
        <v>196.16</v>
      </c>
      <c r="O1160" s="59" t="s">
        <v>313</v>
      </c>
      <c r="P1160" s="62">
        <v>196.16</v>
      </c>
      <c r="Q1160" s="63">
        <v>20</v>
      </c>
      <c r="R1160" s="62">
        <v>39.229999999999997</v>
      </c>
      <c r="S1160" s="61">
        <v>0</v>
      </c>
      <c r="T1160" s="62">
        <v>0</v>
      </c>
    </row>
    <row r="1161" spans="1:20" ht="11.1" customHeight="1" x14ac:dyDescent="0.25">
      <c r="A1161" s="56">
        <v>109144</v>
      </c>
      <c r="B1161" s="72">
        <v>46042</v>
      </c>
      <c r="C1161" s="68">
        <v>46042</v>
      </c>
      <c r="D1161" s="58" t="s">
        <v>1271</v>
      </c>
      <c r="E1161" s="59" t="s">
        <v>352</v>
      </c>
      <c r="F1161" s="56">
        <v>36</v>
      </c>
      <c r="G1161" s="73">
        <v>2</v>
      </c>
      <c r="H1161" s="74" t="s">
        <v>1235</v>
      </c>
      <c r="I1161" s="59" t="s">
        <v>1236</v>
      </c>
      <c r="J1161" s="59" t="s">
        <v>1237</v>
      </c>
      <c r="K1161" s="69">
        <v>5403</v>
      </c>
      <c r="L1161" s="56">
        <v>207</v>
      </c>
      <c r="M1161" s="59" t="s">
        <v>26</v>
      </c>
      <c r="N1161" s="61">
        <v>1052.45</v>
      </c>
      <c r="O1161" s="59" t="s">
        <v>313</v>
      </c>
      <c r="P1161" s="62">
        <v>983.6</v>
      </c>
      <c r="Q1161" s="63">
        <v>20</v>
      </c>
      <c r="R1161" s="62">
        <v>196.72</v>
      </c>
      <c r="S1161" s="61">
        <v>0</v>
      </c>
      <c r="T1161" s="62">
        <v>68.849999999999994</v>
      </c>
    </row>
    <row r="1162" spans="1:20" ht="11.1" customHeight="1" x14ac:dyDescent="0.25">
      <c r="O1162" s="59" t="s">
        <v>436</v>
      </c>
      <c r="P1162" s="62">
        <v>1327.87</v>
      </c>
      <c r="Q1162" s="63">
        <v>20</v>
      </c>
      <c r="R1162" s="62">
        <v>68.849999999999994</v>
      </c>
      <c r="S1162" s="61">
        <v>0</v>
      </c>
      <c r="T1162" s="62">
        <v>0</v>
      </c>
    </row>
    <row r="1163" spans="1:20" ht="11.1" customHeight="1" x14ac:dyDescent="0.25">
      <c r="A1163" s="56">
        <v>109145</v>
      </c>
      <c r="B1163" s="72">
        <v>46042</v>
      </c>
      <c r="C1163" s="68">
        <v>46042</v>
      </c>
      <c r="D1163" s="58" t="s">
        <v>1272</v>
      </c>
      <c r="E1163" s="59" t="s">
        <v>352</v>
      </c>
      <c r="F1163" s="56">
        <v>36</v>
      </c>
      <c r="G1163" s="73">
        <v>2</v>
      </c>
      <c r="H1163" s="74" t="s">
        <v>1235</v>
      </c>
      <c r="I1163" s="59" t="s">
        <v>1236</v>
      </c>
      <c r="J1163" s="59" t="s">
        <v>1237</v>
      </c>
      <c r="K1163" s="69">
        <v>5403</v>
      </c>
      <c r="L1163" s="56">
        <v>207</v>
      </c>
      <c r="M1163" s="59" t="s">
        <v>26</v>
      </c>
      <c r="N1163" s="61">
        <v>28.98</v>
      </c>
      <c r="O1163" s="59" t="s">
        <v>313</v>
      </c>
      <c r="P1163" s="62">
        <v>27.09</v>
      </c>
      <c r="Q1163" s="63">
        <v>20</v>
      </c>
      <c r="R1163" s="62">
        <v>5.42</v>
      </c>
      <c r="S1163" s="61">
        <v>0</v>
      </c>
      <c r="T1163" s="62">
        <v>1.89</v>
      </c>
    </row>
    <row r="1164" spans="1:20" ht="11.1" customHeight="1" x14ac:dyDescent="0.25">
      <c r="O1164" s="59" t="s">
        <v>436</v>
      </c>
      <c r="P1164" s="62">
        <v>36.57</v>
      </c>
      <c r="Q1164" s="63">
        <v>20</v>
      </c>
      <c r="R1164" s="62">
        <v>1.89</v>
      </c>
      <c r="S1164" s="61">
        <v>0</v>
      </c>
      <c r="T1164" s="62">
        <v>0</v>
      </c>
    </row>
    <row r="1165" spans="1:20" ht="11.1" customHeight="1" x14ac:dyDescent="0.25">
      <c r="A1165" s="56">
        <v>109168</v>
      </c>
      <c r="B1165" s="72">
        <v>46042</v>
      </c>
      <c r="C1165" s="68">
        <v>46042</v>
      </c>
      <c r="D1165" s="58" t="s">
        <v>1273</v>
      </c>
      <c r="E1165" s="59" t="s">
        <v>352</v>
      </c>
      <c r="F1165" s="56">
        <v>36</v>
      </c>
      <c r="G1165" s="73">
        <v>2</v>
      </c>
      <c r="H1165" s="74" t="s">
        <v>1235</v>
      </c>
      <c r="I1165" s="59" t="s">
        <v>1236</v>
      </c>
      <c r="J1165" s="59" t="s">
        <v>1237</v>
      </c>
      <c r="K1165" s="69">
        <v>5102</v>
      </c>
      <c r="L1165" s="56">
        <v>205</v>
      </c>
      <c r="M1165" s="59" t="s">
        <v>26</v>
      </c>
      <c r="N1165" s="61">
        <v>232.38</v>
      </c>
      <c r="O1165" s="59" t="s">
        <v>313</v>
      </c>
      <c r="P1165" s="62">
        <v>232.38</v>
      </c>
      <c r="Q1165" s="63">
        <v>20</v>
      </c>
      <c r="R1165" s="62">
        <v>46.48</v>
      </c>
      <c r="S1165" s="61">
        <v>0</v>
      </c>
      <c r="T1165" s="62">
        <v>0</v>
      </c>
    </row>
    <row r="1166" spans="1:20" ht="11.1" customHeight="1" x14ac:dyDescent="0.25">
      <c r="A1166" s="56">
        <v>109201</v>
      </c>
      <c r="B1166" s="72">
        <v>46043</v>
      </c>
      <c r="C1166" s="68">
        <v>46043</v>
      </c>
      <c r="D1166" s="58" t="s">
        <v>1274</v>
      </c>
      <c r="E1166" s="59" t="s">
        <v>352</v>
      </c>
      <c r="F1166" s="56">
        <v>36</v>
      </c>
      <c r="G1166" s="73">
        <v>2</v>
      </c>
      <c r="H1166" s="74" t="s">
        <v>1235</v>
      </c>
      <c r="I1166" s="59" t="s">
        <v>1236</v>
      </c>
      <c r="J1166" s="59" t="s">
        <v>1237</v>
      </c>
      <c r="K1166" s="69">
        <v>5102</v>
      </c>
      <c r="L1166" s="56">
        <v>205</v>
      </c>
      <c r="M1166" s="59" t="s">
        <v>26</v>
      </c>
      <c r="N1166" s="61">
        <v>858.64</v>
      </c>
      <c r="O1166" s="59" t="s">
        <v>313</v>
      </c>
      <c r="P1166" s="62">
        <v>858.64</v>
      </c>
      <c r="Q1166" s="63">
        <v>20</v>
      </c>
      <c r="R1166" s="62">
        <v>171.73</v>
      </c>
      <c r="S1166" s="61">
        <v>0</v>
      </c>
      <c r="T1166" s="62">
        <v>0</v>
      </c>
    </row>
    <row r="1167" spans="1:20" ht="11.1" customHeight="1" x14ac:dyDescent="0.25">
      <c r="A1167" s="56">
        <v>109212</v>
      </c>
      <c r="B1167" s="72">
        <v>46043</v>
      </c>
      <c r="C1167" s="68">
        <v>46043</v>
      </c>
      <c r="D1167" s="58" t="s">
        <v>1275</v>
      </c>
      <c r="E1167" s="59" t="s">
        <v>352</v>
      </c>
      <c r="F1167" s="56">
        <v>36</v>
      </c>
      <c r="G1167" s="73">
        <v>2</v>
      </c>
      <c r="H1167" s="74" t="s">
        <v>1235</v>
      </c>
      <c r="I1167" s="59" t="s">
        <v>1236</v>
      </c>
      <c r="J1167" s="59" t="s">
        <v>1237</v>
      </c>
      <c r="K1167" s="69">
        <v>5102</v>
      </c>
      <c r="L1167" s="56">
        <v>205</v>
      </c>
      <c r="M1167" s="59" t="s">
        <v>26</v>
      </c>
      <c r="N1167" s="61">
        <v>1735.72</v>
      </c>
      <c r="O1167" s="59" t="s">
        <v>313</v>
      </c>
      <c r="P1167" s="62">
        <v>1735.72</v>
      </c>
      <c r="Q1167" s="63">
        <v>20</v>
      </c>
      <c r="R1167" s="62">
        <v>347.14</v>
      </c>
      <c r="S1167" s="61">
        <v>0</v>
      </c>
      <c r="T1167" s="62">
        <v>0</v>
      </c>
    </row>
    <row r="1168" spans="1:20" ht="11.1" customHeight="1" x14ac:dyDescent="0.25">
      <c r="A1168" s="56">
        <v>109213</v>
      </c>
      <c r="B1168" s="72">
        <v>46043</v>
      </c>
      <c r="C1168" s="68">
        <v>46043</v>
      </c>
      <c r="D1168" s="58" t="s">
        <v>1275</v>
      </c>
      <c r="E1168" s="59" t="s">
        <v>352</v>
      </c>
      <c r="F1168" s="56">
        <v>36</v>
      </c>
      <c r="G1168" s="73">
        <v>2</v>
      </c>
      <c r="H1168" s="74" t="s">
        <v>1235</v>
      </c>
      <c r="I1168" s="59" t="s">
        <v>1236</v>
      </c>
      <c r="J1168" s="59" t="s">
        <v>1237</v>
      </c>
      <c r="K1168" s="69">
        <v>5405</v>
      </c>
      <c r="L1168" s="56">
        <v>206</v>
      </c>
      <c r="M1168" s="59" t="s">
        <v>26</v>
      </c>
      <c r="N1168" s="61">
        <v>182.46</v>
      </c>
      <c r="O1168" s="59" t="s">
        <v>313</v>
      </c>
      <c r="P1168" s="62">
        <v>0</v>
      </c>
      <c r="Q1168" s="63">
        <v>0</v>
      </c>
      <c r="R1168" s="62">
        <v>0</v>
      </c>
      <c r="S1168" s="61">
        <v>0</v>
      </c>
      <c r="T1168" s="62">
        <v>182.46</v>
      </c>
    </row>
    <row r="1169" spans="1:20" ht="11.1" customHeight="1" x14ac:dyDescent="0.25">
      <c r="A1169" s="56">
        <v>109214</v>
      </c>
      <c r="B1169" s="72">
        <v>46043</v>
      </c>
      <c r="C1169" s="68">
        <v>46043</v>
      </c>
      <c r="D1169" s="58" t="s">
        <v>1275</v>
      </c>
      <c r="E1169" s="59" t="s">
        <v>352</v>
      </c>
      <c r="F1169" s="56">
        <v>36</v>
      </c>
      <c r="G1169" s="73">
        <v>2</v>
      </c>
      <c r="H1169" s="74" t="s">
        <v>1235</v>
      </c>
      <c r="I1169" s="59" t="s">
        <v>1236</v>
      </c>
      <c r="J1169" s="59" t="s">
        <v>1237</v>
      </c>
      <c r="K1169" s="69">
        <v>5403</v>
      </c>
      <c r="L1169" s="56">
        <v>207</v>
      </c>
      <c r="M1169" s="59" t="s">
        <v>26</v>
      </c>
      <c r="N1169" s="61">
        <v>1175.43</v>
      </c>
      <c r="O1169" s="59" t="s">
        <v>313</v>
      </c>
      <c r="P1169" s="62">
        <v>1098.52</v>
      </c>
      <c r="Q1169" s="63">
        <v>20</v>
      </c>
      <c r="R1169" s="62">
        <v>219.7</v>
      </c>
      <c r="S1169" s="61">
        <v>0</v>
      </c>
      <c r="T1169" s="62">
        <v>76.91</v>
      </c>
    </row>
    <row r="1170" spans="1:20" ht="11.1" customHeight="1" x14ac:dyDescent="0.25">
      <c r="O1170" s="59" t="s">
        <v>436</v>
      </c>
      <c r="P1170" s="62">
        <v>1483.01</v>
      </c>
      <c r="Q1170" s="63">
        <v>20</v>
      </c>
      <c r="R1170" s="62">
        <v>76.91</v>
      </c>
      <c r="S1170" s="61">
        <v>0</v>
      </c>
      <c r="T1170" s="62">
        <v>0</v>
      </c>
    </row>
    <row r="1171" spans="1:20" ht="11.1" customHeight="1" x14ac:dyDescent="0.25">
      <c r="A1171" s="56">
        <v>109224</v>
      </c>
      <c r="B1171" s="72">
        <v>46043</v>
      </c>
      <c r="C1171" s="68">
        <v>46043</v>
      </c>
      <c r="D1171" s="58" t="s">
        <v>1276</v>
      </c>
      <c r="E1171" s="59" t="s">
        <v>352</v>
      </c>
      <c r="F1171" s="56">
        <v>36</v>
      </c>
      <c r="G1171" s="73">
        <v>2</v>
      </c>
      <c r="H1171" s="74" t="s">
        <v>1235</v>
      </c>
      <c r="I1171" s="59" t="s">
        <v>1236</v>
      </c>
      <c r="J1171" s="59" t="s">
        <v>1237</v>
      </c>
      <c r="K1171" s="69">
        <v>5403</v>
      </c>
      <c r="L1171" s="56">
        <v>207</v>
      </c>
      <c r="M1171" s="59" t="s">
        <v>26</v>
      </c>
      <c r="N1171" s="61">
        <v>686.59</v>
      </c>
      <c r="O1171" s="59" t="s">
        <v>313</v>
      </c>
      <c r="P1171" s="62">
        <v>641.66999999999996</v>
      </c>
      <c r="Q1171" s="63">
        <v>20</v>
      </c>
      <c r="R1171" s="62">
        <v>128.33000000000001</v>
      </c>
      <c r="S1171" s="61">
        <v>0</v>
      </c>
      <c r="T1171" s="62">
        <v>44.92</v>
      </c>
    </row>
    <row r="1172" spans="1:20" ht="11.1" customHeight="1" x14ac:dyDescent="0.25">
      <c r="O1172" s="59" t="s">
        <v>436</v>
      </c>
      <c r="P1172" s="62">
        <v>866.26</v>
      </c>
      <c r="Q1172" s="63">
        <v>20</v>
      </c>
      <c r="R1172" s="62">
        <v>44.92</v>
      </c>
      <c r="S1172" s="61">
        <v>0</v>
      </c>
      <c r="T1172" s="62">
        <v>0</v>
      </c>
    </row>
    <row r="1173" spans="1:20" ht="11.1" customHeight="1" x14ac:dyDescent="0.25">
      <c r="A1173" s="56">
        <v>109232</v>
      </c>
      <c r="B1173" s="72">
        <v>46043</v>
      </c>
      <c r="C1173" s="68">
        <v>46043</v>
      </c>
      <c r="D1173" s="58" t="s">
        <v>1277</v>
      </c>
      <c r="E1173" s="59" t="s">
        <v>352</v>
      </c>
      <c r="F1173" s="56">
        <v>36</v>
      </c>
      <c r="G1173" s="73">
        <v>2</v>
      </c>
      <c r="H1173" s="74" t="s">
        <v>1235</v>
      </c>
      <c r="I1173" s="59" t="s">
        <v>1236</v>
      </c>
      <c r="J1173" s="59" t="s">
        <v>1237</v>
      </c>
      <c r="K1173" s="69">
        <v>5403</v>
      </c>
      <c r="L1173" s="56">
        <v>207</v>
      </c>
      <c r="M1173" s="59" t="s">
        <v>26</v>
      </c>
      <c r="N1173" s="61">
        <v>358.81</v>
      </c>
      <c r="O1173" s="59" t="s">
        <v>313</v>
      </c>
      <c r="P1173" s="62">
        <v>335.34</v>
      </c>
      <c r="Q1173" s="63">
        <v>20</v>
      </c>
      <c r="R1173" s="62">
        <v>67.069999999999993</v>
      </c>
      <c r="S1173" s="61">
        <v>0</v>
      </c>
      <c r="T1173" s="62">
        <v>23.47</v>
      </c>
    </row>
    <row r="1174" spans="1:20" ht="11.1" customHeight="1" x14ac:dyDescent="0.25">
      <c r="O1174" s="59" t="s">
        <v>436</v>
      </c>
      <c r="P1174" s="62">
        <v>452.71</v>
      </c>
      <c r="Q1174" s="63">
        <v>20</v>
      </c>
      <c r="R1174" s="62">
        <v>23.47</v>
      </c>
      <c r="S1174" s="61">
        <v>0</v>
      </c>
      <c r="T1174" s="62">
        <v>0</v>
      </c>
    </row>
    <row r="1175" spans="1:20" ht="11.1" customHeight="1" x14ac:dyDescent="0.25">
      <c r="A1175" s="56">
        <v>109264</v>
      </c>
      <c r="B1175" s="72">
        <v>46044</v>
      </c>
      <c r="C1175" s="68">
        <v>46044</v>
      </c>
      <c r="D1175" s="58" t="s">
        <v>1278</v>
      </c>
      <c r="E1175" s="59" t="s">
        <v>352</v>
      </c>
      <c r="F1175" s="56">
        <v>36</v>
      </c>
      <c r="G1175" s="73">
        <v>2</v>
      </c>
      <c r="H1175" s="74" t="s">
        <v>1235</v>
      </c>
      <c r="I1175" s="59" t="s">
        <v>1236</v>
      </c>
      <c r="J1175" s="59" t="s">
        <v>1237</v>
      </c>
      <c r="K1175" s="69">
        <v>5403</v>
      </c>
      <c r="L1175" s="56">
        <v>207</v>
      </c>
      <c r="M1175" s="59" t="s">
        <v>26</v>
      </c>
      <c r="N1175" s="61">
        <v>270.77999999999997</v>
      </c>
      <c r="O1175" s="59" t="s">
        <v>313</v>
      </c>
      <c r="P1175" s="62">
        <v>253.06</v>
      </c>
      <c r="Q1175" s="63">
        <v>20</v>
      </c>
      <c r="R1175" s="62">
        <v>50.61</v>
      </c>
      <c r="S1175" s="61">
        <v>0</v>
      </c>
      <c r="T1175" s="62">
        <v>17.72</v>
      </c>
    </row>
    <row r="1176" spans="1:20" ht="11.1" customHeight="1" x14ac:dyDescent="0.25">
      <c r="O1176" s="59" t="s">
        <v>436</v>
      </c>
      <c r="P1176" s="62">
        <v>341.63</v>
      </c>
      <c r="Q1176" s="63">
        <v>20</v>
      </c>
      <c r="R1176" s="62">
        <v>17.72</v>
      </c>
      <c r="S1176" s="61">
        <v>0</v>
      </c>
      <c r="T1176" s="62">
        <v>0</v>
      </c>
    </row>
    <row r="1177" spans="1:20" ht="11.1" customHeight="1" x14ac:dyDescent="0.25">
      <c r="A1177" s="56">
        <v>109269</v>
      </c>
      <c r="B1177" s="72">
        <v>46044</v>
      </c>
      <c r="C1177" s="68">
        <v>46044</v>
      </c>
      <c r="D1177" s="58" t="s">
        <v>1279</v>
      </c>
      <c r="E1177" s="59" t="s">
        <v>352</v>
      </c>
      <c r="F1177" s="56">
        <v>36</v>
      </c>
      <c r="G1177" s="73">
        <v>2</v>
      </c>
      <c r="H1177" s="74" t="s">
        <v>1235</v>
      </c>
      <c r="I1177" s="59" t="s">
        <v>1236</v>
      </c>
      <c r="J1177" s="59" t="s">
        <v>1237</v>
      </c>
      <c r="K1177" s="69">
        <v>5403</v>
      </c>
      <c r="L1177" s="56">
        <v>207</v>
      </c>
      <c r="M1177" s="59" t="s">
        <v>26</v>
      </c>
      <c r="N1177" s="61">
        <v>501.43</v>
      </c>
      <c r="O1177" s="59" t="s">
        <v>313</v>
      </c>
      <c r="P1177" s="62">
        <v>468.62</v>
      </c>
      <c r="Q1177" s="63">
        <v>20</v>
      </c>
      <c r="R1177" s="62">
        <v>93.72</v>
      </c>
      <c r="S1177" s="61">
        <v>0</v>
      </c>
      <c r="T1177" s="62">
        <v>32.81</v>
      </c>
    </row>
    <row r="1178" spans="1:20" ht="11.1" customHeight="1" x14ac:dyDescent="0.25">
      <c r="O1178" s="59" t="s">
        <v>436</v>
      </c>
      <c r="P1178" s="62">
        <v>632.65</v>
      </c>
      <c r="Q1178" s="63">
        <v>20</v>
      </c>
      <c r="R1178" s="62">
        <v>32.81</v>
      </c>
      <c r="S1178" s="61">
        <v>0</v>
      </c>
      <c r="T1178" s="62">
        <v>0</v>
      </c>
    </row>
    <row r="1179" spans="1:20" ht="11.1" customHeight="1" x14ac:dyDescent="0.25">
      <c r="A1179" s="56">
        <v>109291</v>
      </c>
      <c r="B1179" s="72">
        <v>46044</v>
      </c>
      <c r="C1179" s="68">
        <v>46044</v>
      </c>
      <c r="D1179" s="58" t="s">
        <v>1280</v>
      </c>
      <c r="E1179" s="59" t="s">
        <v>352</v>
      </c>
      <c r="F1179" s="56">
        <v>36</v>
      </c>
      <c r="G1179" s="73">
        <v>2</v>
      </c>
      <c r="H1179" s="74" t="s">
        <v>1235</v>
      </c>
      <c r="I1179" s="59" t="s">
        <v>1236</v>
      </c>
      <c r="J1179" s="59" t="s">
        <v>1237</v>
      </c>
      <c r="K1179" s="69">
        <v>5403</v>
      </c>
      <c r="L1179" s="56">
        <v>207</v>
      </c>
      <c r="M1179" s="59" t="s">
        <v>26</v>
      </c>
      <c r="N1179" s="61">
        <v>184.25</v>
      </c>
      <c r="O1179" s="59" t="s">
        <v>313</v>
      </c>
      <c r="P1179" s="62">
        <v>172.2</v>
      </c>
      <c r="Q1179" s="63">
        <v>20</v>
      </c>
      <c r="R1179" s="62">
        <v>34.44</v>
      </c>
      <c r="S1179" s="61">
        <v>0</v>
      </c>
      <c r="T1179" s="62">
        <v>12.05</v>
      </c>
    </row>
    <row r="1180" spans="1:20" ht="11.1" customHeight="1" x14ac:dyDescent="0.25">
      <c r="O1180" s="59" t="s">
        <v>436</v>
      </c>
      <c r="P1180" s="62">
        <v>232.47</v>
      </c>
      <c r="Q1180" s="63">
        <v>20</v>
      </c>
      <c r="R1180" s="62">
        <v>12.05</v>
      </c>
      <c r="S1180" s="61">
        <v>0</v>
      </c>
      <c r="T1180" s="62">
        <v>0</v>
      </c>
    </row>
    <row r="1181" spans="1:20" ht="11.1" customHeight="1" x14ac:dyDescent="0.25">
      <c r="A1181" s="56">
        <v>109292</v>
      </c>
      <c r="B1181" s="72">
        <v>46044</v>
      </c>
      <c r="C1181" s="68">
        <v>46044</v>
      </c>
      <c r="D1181" s="58" t="s">
        <v>1281</v>
      </c>
      <c r="E1181" s="59" t="s">
        <v>352</v>
      </c>
      <c r="F1181" s="56">
        <v>36</v>
      </c>
      <c r="G1181" s="73">
        <v>2</v>
      </c>
      <c r="H1181" s="74" t="s">
        <v>1235</v>
      </c>
      <c r="I1181" s="59" t="s">
        <v>1236</v>
      </c>
      <c r="J1181" s="59" t="s">
        <v>1237</v>
      </c>
      <c r="K1181" s="69">
        <v>5102</v>
      </c>
      <c r="L1181" s="56">
        <v>205</v>
      </c>
      <c r="M1181" s="59" t="s">
        <v>26</v>
      </c>
      <c r="N1181" s="61">
        <v>44.68</v>
      </c>
      <c r="O1181" s="59" t="s">
        <v>313</v>
      </c>
      <c r="P1181" s="62">
        <v>44.68</v>
      </c>
      <c r="Q1181" s="63">
        <v>20</v>
      </c>
      <c r="R1181" s="62">
        <v>8.94</v>
      </c>
      <c r="S1181" s="61">
        <v>0</v>
      </c>
      <c r="T1181" s="62">
        <v>0</v>
      </c>
    </row>
    <row r="1182" spans="1:20" ht="11.1" customHeight="1" x14ac:dyDescent="0.25">
      <c r="A1182" s="56">
        <v>109293</v>
      </c>
      <c r="B1182" s="72">
        <v>46044</v>
      </c>
      <c r="C1182" s="68">
        <v>46044</v>
      </c>
      <c r="D1182" s="58" t="s">
        <v>1282</v>
      </c>
      <c r="E1182" s="59" t="s">
        <v>352</v>
      </c>
      <c r="F1182" s="56">
        <v>36</v>
      </c>
      <c r="G1182" s="73">
        <v>2</v>
      </c>
      <c r="H1182" s="74" t="s">
        <v>1235</v>
      </c>
      <c r="I1182" s="59" t="s">
        <v>1236</v>
      </c>
      <c r="J1182" s="59" t="s">
        <v>1237</v>
      </c>
      <c r="K1182" s="69">
        <v>5403</v>
      </c>
      <c r="L1182" s="56">
        <v>207</v>
      </c>
      <c r="M1182" s="59" t="s">
        <v>26</v>
      </c>
      <c r="N1182" s="61">
        <v>439.38</v>
      </c>
      <c r="O1182" s="59" t="s">
        <v>313</v>
      </c>
      <c r="P1182" s="62">
        <v>410.64</v>
      </c>
      <c r="Q1182" s="63">
        <v>20</v>
      </c>
      <c r="R1182" s="62">
        <v>82.13</v>
      </c>
      <c r="S1182" s="61">
        <v>0</v>
      </c>
      <c r="T1182" s="62">
        <v>28.74</v>
      </c>
    </row>
    <row r="1183" spans="1:20" ht="11.1" customHeight="1" x14ac:dyDescent="0.25">
      <c r="O1183" s="59" t="s">
        <v>436</v>
      </c>
      <c r="P1183" s="62">
        <v>554.36</v>
      </c>
      <c r="Q1183" s="63">
        <v>20</v>
      </c>
      <c r="R1183" s="62">
        <v>28.74</v>
      </c>
      <c r="S1183" s="61">
        <v>0</v>
      </c>
      <c r="T1183" s="62">
        <v>0</v>
      </c>
    </row>
    <row r="1184" spans="1:20" ht="11.1" customHeight="1" x14ac:dyDescent="0.25">
      <c r="A1184" s="56">
        <v>109334</v>
      </c>
      <c r="B1184" s="72">
        <v>46045</v>
      </c>
      <c r="C1184" s="68">
        <v>46045</v>
      </c>
      <c r="D1184" s="58" t="s">
        <v>1283</v>
      </c>
      <c r="E1184" s="59" t="s">
        <v>352</v>
      </c>
      <c r="F1184" s="56">
        <v>36</v>
      </c>
      <c r="G1184" s="73">
        <v>2</v>
      </c>
      <c r="H1184" s="74" t="s">
        <v>1235</v>
      </c>
      <c r="I1184" s="59" t="s">
        <v>1236</v>
      </c>
      <c r="J1184" s="59" t="s">
        <v>1237</v>
      </c>
      <c r="K1184" s="69">
        <v>5403</v>
      </c>
      <c r="L1184" s="56">
        <v>207</v>
      </c>
      <c r="M1184" s="59" t="s">
        <v>26</v>
      </c>
      <c r="N1184" s="61">
        <v>115.31</v>
      </c>
      <c r="O1184" s="59" t="s">
        <v>313</v>
      </c>
      <c r="P1184" s="62">
        <v>107.76</v>
      </c>
      <c r="Q1184" s="63">
        <v>20</v>
      </c>
      <c r="R1184" s="62">
        <v>21.55</v>
      </c>
      <c r="S1184" s="61">
        <v>0</v>
      </c>
      <c r="T1184" s="62">
        <v>7.55</v>
      </c>
    </row>
    <row r="1185" spans="1:20" ht="11.1" customHeight="1" x14ac:dyDescent="0.25">
      <c r="O1185" s="59" t="s">
        <v>436</v>
      </c>
      <c r="P1185" s="62">
        <v>145.47999999999999</v>
      </c>
      <c r="Q1185" s="63">
        <v>20</v>
      </c>
      <c r="R1185" s="62">
        <v>7.55</v>
      </c>
      <c r="S1185" s="61">
        <v>0</v>
      </c>
      <c r="T1185" s="62">
        <v>0</v>
      </c>
    </row>
    <row r="1186" spans="1:20" ht="11.1" customHeight="1" x14ac:dyDescent="0.25">
      <c r="A1186" s="56">
        <v>109335</v>
      </c>
      <c r="B1186" s="72">
        <v>46045</v>
      </c>
      <c r="C1186" s="68">
        <v>46045</v>
      </c>
      <c r="D1186" s="58" t="s">
        <v>1284</v>
      </c>
      <c r="E1186" s="59" t="s">
        <v>352</v>
      </c>
      <c r="F1186" s="56">
        <v>36</v>
      </c>
      <c r="G1186" s="73">
        <v>2</v>
      </c>
      <c r="H1186" s="74" t="s">
        <v>1235</v>
      </c>
      <c r="I1186" s="59" t="s">
        <v>1236</v>
      </c>
      <c r="J1186" s="59" t="s">
        <v>1237</v>
      </c>
      <c r="K1186" s="69">
        <v>5102</v>
      </c>
      <c r="L1186" s="56">
        <v>205</v>
      </c>
      <c r="M1186" s="59" t="s">
        <v>26</v>
      </c>
      <c r="N1186" s="61">
        <v>2053.5</v>
      </c>
      <c r="O1186" s="59" t="s">
        <v>313</v>
      </c>
      <c r="P1186" s="62">
        <v>2053.5</v>
      </c>
      <c r="Q1186" s="63">
        <v>20</v>
      </c>
      <c r="R1186" s="62">
        <v>410.7</v>
      </c>
      <c r="S1186" s="61">
        <v>0</v>
      </c>
      <c r="T1186" s="62">
        <v>0</v>
      </c>
    </row>
    <row r="1187" spans="1:20" ht="11.1" customHeight="1" x14ac:dyDescent="0.25">
      <c r="A1187" s="56">
        <v>109336</v>
      </c>
      <c r="B1187" s="72">
        <v>46045</v>
      </c>
      <c r="C1187" s="68">
        <v>46045</v>
      </c>
      <c r="D1187" s="58" t="s">
        <v>1284</v>
      </c>
      <c r="E1187" s="59" t="s">
        <v>352</v>
      </c>
      <c r="F1187" s="56">
        <v>36</v>
      </c>
      <c r="G1187" s="73">
        <v>2</v>
      </c>
      <c r="H1187" s="74" t="s">
        <v>1235</v>
      </c>
      <c r="I1187" s="59" t="s">
        <v>1236</v>
      </c>
      <c r="J1187" s="59" t="s">
        <v>1237</v>
      </c>
      <c r="K1187" s="69">
        <v>5403</v>
      </c>
      <c r="L1187" s="56">
        <v>207</v>
      </c>
      <c r="M1187" s="59" t="s">
        <v>26</v>
      </c>
      <c r="N1187" s="61">
        <v>676.41</v>
      </c>
      <c r="O1187" s="59" t="s">
        <v>313</v>
      </c>
      <c r="P1187" s="62">
        <v>632.16</v>
      </c>
      <c r="Q1187" s="63">
        <v>20</v>
      </c>
      <c r="R1187" s="62">
        <v>126.43</v>
      </c>
      <c r="S1187" s="61">
        <v>0</v>
      </c>
      <c r="T1187" s="62">
        <v>44.25</v>
      </c>
    </row>
    <row r="1188" spans="1:20" ht="11.1" customHeight="1" x14ac:dyDescent="0.25">
      <c r="O1188" s="59" t="s">
        <v>436</v>
      </c>
      <c r="P1188" s="62">
        <v>853.42</v>
      </c>
      <c r="Q1188" s="63">
        <v>20</v>
      </c>
      <c r="R1188" s="62">
        <v>44.25</v>
      </c>
      <c r="S1188" s="61">
        <v>0</v>
      </c>
      <c r="T1188" s="62">
        <v>0</v>
      </c>
    </row>
    <row r="1189" spans="1:20" ht="11.1" customHeight="1" x14ac:dyDescent="0.25">
      <c r="A1189" s="56">
        <v>109337</v>
      </c>
      <c r="B1189" s="72">
        <v>46045</v>
      </c>
      <c r="C1189" s="68">
        <v>46045</v>
      </c>
      <c r="D1189" s="58" t="s">
        <v>1285</v>
      </c>
      <c r="E1189" s="59" t="s">
        <v>352</v>
      </c>
      <c r="F1189" s="56">
        <v>36</v>
      </c>
      <c r="G1189" s="73">
        <v>2</v>
      </c>
      <c r="H1189" s="74" t="s">
        <v>1235</v>
      </c>
      <c r="I1189" s="59" t="s">
        <v>1236</v>
      </c>
      <c r="J1189" s="59" t="s">
        <v>1237</v>
      </c>
      <c r="K1189" s="69">
        <v>5102</v>
      </c>
      <c r="L1189" s="56">
        <v>205</v>
      </c>
      <c r="M1189" s="59" t="s">
        <v>26</v>
      </c>
      <c r="N1189" s="61">
        <v>78</v>
      </c>
      <c r="O1189" s="59" t="s">
        <v>313</v>
      </c>
      <c r="P1189" s="62">
        <v>78</v>
      </c>
      <c r="Q1189" s="63">
        <v>20</v>
      </c>
      <c r="R1189" s="62">
        <v>15.6</v>
      </c>
      <c r="S1189" s="61">
        <v>0</v>
      </c>
      <c r="T1189" s="62">
        <v>0</v>
      </c>
    </row>
    <row r="1190" spans="1:20" ht="11.1" customHeight="1" x14ac:dyDescent="0.25">
      <c r="A1190" s="56">
        <v>109378</v>
      </c>
      <c r="B1190" s="72">
        <v>46045</v>
      </c>
      <c r="C1190" s="68">
        <v>46045</v>
      </c>
      <c r="D1190" s="58" t="s">
        <v>1286</v>
      </c>
      <c r="E1190" s="59" t="s">
        <v>352</v>
      </c>
      <c r="F1190" s="56">
        <v>36</v>
      </c>
      <c r="G1190" s="73">
        <v>2</v>
      </c>
      <c r="H1190" s="74" t="s">
        <v>1235</v>
      </c>
      <c r="I1190" s="59" t="s">
        <v>1236</v>
      </c>
      <c r="J1190" s="59" t="s">
        <v>1237</v>
      </c>
      <c r="K1190" s="69">
        <v>5102</v>
      </c>
      <c r="L1190" s="56">
        <v>205</v>
      </c>
      <c r="M1190" s="59" t="s">
        <v>26</v>
      </c>
      <c r="N1190" s="61">
        <v>574.85</v>
      </c>
      <c r="O1190" s="59" t="s">
        <v>313</v>
      </c>
      <c r="P1190" s="62">
        <v>574.85</v>
      </c>
      <c r="Q1190" s="63">
        <v>20</v>
      </c>
      <c r="R1190" s="62">
        <v>114.97</v>
      </c>
      <c r="S1190" s="61">
        <v>0</v>
      </c>
      <c r="T1190" s="62">
        <v>0</v>
      </c>
    </row>
    <row r="1191" spans="1:20" ht="11.1" customHeight="1" x14ac:dyDescent="0.25">
      <c r="A1191" s="56">
        <v>109379</v>
      </c>
      <c r="B1191" s="72">
        <v>46045</v>
      </c>
      <c r="C1191" s="68">
        <v>46045</v>
      </c>
      <c r="D1191" s="58" t="s">
        <v>1286</v>
      </c>
      <c r="E1191" s="59" t="s">
        <v>352</v>
      </c>
      <c r="F1191" s="56">
        <v>36</v>
      </c>
      <c r="G1191" s="73">
        <v>2</v>
      </c>
      <c r="H1191" s="74" t="s">
        <v>1235</v>
      </c>
      <c r="I1191" s="59" t="s">
        <v>1236</v>
      </c>
      <c r="J1191" s="59" t="s">
        <v>1237</v>
      </c>
      <c r="K1191" s="69">
        <v>5403</v>
      </c>
      <c r="L1191" s="56">
        <v>207</v>
      </c>
      <c r="M1191" s="59" t="s">
        <v>26</v>
      </c>
      <c r="N1191" s="61">
        <v>1490.91</v>
      </c>
      <c r="O1191" s="59" t="s">
        <v>313</v>
      </c>
      <c r="P1191" s="62">
        <v>1393.38</v>
      </c>
      <c r="Q1191" s="63">
        <v>20</v>
      </c>
      <c r="R1191" s="62">
        <v>278.68</v>
      </c>
      <c r="S1191" s="61">
        <v>0</v>
      </c>
      <c r="T1191" s="62">
        <v>97.53</v>
      </c>
    </row>
    <row r="1192" spans="1:20" ht="11.1" customHeight="1" x14ac:dyDescent="0.25">
      <c r="O1192" s="59" t="s">
        <v>436</v>
      </c>
      <c r="P1192" s="62">
        <v>1881.06</v>
      </c>
      <c r="Q1192" s="63">
        <v>20</v>
      </c>
      <c r="R1192" s="62">
        <v>97.53</v>
      </c>
      <c r="S1192" s="61">
        <v>0</v>
      </c>
      <c r="T1192" s="62">
        <v>0</v>
      </c>
    </row>
    <row r="1193" spans="1:20" ht="11.1" customHeight="1" x14ac:dyDescent="0.25">
      <c r="A1193" s="56">
        <v>109417</v>
      </c>
      <c r="B1193" s="72">
        <v>46048</v>
      </c>
      <c r="C1193" s="68">
        <v>46048</v>
      </c>
      <c r="D1193" s="58" t="s">
        <v>1287</v>
      </c>
      <c r="E1193" s="59" t="s">
        <v>352</v>
      </c>
      <c r="F1193" s="56">
        <v>36</v>
      </c>
      <c r="G1193" s="73">
        <v>2</v>
      </c>
      <c r="H1193" s="74" t="s">
        <v>1235</v>
      </c>
      <c r="I1193" s="59" t="s">
        <v>1236</v>
      </c>
      <c r="J1193" s="59" t="s">
        <v>1237</v>
      </c>
      <c r="K1193" s="69">
        <v>5403</v>
      </c>
      <c r="L1193" s="56">
        <v>207</v>
      </c>
      <c r="M1193" s="59" t="s">
        <v>26</v>
      </c>
      <c r="N1193" s="61">
        <v>673.43</v>
      </c>
      <c r="O1193" s="59" t="s">
        <v>313</v>
      </c>
      <c r="P1193" s="62">
        <v>629.37</v>
      </c>
      <c r="Q1193" s="63">
        <v>20</v>
      </c>
      <c r="R1193" s="62">
        <v>125.87</v>
      </c>
      <c r="S1193" s="61">
        <v>0</v>
      </c>
      <c r="T1193" s="62">
        <v>44.06</v>
      </c>
    </row>
    <row r="1194" spans="1:20" ht="11.1" customHeight="1" x14ac:dyDescent="0.25">
      <c r="O1194" s="59" t="s">
        <v>436</v>
      </c>
      <c r="P1194" s="62">
        <v>849.65</v>
      </c>
      <c r="Q1194" s="63">
        <v>20</v>
      </c>
      <c r="R1194" s="62">
        <v>44.06</v>
      </c>
      <c r="S1194" s="61">
        <v>0</v>
      </c>
      <c r="T1194" s="62">
        <v>0</v>
      </c>
    </row>
    <row r="1195" spans="1:20" ht="11.1" customHeight="1" x14ac:dyDescent="0.25">
      <c r="A1195" s="56">
        <v>109449</v>
      </c>
      <c r="B1195" s="72">
        <v>46048</v>
      </c>
      <c r="C1195" s="68">
        <v>46048</v>
      </c>
      <c r="D1195" s="58" t="s">
        <v>1288</v>
      </c>
      <c r="E1195" s="59" t="s">
        <v>352</v>
      </c>
      <c r="F1195" s="56">
        <v>36</v>
      </c>
      <c r="G1195" s="73">
        <v>2</v>
      </c>
      <c r="H1195" s="74" t="s">
        <v>1235</v>
      </c>
      <c r="I1195" s="59" t="s">
        <v>1236</v>
      </c>
      <c r="J1195" s="59" t="s">
        <v>1237</v>
      </c>
      <c r="K1195" s="69">
        <v>5403</v>
      </c>
      <c r="L1195" s="56">
        <v>207</v>
      </c>
      <c r="M1195" s="59" t="s">
        <v>26</v>
      </c>
      <c r="N1195" s="61">
        <v>221.57</v>
      </c>
      <c r="O1195" s="59" t="s">
        <v>313</v>
      </c>
      <c r="P1195" s="62">
        <v>207.07</v>
      </c>
      <c r="Q1195" s="63">
        <v>20</v>
      </c>
      <c r="R1195" s="62">
        <v>41.41</v>
      </c>
      <c r="S1195" s="61">
        <v>0</v>
      </c>
      <c r="T1195" s="62">
        <v>14.5</v>
      </c>
    </row>
    <row r="1196" spans="1:20" ht="11.1" customHeight="1" x14ac:dyDescent="0.25">
      <c r="O1196" s="59" t="s">
        <v>436</v>
      </c>
      <c r="P1196" s="62">
        <v>279.54000000000002</v>
      </c>
      <c r="Q1196" s="63">
        <v>20</v>
      </c>
      <c r="R1196" s="62">
        <v>14.5</v>
      </c>
      <c r="S1196" s="61">
        <v>0</v>
      </c>
      <c r="T1196" s="62">
        <v>0</v>
      </c>
    </row>
    <row r="1197" spans="1:20" ht="11.1" customHeight="1" x14ac:dyDescent="0.25">
      <c r="A1197" s="56">
        <v>109450</v>
      </c>
      <c r="B1197" s="72">
        <v>46048</v>
      </c>
      <c r="C1197" s="68">
        <v>46048</v>
      </c>
      <c r="D1197" s="58" t="s">
        <v>1289</v>
      </c>
      <c r="E1197" s="59" t="s">
        <v>352</v>
      </c>
      <c r="F1197" s="56">
        <v>36</v>
      </c>
      <c r="G1197" s="73">
        <v>2</v>
      </c>
      <c r="H1197" s="74" t="s">
        <v>1235</v>
      </c>
      <c r="I1197" s="59" t="s">
        <v>1236</v>
      </c>
      <c r="J1197" s="59" t="s">
        <v>1237</v>
      </c>
      <c r="K1197" s="69">
        <v>5403</v>
      </c>
      <c r="L1197" s="56">
        <v>207</v>
      </c>
      <c r="M1197" s="59" t="s">
        <v>26</v>
      </c>
      <c r="N1197" s="61">
        <v>447.39</v>
      </c>
      <c r="O1197" s="59" t="s">
        <v>313</v>
      </c>
      <c r="P1197" s="62">
        <v>418.12</v>
      </c>
      <c r="Q1197" s="63">
        <v>20</v>
      </c>
      <c r="R1197" s="62">
        <v>83.62</v>
      </c>
      <c r="S1197" s="61">
        <v>0</v>
      </c>
      <c r="T1197" s="62">
        <v>29.27</v>
      </c>
    </row>
    <row r="1198" spans="1:20" ht="11.1" customHeight="1" x14ac:dyDescent="0.25">
      <c r="O1198" s="59" t="s">
        <v>436</v>
      </c>
      <c r="P1198" s="62">
        <v>564.46</v>
      </c>
      <c r="Q1198" s="63">
        <v>20</v>
      </c>
      <c r="R1198" s="62">
        <v>29.27</v>
      </c>
      <c r="S1198" s="61">
        <v>0</v>
      </c>
      <c r="T1198" s="62">
        <v>0</v>
      </c>
    </row>
    <row r="1199" spans="1:20" ht="11.1" customHeight="1" x14ac:dyDescent="0.25">
      <c r="A1199" s="56">
        <v>109455</v>
      </c>
      <c r="B1199" s="72">
        <v>46048</v>
      </c>
      <c r="C1199" s="68">
        <v>46048</v>
      </c>
      <c r="D1199" s="58" t="s">
        <v>1290</v>
      </c>
      <c r="E1199" s="59" t="s">
        <v>352</v>
      </c>
      <c r="F1199" s="56">
        <v>36</v>
      </c>
      <c r="G1199" s="73">
        <v>2</v>
      </c>
      <c r="H1199" s="74" t="s">
        <v>1235</v>
      </c>
      <c r="I1199" s="59" t="s">
        <v>1236</v>
      </c>
      <c r="J1199" s="59" t="s">
        <v>1237</v>
      </c>
      <c r="K1199" s="69">
        <v>5102</v>
      </c>
      <c r="L1199" s="56">
        <v>205</v>
      </c>
      <c r="M1199" s="59" t="s">
        <v>26</v>
      </c>
      <c r="N1199" s="61">
        <v>94.77</v>
      </c>
      <c r="O1199" s="59" t="s">
        <v>313</v>
      </c>
      <c r="P1199" s="62">
        <v>94.77</v>
      </c>
      <c r="Q1199" s="63">
        <v>20</v>
      </c>
      <c r="R1199" s="62">
        <v>18.95</v>
      </c>
      <c r="S1199" s="61">
        <v>0</v>
      </c>
      <c r="T1199" s="62">
        <v>0</v>
      </c>
    </row>
    <row r="1200" spans="1:20" ht="11.1" customHeight="1" x14ac:dyDescent="0.25">
      <c r="A1200" s="56">
        <v>109456</v>
      </c>
      <c r="B1200" s="72">
        <v>46048</v>
      </c>
      <c r="C1200" s="68">
        <v>46048</v>
      </c>
      <c r="D1200" s="58" t="s">
        <v>1290</v>
      </c>
      <c r="E1200" s="59" t="s">
        <v>352</v>
      </c>
      <c r="F1200" s="56">
        <v>36</v>
      </c>
      <c r="G1200" s="73">
        <v>2</v>
      </c>
      <c r="H1200" s="74" t="s">
        <v>1235</v>
      </c>
      <c r="I1200" s="59" t="s">
        <v>1236</v>
      </c>
      <c r="J1200" s="59" t="s">
        <v>1237</v>
      </c>
      <c r="K1200" s="69">
        <v>5403</v>
      </c>
      <c r="L1200" s="56">
        <v>207</v>
      </c>
      <c r="M1200" s="59" t="s">
        <v>26</v>
      </c>
      <c r="N1200" s="61">
        <v>92.13</v>
      </c>
      <c r="O1200" s="59" t="s">
        <v>313</v>
      </c>
      <c r="P1200" s="62">
        <v>86.1</v>
      </c>
      <c r="Q1200" s="63">
        <v>20</v>
      </c>
      <c r="R1200" s="62">
        <v>17.22</v>
      </c>
      <c r="S1200" s="61">
        <v>0</v>
      </c>
      <c r="T1200" s="62">
        <v>6.03</v>
      </c>
    </row>
    <row r="1201" spans="1:20" ht="11.1" customHeight="1" x14ac:dyDescent="0.25">
      <c r="O1201" s="59" t="s">
        <v>436</v>
      </c>
      <c r="P1201" s="62">
        <v>116.24</v>
      </c>
      <c r="Q1201" s="63">
        <v>20</v>
      </c>
      <c r="R1201" s="62">
        <v>6.03</v>
      </c>
      <c r="S1201" s="61">
        <v>0</v>
      </c>
      <c r="T1201" s="62">
        <v>0</v>
      </c>
    </row>
    <row r="1202" spans="1:20" ht="11.1" customHeight="1" x14ac:dyDescent="0.25">
      <c r="A1202" s="56">
        <v>109472</v>
      </c>
      <c r="B1202" s="72">
        <v>46049</v>
      </c>
      <c r="C1202" s="68">
        <v>46049</v>
      </c>
      <c r="D1202" s="58" t="s">
        <v>1291</v>
      </c>
      <c r="E1202" s="59" t="s">
        <v>352</v>
      </c>
      <c r="F1202" s="56">
        <v>36</v>
      </c>
      <c r="G1202" s="73">
        <v>2</v>
      </c>
      <c r="H1202" s="74" t="s">
        <v>1235</v>
      </c>
      <c r="I1202" s="59" t="s">
        <v>1236</v>
      </c>
      <c r="J1202" s="59" t="s">
        <v>1237</v>
      </c>
      <c r="K1202" s="69">
        <v>5102</v>
      </c>
      <c r="L1202" s="56">
        <v>205</v>
      </c>
      <c r="M1202" s="59" t="s">
        <v>26</v>
      </c>
      <c r="N1202" s="61">
        <v>20226.25</v>
      </c>
      <c r="O1202" s="59" t="s">
        <v>313</v>
      </c>
      <c r="P1202" s="62">
        <v>105.18</v>
      </c>
      <c r="Q1202" s="63">
        <v>12</v>
      </c>
      <c r="R1202" s="62">
        <v>12.62</v>
      </c>
      <c r="S1202" s="61">
        <v>0</v>
      </c>
      <c r="T1202" s="62">
        <v>0</v>
      </c>
    </row>
    <row r="1203" spans="1:20" ht="11.1" customHeight="1" x14ac:dyDescent="0.25">
      <c r="O1203" s="59" t="s">
        <v>313</v>
      </c>
      <c r="P1203" s="62">
        <v>20121.07</v>
      </c>
      <c r="Q1203" s="63">
        <v>20</v>
      </c>
      <c r="R1203" s="62">
        <v>4024.21</v>
      </c>
      <c r="S1203" s="61">
        <v>0</v>
      </c>
      <c r="T1203" s="62">
        <v>0</v>
      </c>
    </row>
    <row r="1204" spans="1:20" ht="11.1" customHeight="1" x14ac:dyDescent="0.25">
      <c r="A1204" s="56">
        <v>109473</v>
      </c>
      <c r="B1204" s="72">
        <v>46049</v>
      </c>
      <c r="C1204" s="68">
        <v>46049</v>
      </c>
      <c r="D1204" s="58" t="s">
        <v>1291</v>
      </c>
      <c r="E1204" s="59" t="s">
        <v>352</v>
      </c>
      <c r="F1204" s="56">
        <v>36</v>
      </c>
      <c r="G1204" s="73">
        <v>2</v>
      </c>
      <c r="H1204" s="74" t="s">
        <v>1235</v>
      </c>
      <c r="I1204" s="59" t="s">
        <v>1236</v>
      </c>
      <c r="J1204" s="59" t="s">
        <v>1237</v>
      </c>
      <c r="K1204" s="69">
        <v>5405</v>
      </c>
      <c r="L1204" s="56">
        <v>206</v>
      </c>
      <c r="M1204" s="59" t="s">
        <v>26</v>
      </c>
      <c r="N1204" s="61">
        <v>68.459999999999994</v>
      </c>
      <c r="O1204" s="59" t="s">
        <v>313</v>
      </c>
      <c r="P1204" s="62">
        <v>0</v>
      </c>
      <c r="Q1204" s="63">
        <v>0</v>
      </c>
      <c r="R1204" s="62">
        <v>0</v>
      </c>
      <c r="S1204" s="61">
        <v>0</v>
      </c>
      <c r="T1204" s="62">
        <v>68.459999999999994</v>
      </c>
    </row>
    <row r="1205" spans="1:20" ht="11.1" customHeight="1" x14ac:dyDescent="0.25">
      <c r="A1205" s="56">
        <v>109474</v>
      </c>
      <c r="B1205" s="72">
        <v>46049</v>
      </c>
      <c r="C1205" s="68">
        <v>46049</v>
      </c>
      <c r="D1205" s="58" t="s">
        <v>1291</v>
      </c>
      <c r="E1205" s="59" t="s">
        <v>352</v>
      </c>
      <c r="F1205" s="56">
        <v>36</v>
      </c>
      <c r="G1205" s="73">
        <v>2</v>
      </c>
      <c r="H1205" s="74" t="s">
        <v>1235</v>
      </c>
      <c r="I1205" s="59" t="s">
        <v>1236</v>
      </c>
      <c r="J1205" s="59" t="s">
        <v>1237</v>
      </c>
      <c r="K1205" s="69">
        <v>5403</v>
      </c>
      <c r="L1205" s="56">
        <v>207</v>
      </c>
      <c r="M1205" s="59" t="s">
        <v>26</v>
      </c>
      <c r="N1205" s="61">
        <v>11784.55</v>
      </c>
      <c r="O1205" s="59" t="s">
        <v>313</v>
      </c>
      <c r="P1205" s="62">
        <v>11013.62</v>
      </c>
      <c r="Q1205" s="63">
        <v>20</v>
      </c>
      <c r="R1205" s="62">
        <v>2202.7600000000002</v>
      </c>
      <c r="S1205" s="61">
        <v>0</v>
      </c>
      <c r="T1205" s="62">
        <v>770.93</v>
      </c>
    </row>
    <row r="1206" spans="1:20" ht="11.1" customHeight="1" x14ac:dyDescent="0.25">
      <c r="O1206" s="59" t="s">
        <v>436</v>
      </c>
      <c r="P1206" s="62">
        <v>14868.38</v>
      </c>
      <c r="Q1206" s="63">
        <v>20</v>
      </c>
      <c r="R1206" s="62">
        <v>770.93</v>
      </c>
      <c r="S1206" s="61">
        <v>0</v>
      </c>
      <c r="T1206" s="62">
        <v>0</v>
      </c>
    </row>
    <row r="1207" spans="1:20" ht="11.1" customHeight="1" x14ac:dyDescent="0.25">
      <c r="A1207" s="56">
        <v>109489</v>
      </c>
      <c r="B1207" s="72">
        <v>46049</v>
      </c>
      <c r="C1207" s="68">
        <v>46049</v>
      </c>
      <c r="D1207" s="58" t="s">
        <v>1292</v>
      </c>
      <c r="E1207" s="59" t="s">
        <v>352</v>
      </c>
      <c r="F1207" s="56">
        <v>36</v>
      </c>
      <c r="G1207" s="73">
        <v>2</v>
      </c>
      <c r="H1207" s="74" t="s">
        <v>1235</v>
      </c>
      <c r="I1207" s="59" t="s">
        <v>1236</v>
      </c>
      <c r="J1207" s="59" t="s">
        <v>1237</v>
      </c>
      <c r="K1207" s="69">
        <v>5403</v>
      </c>
      <c r="L1207" s="56">
        <v>207</v>
      </c>
      <c r="M1207" s="59" t="s">
        <v>26</v>
      </c>
      <c r="N1207" s="61">
        <v>629.24</v>
      </c>
      <c r="O1207" s="59" t="s">
        <v>313</v>
      </c>
      <c r="P1207" s="62">
        <v>588.08000000000004</v>
      </c>
      <c r="Q1207" s="63">
        <v>20</v>
      </c>
      <c r="R1207" s="62">
        <v>117.62</v>
      </c>
      <c r="S1207" s="61">
        <v>0</v>
      </c>
      <c r="T1207" s="62">
        <v>41.16</v>
      </c>
    </row>
    <row r="1208" spans="1:20" ht="11.1" customHeight="1" x14ac:dyDescent="0.25">
      <c r="O1208" s="59" t="s">
        <v>436</v>
      </c>
      <c r="P1208" s="62">
        <v>793.91</v>
      </c>
      <c r="Q1208" s="63">
        <v>20</v>
      </c>
      <c r="R1208" s="62">
        <v>41.16</v>
      </c>
      <c r="S1208" s="61">
        <v>0</v>
      </c>
      <c r="T1208" s="62">
        <v>0</v>
      </c>
    </row>
    <row r="1209" spans="1:20" ht="11.1" customHeight="1" x14ac:dyDescent="0.25">
      <c r="A1209" s="56">
        <v>109500</v>
      </c>
      <c r="B1209" s="72">
        <v>46049</v>
      </c>
      <c r="C1209" s="68">
        <v>46049</v>
      </c>
      <c r="D1209" s="58" t="s">
        <v>1293</v>
      </c>
      <c r="E1209" s="59" t="s">
        <v>352</v>
      </c>
      <c r="F1209" s="56">
        <v>36</v>
      </c>
      <c r="G1209" s="73">
        <v>2</v>
      </c>
      <c r="H1209" s="74" t="s">
        <v>1235</v>
      </c>
      <c r="I1209" s="59" t="s">
        <v>1236</v>
      </c>
      <c r="J1209" s="59" t="s">
        <v>1237</v>
      </c>
      <c r="K1209" s="69">
        <v>5403</v>
      </c>
      <c r="L1209" s="56">
        <v>207</v>
      </c>
      <c r="M1209" s="59" t="s">
        <v>26</v>
      </c>
      <c r="N1209" s="61">
        <v>88.51</v>
      </c>
      <c r="O1209" s="59" t="s">
        <v>313</v>
      </c>
      <c r="P1209" s="62">
        <v>82.72</v>
      </c>
      <c r="Q1209" s="63">
        <v>20</v>
      </c>
      <c r="R1209" s="62">
        <v>16.54</v>
      </c>
      <c r="S1209" s="61">
        <v>0</v>
      </c>
      <c r="T1209" s="62">
        <v>5.79</v>
      </c>
    </row>
    <row r="1210" spans="1:20" ht="11.1" customHeight="1" x14ac:dyDescent="0.25">
      <c r="O1210" s="59" t="s">
        <v>436</v>
      </c>
      <c r="P1210" s="62">
        <v>111.67</v>
      </c>
      <c r="Q1210" s="63">
        <v>20</v>
      </c>
      <c r="R1210" s="62">
        <v>5.79</v>
      </c>
      <c r="S1210" s="61">
        <v>0</v>
      </c>
      <c r="T1210" s="62">
        <v>0</v>
      </c>
    </row>
    <row r="1211" spans="1:20" ht="11.1" customHeight="1" x14ac:dyDescent="0.25">
      <c r="A1211" s="56">
        <v>109541</v>
      </c>
      <c r="B1211" s="72">
        <v>46050</v>
      </c>
      <c r="C1211" s="68">
        <v>46050</v>
      </c>
      <c r="D1211" s="58" t="s">
        <v>1294</v>
      </c>
      <c r="E1211" s="59" t="s">
        <v>352</v>
      </c>
      <c r="F1211" s="56">
        <v>36</v>
      </c>
      <c r="G1211" s="73">
        <v>2</v>
      </c>
      <c r="H1211" s="74" t="s">
        <v>1235</v>
      </c>
      <c r="I1211" s="59" t="s">
        <v>1236</v>
      </c>
      <c r="J1211" s="59" t="s">
        <v>1237</v>
      </c>
      <c r="K1211" s="69">
        <v>5102</v>
      </c>
      <c r="L1211" s="56">
        <v>205</v>
      </c>
      <c r="M1211" s="59" t="s">
        <v>26</v>
      </c>
      <c r="N1211" s="61">
        <v>930.45</v>
      </c>
      <c r="O1211" s="59" t="s">
        <v>313</v>
      </c>
      <c r="P1211" s="62">
        <v>930.45</v>
      </c>
      <c r="Q1211" s="63">
        <v>20</v>
      </c>
      <c r="R1211" s="62">
        <v>186.09</v>
      </c>
      <c r="S1211" s="61">
        <v>0</v>
      </c>
      <c r="T1211" s="62">
        <v>0</v>
      </c>
    </row>
    <row r="1212" spans="1:20" ht="11.1" customHeight="1" x14ac:dyDescent="0.25">
      <c r="A1212" s="56">
        <v>109549</v>
      </c>
      <c r="B1212" s="72">
        <v>46050</v>
      </c>
      <c r="C1212" s="68">
        <v>46050</v>
      </c>
      <c r="D1212" s="58" t="s">
        <v>1295</v>
      </c>
      <c r="E1212" s="59" t="s">
        <v>352</v>
      </c>
      <c r="F1212" s="56">
        <v>36</v>
      </c>
      <c r="G1212" s="73">
        <v>2</v>
      </c>
      <c r="H1212" s="74" t="s">
        <v>1235</v>
      </c>
      <c r="I1212" s="59" t="s">
        <v>1236</v>
      </c>
      <c r="J1212" s="59" t="s">
        <v>1237</v>
      </c>
      <c r="K1212" s="69">
        <v>5102</v>
      </c>
      <c r="L1212" s="56">
        <v>205</v>
      </c>
      <c r="M1212" s="59" t="s">
        <v>26</v>
      </c>
      <c r="N1212" s="61">
        <v>94.1</v>
      </c>
      <c r="O1212" s="59" t="s">
        <v>313</v>
      </c>
      <c r="P1212" s="62">
        <v>94.1</v>
      </c>
      <c r="Q1212" s="63">
        <v>20</v>
      </c>
      <c r="R1212" s="62">
        <v>18.82</v>
      </c>
      <c r="S1212" s="61">
        <v>0</v>
      </c>
      <c r="T1212" s="62">
        <v>0</v>
      </c>
    </row>
    <row r="1213" spans="1:20" ht="11.1" customHeight="1" x14ac:dyDescent="0.25">
      <c r="A1213" s="56">
        <v>109550</v>
      </c>
      <c r="B1213" s="72">
        <v>46050</v>
      </c>
      <c r="C1213" s="68">
        <v>46050</v>
      </c>
      <c r="D1213" s="58" t="s">
        <v>1295</v>
      </c>
      <c r="E1213" s="59" t="s">
        <v>352</v>
      </c>
      <c r="F1213" s="56">
        <v>36</v>
      </c>
      <c r="G1213" s="73">
        <v>2</v>
      </c>
      <c r="H1213" s="74" t="s">
        <v>1235</v>
      </c>
      <c r="I1213" s="59" t="s">
        <v>1236</v>
      </c>
      <c r="J1213" s="59" t="s">
        <v>1237</v>
      </c>
      <c r="K1213" s="69">
        <v>5403</v>
      </c>
      <c r="L1213" s="56">
        <v>207</v>
      </c>
      <c r="M1213" s="59" t="s">
        <v>26</v>
      </c>
      <c r="N1213" s="61">
        <v>310.22000000000003</v>
      </c>
      <c r="O1213" s="59" t="s">
        <v>313</v>
      </c>
      <c r="P1213" s="62">
        <v>289.92</v>
      </c>
      <c r="Q1213" s="63">
        <v>20</v>
      </c>
      <c r="R1213" s="62">
        <v>57.98</v>
      </c>
      <c r="S1213" s="61">
        <v>0</v>
      </c>
      <c r="T1213" s="62">
        <v>20.3</v>
      </c>
    </row>
    <row r="1214" spans="1:20" ht="11.1" customHeight="1" x14ac:dyDescent="0.25">
      <c r="O1214" s="59" t="s">
        <v>436</v>
      </c>
      <c r="P1214" s="62">
        <v>391.39</v>
      </c>
      <c r="Q1214" s="63">
        <v>20</v>
      </c>
      <c r="R1214" s="62">
        <v>20.3</v>
      </c>
      <c r="S1214" s="61">
        <v>0</v>
      </c>
      <c r="T1214" s="62">
        <v>0</v>
      </c>
    </row>
    <row r="1215" spans="1:20" ht="11.1" customHeight="1" x14ac:dyDescent="0.25">
      <c r="A1215" s="56">
        <v>109597</v>
      </c>
      <c r="B1215" s="72">
        <v>46051</v>
      </c>
      <c r="C1215" s="68">
        <v>46051</v>
      </c>
      <c r="D1215" s="58" t="s">
        <v>1296</v>
      </c>
      <c r="E1215" s="59" t="s">
        <v>352</v>
      </c>
      <c r="F1215" s="56">
        <v>36</v>
      </c>
      <c r="G1215" s="73">
        <v>2</v>
      </c>
      <c r="H1215" s="74" t="s">
        <v>1235</v>
      </c>
      <c r="I1215" s="59" t="s">
        <v>1236</v>
      </c>
      <c r="J1215" s="59" t="s">
        <v>1237</v>
      </c>
      <c r="K1215" s="69">
        <v>5102</v>
      </c>
      <c r="L1215" s="56">
        <v>205</v>
      </c>
      <c r="M1215" s="59" t="s">
        <v>26</v>
      </c>
      <c r="N1215" s="61">
        <v>558.5</v>
      </c>
      <c r="O1215" s="59" t="s">
        <v>313</v>
      </c>
      <c r="P1215" s="62">
        <v>558.5</v>
      </c>
      <c r="Q1215" s="63">
        <v>20</v>
      </c>
      <c r="R1215" s="62">
        <v>111.7</v>
      </c>
      <c r="S1215" s="61">
        <v>0</v>
      </c>
      <c r="T1215" s="62">
        <v>0</v>
      </c>
    </row>
    <row r="1216" spans="1:20" ht="11.1" customHeight="1" x14ac:dyDescent="0.25">
      <c r="A1216" s="56">
        <v>109598</v>
      </c>
      <c r="B1216" s="72">
        <v>46051</v>
      </c>
      <c r="C1216" s="68">
        <v>46051</v>
      </c>
      <c r="D1216" s="58" t="s">
        <v>1296</v>
      </c>
      <c r="E1216" s="59" t="s">
        <v>352</v>
      </c>
      <c r="F1216" s="56">
        <v>36</v>
      </c>
      <c r="G1216" s="73">
        <v>2</v>
      </c>
      <c r="H1216" s="74" t="s">
        <v>1235</v>
      </c>
      <c r="I1216" s="59" t="s">
        <v>1236</v>
      </c>
      <c r="J1216" s="59" t="s">
        <v>1237</v>
      </c>
      <c r="K1216" s="69">
        <v>5403</v>
      </c>
      <c r="L1216" s="56">
        <v>207</v>
      </c>
      <c r="M1216" s="59" t="s">
        <v>26</v>
      </c>
      <c r="N1216" s="61">
        <v>374.34</v>
      </c>
      <c r="O1216" s="59" t="s">
        <v>313</v>
      </c>
      <c r="P1216" s="62">
        <v>349.86</v>
      </c>
      <c r="Q1216" s="63">
        <v>20</v>
      </c>
      <c r="R1216" s="62">
        <v>69.98</v>
      </c>
      <c r="S1216" s="61">
        <v>0</v>
      </c>
      <c r="T1216" s="62">
        <v>24.48</v>
      </c>
    </row>
    <row r="1217" spans="1:20" ht="11.1" customHeight="1" x14ac:dyDescent="0.25">
      <c r="O1217" s="59" t="s">
        <v>436</v>
      </c>
      <c r="P1217" s="62">
        <v>472.31</v>
      </c>
      <c r="Q1217" s="63">
        <v>20</v>
      </c>
      <c r="R1217" s="62">
        <v>24.48</v>
      </c>
      <c r="S1217" s="61">
        <v>0</v>
      </c>
      <c r="T1217" s="62">
        <v>0</v>
      </c>
    </row>
    <row r="1218" spans="1:20" ht="11.1" customHeight="1" x14ac:dyDescent="0.25">
      <c r="A1218" s="56">
        <v>109629</v>
      </c>
      <c r="B1218" s="72">
        <v>46051</v>
      </c>
      <c r="C1218" s="68">
        <v>46051</v>
      </c>
      <c r="D1218" s="58" t="s">
        <v>1297</v>
      </c>
      <c r="E1218" s="59" t="s">
        <v>352</v>
      </c>
      <c r="F1218" s="56">
        <v>36</v>
      </c>
      <c r="G1218" s="73">
        <v>2</v>
      </c>
      <c r="H1218" s="74" t="s">
        <v>1235</v>
      </c>
      <c r="I1218" s="59" t="s">
        <v>1236</v>
      </c>
      <c r="J1218" s="59" t="s">
        <v>1237</v>
      </c>
      <c r="K1218" s="69">
        <v>5403</v>
      </c>
      <c r="L1218" s="56">
        <v>207</v>
      </c>
      <c r="M1218" s="59" t="s">
        <v>26</v>
      </c>
      <c r="N1218" s="61">
        <v>79.849999999999994</v>
      </c>
      <c r="O1218" s="59" t="s">
        <v>313</v>
      </c>
      <c r="P1218" s="62">
        <v>74.62</v>
      </c>
      <c r="Q1218" s="63">
        <v>20</v>
      </c>
      <c r="R1218" s="62">
        <v>14.92</v>
      </c>
      <c r="S1218" s="61">
        <v>0</v>
      </c>
      <c r="T1218" s="62">
        <v>5.23</v>
      </c>
    </row>
    <row r="1219" spans="1:20" ht="11.1" customHeight="1" x14ac:dyDescent="0.25">
      <c r="O1219" s="59" t="s">
        <v>436</v>
      </c>
      <c r="P1219" s="62">
        <v>100.74</v>
      </c>
      <c r="Q1219" s="63">
        <v>20</v>
      </c>
      <c r="R1219" s="62">
        <v>5.23</v>
      </c>
      <c r="S1219" s="61">
        <v>0</v>
      </c>
      <c r="T1219" s="62">
        <v>0</v>
      </c>
    </row>
    <row r="1220" spans="1:20" ht="11.1" customHeight="1" x14ac:dyDescent="0.25">
      <c r="A1220" s="56">
        <v>109630</v>
      </c>
      <c r="B1220" s="72">
        <v>46051</v>
      </c>
      <c r="C1220" s="68">
        <v>46051</v>
      </c>
      <c r="D1220" s="58" t="s">
        <v>1298</v>
      </c>
      <c r="E1220" s="59" t="s">
        <v>352</v>
      </c>
      <c r="F1220" s="56">
        <v>36</v>
      </c>
      <c r="G1220" s="73">
        <v>2</v>
      </c>
      <c r="H1220" s="74" t="s">
        <v>1235</v>
      </c>
      <c r="I1220" s="59" t="s">
        <v>1236</v>
      </c>
      <c r="J1220" s="59" t="s">
        <v>1237</v>
      </c>
      <c r="K1220" s="69">
        <v>5403</v>
      </c>
      <c r="L1220" s="56">
        <v>207</v>
      </c>
      <c r="M1220" s="59" t="s">
        <v>26</v>
      </c>
      <c r="N1220" s="61">
        <v>135.81</v>
      </c>
      <c r="O1220" s="59" t="s">
        <v>313</v>
      </c>
      <c r="P1220" s="62">
        <v>126.92</v>
      </c>
      <c r="Q1220" s="63">
        <v>20</v>
      </c>
      <c r="R1220" s="62">
        <v>25.38</v>
      </c>
      <c r="S1220" s="61">
        <v>0</v>
      </c>
      <c r="T1220" s="62">
        <v>8.89</v>
      </c>
    </row>
    <row r="1221" spans="1:20" ht="11.1" customHeight="1" x14ac:dyDescent="0.25">
      <c r="O1221" s="59" t="s">
        <v>436</v>
      </c>
      <c r="P1221" s="62">
        <v>171.34</v>
      </c>
      <c r="Q1221" s="63">
        <v>20</v>
      </c>
      <c r="R1221" s="62">
        <v>8.89</v>
      </c>
      <c r="S1221" s="61">
        <v>0</v>
      </c>
      <c r="T1221" s="62">
        <v>0</v>
      </c>
    </row>
    <row r="1222" spans="1:20" ht="11.1" customHeight="1" x14ac:dyDescent="0.25">
      <c r="A1222" s="56">
        <v>109658</v>
      </c>
      <c r="B1222" s="72">
        <v>46052</v>
      </c>
      <c r="C1222" s="68">
        <v>46052</v>
      </c>
      <c r="D1222" s="58" t="s">
        <v>1299</v>
      </c>
      <c r="E1222" s="59" t="s">
        <v>352</v>
      </c>
      <c r="F1222" s="56">
        <v>36</v>
      </c>
      <c r="G1222" s="73">
        <v>2</v>
      </c>
      <c r="H1222" s="74" t="s">
        <v>1235</v>
      </c>
      <c r="I1222" s="59" t="s">
        <v>1236</v>
      </c>
      <c r="J1222" s="59" t="s">
        <v>1237</v>
      </c>
      <c r="K1222" s="69">
        <v>5403</v>
      </c>
      <c r="L1222" s="56">
        <v>207</v>
      </c>
      <c r="M1222" s="59" t="s">
        <v>26</v>
      </c>
      <c r="N1222" s="61">
        <v>610.62</v>
      </c>
      <c r="O1222" s="59" t="s">
        <v>313</v>
      </c>
      <c r="P1222" s="62">
        <v>570.67999999999995</v>
      </c>
      <c r="Q1222" s="63">
        <v>20</v>
      </c>
      <c r="R1222" s="62">
        <v>114.14</v>
      </c>
      <c r="S1222" s="61">
        <v>0</v>
      </c>
      <c r="T1222" s="62">
        <v>39.94</v>
      </c>
    </row>
    <row r="1223" spans="1:20" ht="11.1" customHeight="1" x14ac:dyDescent="0.25">
      <c r="O1223" s="59" t="s">
        <v>436</v>
      </c>
      <c r="P1223" s="62">
        <v>770.42</v>
      </c>
      <c r="Q1223" s="63">
        <v>20</v>
      </c>
      <c r="R1223" s="62">
        <v>39.94</v>
      </c>
      <c r="S1223" s="61">
        <v>0</v>
      </c>
      <c r="T1223" s="62">
        <v>0</v>
      </c>
    </row>
    <row r="1224" spans="1:20" ht="11.1" customHeight="1" x14ac:dyDescent="0.25">
      <c r="A1224" s="56">
        <v>109676</v>
      </c>
      <c r="B1224" s="72">
        <v>46052</v>
      </c>
      <c r="C1224" s="68">
        <v>46052</v>
      </c>
      <c r="D1224" s="58" t="s">
        <v>1300</v>
      </c>
      <c r="E1224" s="59" t="s">
        <v>352</v>
      </c>
      <c r="F1224" s="56">
        <v>36</v>
      </c>
      <c r="G1224" s="73">
        <v>2</v>
      </c>
      <c r="H1224" s="74" t="s">
        <v>1235</v>
      </c>
      <c r="I1224" s="59" t="s">
        <v>1236</v>
      </c>
      <c r="J1224" s="59" t="s">
        <v>1237</v>
      </c>
      <c r="K1224" s="69">
        <v>5102</v>
      </c>
      <c r="L1224" s="56">
        <v>205</v>
      </c>
      <c r="M1224" s="59" t="s">
        <v>26</v>
      </c>
      <c r="N1224" s="61">
        <v>16.07</v>
      </c>
      <c r="O1224" s="59" t="s">
        <v>313</v>
      </c>
      <c r="P1224" s="62">
        <v>16.07</v>
      </c>
      <c r="Q1224" s="63">
        <v>20</v>
      </c>
      <c r="R1224" s="62">
        <v>3.21</v>
      </c>
      <c r="S1224" s="61">
        <v>0</v>
      </c>
      <c r="T1224" s="62">
        <v>0</v>
      </c>
    </row>
    <row r="1225" spans="1:20" ht="11.1" customHeight="1" x14ac:dyDescent="0.25">
      <c r="A1225" s="56">
        <v>109677</v>
      </c>
      <c r="B1225" s="72">
        <v>46052</v>
      </c>
      <c r="C1225" s="68">
        <v>46052</v>
      </c>
      <c r="D1225" s="58" t="s">
        <v>1300</v>
      </c>
      <c r="E1225" s="59" t="s">
        <v>352</v>
      </c>
      <c r="F1225" s="56">
        <v>36</v>
      </c>
      <c r="G1225" s="73">
        <v>2</v>
      </c>
      <c r="H1225" s="74" t="s">
        <v>1235</v>
      </c>
      <c r="I1225" s="59" t="s">
        <v>1236</v>
      </c>
      <c r="J1225" s="59" t="s">
        <v>1237</v>
      </c>
      <c r="K1225" s="69">
        <v>5403</v>
      </c>
      <c r="L1225" s="56">
        <v>207</v>
      </c>
      <c r="M1225" s="59" t="s">
        <v>26</v>
      </c>
      <c r="N1225" s="61">
        <v>281.55</v>
      </c>
      <c r="O1225" s="59" t="s">
        <v>313</v>
      </c>
      <c r="P1225" s="62">
        <v>263.13</v>
      </c>
      <c r="Q1225" s="63">
        <v>20</v>
      </c>
      <c r="R1225" s="62">
        <v>52.63</v>
      </c>
      <c r="S1225" s="61">
        <v>0</v>
      </c>
      <c r="T1225" s="62">
        <v>18.420000000000002</v>
      </c>
    </row>
    <row r="1226" spans="1:20" ht="11.1" customHeight="1" x14ac:dyDescent="0.25">
      <c r="O1226" s="59" t="s">
        <v>436</v>
      </c>
      <c r="P1226" s="62">
        <v>355.23</v>
      </c>
      <c r="Q1226" s="63">
        <v>20</v>
      </c>
      <c r="R1226" s="62">
        <v>18.420000000000002</v>
      </c>
      <c r="S1226" s="61">
        <v>0</v>
      </c>
      <c r="T1226" s="62">
        <v>0</v>
      </c>
    </row>
    <row r="1227" spans="1:20" ht="11.1" customHeight="1" x14ac:dyDescent="0.25">
      <c r="A1227" s="56">
        <v>109680</v>
      </c>
      <c r="B1227" s="72">
        <v>46052</v>
      </c>
      <c r="C1227" s="68">
        <v>46052</v>
      </c>
      <c r="D1227" s="58" t="s">
        <v>1301</v>
      </c>
      <c r="E1227" s="59" t="s">
        <v>352</v>
      </c>
      <c r="F1227" s="56">
        <v>36</v>
      </c>
      <c r="G1227" s="73">
        <v>2</v>
      </c>
      <c r="H1227" s="74" t="s">
        <v>1235</v>
      </c>
      <c r="I1227" s="59" t="s">
        <v>1236</v>
      </c>
      <c r="J1227" s="59" t="s">
        <v>1237</v>
      </c>
      <c r="K1227" s="69">
        <v>5403</v>
      </c>
      <c r="L1227" s="56">
        <v>207</v>
      </c>
      <c r="M1227" s="59" t="s">
        <v>26</v>
      </c>
      <c r="N1227" s="61">
        <v>281.55</v>
      </c>
      <c r="O1227" s="59" t="s">
        <v>313</v>
      </c>
      <c r="P1227" s="62">
        <v>263.13</v>
      </c>
      <c r="Q1227" s="63">
        <v>20</v>
      </c>
      <c r="R1227" s="62">
        <v>52.63</v>
      </c>
      <c r="S1227" s="61">
        <v>0</v>
      </c>
      <c r="T1227" s="62">
        <v>18.420000000000002</v>
      </c>
    </row>
    <row r="1228" spans="1:20" ht="11.1" customHeight="1" x14ac:dyDescent="0.25">
      <c r="O1228" s="59" t="s">
        <v>436</v>
      </c>
      <c r="P1228" s="62">
        <v>355.23</v>
      </c>
      <c r="Q1228" s="63">
        <v>20</v>
      </c>
      <c r="R1228" s="62">
        <v>18.420000000000002</v>
      </c>
      <c r="S1228" s="61">
        <v>0</v>
      </c>
      <c r="T1228" s="62">
        <v>0</v>
      </c>
    </row>
    <row r="1229" spans="1:20" ht="11.1" customHeight="1" x14ac:dyDescent="0.25">
      <c r="A1229" s="56">
        <v>109687</v>
      </c>
      <c r="B1229" s="72">
        <v>46052</v>
      </c>
      <c r="C1229" s="68">
        <v>46052</v>
      </c>
      <c r="D1229" s="58" t="s">
        <v>1302</v>
      </c>
      <c r="E1229" s="59" t="s">
        <v>352</v>
      </c>
      <c r="F1229" s="56">
        <v>36</v>
      </c>
      <c r="G1229" s="73">
        <v>2</v>
      </c>
      <c r="H1229" s="74" t="s">
        <v>1235</v>
      </c>
      <c r="I1229" s="59" t="s">
        <v>1236</v>
      </c>
      <c r="J1229" s="59" t="s">
        <v>1237</v>
      </c>
      <c r="K1229" s="69">
        <v>5403</v>
      </c>
      <c r="L1229" s="56">
        <v>207</v>
      </c>
      <c r="M1229" s="59" t="s">
        <v>26</v>
      </c>
      <c r="N1229" s="61">
        <v>54.04</v>
      </c>
      <c r="O1229" s="59" t="s">
        <v>313</v>
      </c>
      <c r="P1229" s="62">
        <v>50.5</v>
      </c>
      <c r="Q1229" s="63">
        <v>20</v>
      </c>
      <c r="R1229" s="62">
        <v>10.1</v>
      </c>
      <c r="S1229" s="61">
        <v>0</v>
      </c>
      <c r="T1229" s="62">
        <v>3.54</v>
      </c>
    </row>
    <row r="1230" spans="1:20" ht="11.1" customHeight="1" x14ac:dyDescent="0.25">
      <c r="O1230" s="59" t="s">
        <v>436</v>
      </c>
      <c r="P1230" s="62">
        <v>68.180000000000007</v>
      </c>
      <c r="Q1230" s="63">
        <v>20</v>
      </c>
      <c r="R1230" s="62">
        <v>3.54</v>
      </c>
      <c r="S1230" s="61">
        <v>0</v>
      </c>
      <c r="T1230" s="62">
        <v>0</v>
      </c>
    </row>
    <row r="1231" spans="1:20" ht="11.85" customHeight="1" x14ac:dyDescent="0.25">
      <c r="A1231" s="71" t="s">
        <v>620</v>
      </c>
      <c r="B1231" s="71"/>
      <c r="C1231" s="71"/>
      <c r="D1231" s="71"/>
      <c r="E1231" s="71"/>
      <c r="F1231" s="71"/>
      <c r="G1231" s="71"/>
      <c r="H1231" s="71"/>
    </row>
    <row r="1232" spans="1:20" ht="11.1" customHeight="1" x14ac:dyDescent="0.25">
      <c r="O1232" s="59" t="s">
        <v>313</v>
      </c>
      <c r="P1232" s="62">
        <v>118784.15</v>
      </c>
      <c r="R1232" s="62">
        <v>23748.44</v>
      </c>
      <c r="S1232" s="61">
        <v>0</v>
      </c>
      <c r="T1232" s="62">
        <v>4366.75</v>
      </c>
    </row>
    <row r="1233" spans="1:20" ht="11.1" customHeight="1" x14ac:dyDescent="0.25">
      <c r="O1233" s="59" t="s">
        <v>436</v>
      </c>
      <c r="P1233" s="62">
        <v>70215.460000000006</v>
      </c>
      <c r="R1233" s="62">
        <v>3640.78</v>
      </c>
      <c r="S1233" s="61">
        <v>0</v>
      </c>
      <c r="T1233" s="62">
        <v>0</v>
      </c>
    </row>
    <row r="1234" spans="1:20" ht="11.1" customHeight="1" x14ac:dyDescent="0.25">
      <c r="A1234" s="56">
        <v>109008</v>
      </c>
      <c r="B1234" s="72">
        <v>46038</v>
      </c>
      <c r="C1234" s="68">
        <v>46038</v>
      </c>
      <c r="D1234" s="58" t="s">
        <v>1303</v>
      </c>
      <c r="E1234" s="59" t="s">
        <v>352</v>
      </c>
      <c r="F1234" s="56">
        <v>36</v>
      </c>
      <c r="G1234" s="73">
        <v>136</v>
      </c>
      <c r="H1234" s="74" t="s">
        <v>1304</v>
      </c>
      <c r="I1234" s="59" t="s">
        <v>1305</v>
      </c>
      <c r="J1234" s="59" t="s">
        <v>1306</v>
      </c>
      <c r="K1234" s="69">
        <v>5102</v>
      </c>
      <c r="L1234" s="56">
        <v>205</v>
      </c>
      <c r="M1234" s="59" t="s">
        <v>26</v>
      </c>
      <c r="N1234" s="61">
        <v>1875.83</v>
      </c>
      <c r="O1234" s="59" t="s">
        <v>313</v>
      </c>
      <c r="P1234" s="62">
        <v>1875.83</v>
      </c>
      <c r="Q1234" s="63">
        <v>20</v>
      </c>
      <c r="R1234" s="62">
        <v>375.16</v>
      </c>
      <c r="S1234" s="61">
        <v>0</v>
      </c>
      <c r="T1234" s="62">
        <v>0</v>
      </c>
    </row>
    <row r="1235" spans="1:20" ht="11.1" customHeight="1" x14ac:dyDescent="0.25">
      <c r="A1235" s="56">
        <v>109009</v>
      </c>
      <c r="B1235" s="72">
        <v>46038</v>
      </c>
      <c r="C1235" s="68">
        <v>46038</v>
      </c>
      <c r="D1235" s="58" t="s">
        <v>1303</v>
      </c>
      <c r="E1235" s="59" t="s">
        <v>352</v>
      </c>
      <c r="F1235" s="56">
        <v>36</v>
      </c>
      <c r="G1235" s="73">
        <v>136</v>
      </c>
      <c r="H1235" s="74" t="s">
        <v>1304</v>
      </c>
      <c r="I1235" s="59" t="s">
        <v>1305</v>
      </c>
      <c r="J1235" s="59" t="s">
        <v>1306</v>
      </c>
      <c r="K1235" s="69">
        <v>5403</v>
      </c>
      <c r="L1235" s="56">
        <v>207</v>
      </c>
      <c r="M1235" s="59" t="s">
        <v>26</v>
      </c>
      <c r="N1235" s="61">
        <v>1492.65</v>
      </c>
      <c r="O1235" s="59" t="s">
        <v>313</v>
      </c>
      <c r="P1235" s="62">
        <v>1394.99</v>
      </c>
      <c r="Q1235" s="63">
        <v>20</v>
      </c>
      <c r="R1235" s="62">
        <v>278.99</v>
      </c>
      <c r="S1235" s="61">
        <v>0</v>
      </c>
      <c r="T1235" s="62">
        <v>97.66</v>
      </c>
    </row>
    <row r="1236" spans="1:20" ht="11.1" customHeight="1" x14ac:dyDescent="0.25">
      <c r="O1236" s="59" t="s">
        <v>436</v>
      </c>
      <c r="P1236" s="62">
        <v>1883.24</v>
      </c>
      <c r="Q1236" s="63">
        <v>20</v>
      </c>
      <c r="R1236" s="62">
        <v>97.66</v>
      </c>
      <c r="S1236" s="61">
        <v>0</v>
      </c>
      <c r="T1236" s="62">
        <v>0</v>
      </c>
    </row>
    <row r="1237" spans="1:20" ht="11.85" customHeight="1" x14ac:dyDescent="0.25">
      <c r="A1237" s="71" t="s">
        <v>620</v>
      </c>
      <c r="B1237" s="71"/>
      <c r="C1237" s="71"/>
      <c r="D1237" s="71"/>
      <c r="E1237" s="71"/>
      <c r="F1237" s="71"/>
      <c r="G1237" s="71"/>
      <c r="H1237" s="71"/>
    </row>
    <row r="1238" spans="1:20" ht="11.1" customHeight="1" x14ac:dyDescent="0.25">
      <c r="O1238" s="59" t="s">
        <v>313</v>
      </c>
      <c r="P1238" s="62">
        <v>3270.82</v>
      </c>
      <c r="R1238" s="62">
        <v>654.15</v>
      </c>
      <c r="S1238" s="61">
        <v>0</v>
      </c>
      <c r="T1238" s="62">
        <v>97.66</v>
      </c>
    </row>
    <row r="1239" spans="1:20" ht="11.1" customHeight="1" x14ac:dyDescent="0.25">
      <c r="O1239" s="59" t="s">
        <v>436</v>
      </c>
      <c r="P1239" s="62">
        <v>1883.24</v>
      </c>
      <c r="R1239" s="62">
        <v>97.66</v>
      </c>
      <c r="S1239" s="61">
        <v>0</v>
      </c>
      <c r="T1239" s="62">
        <v>0</v>
      </c>
    </row>
    <row r="1240" spans="1:20" ht="11.1" customHeight="1" x14ac:dyDescent="0.25">
      <c r="A1240" s="56">
        <v>108646</v>
      </c>
      <c r="B1240" s="72">
        <v>46030</v>
      </c>
      <c r="C1240" s="68">
        <v>46030</v>
      </c>
      <c r="D1240" s="58" t="s">
        <v>1307</v>
      </c>
      <c r="E1240" s="59" t="s">
        <v>352</v>
      </c>
      <c r="F1240" s="56">
        <v>36</v>
      </c>
      <c r="G1240" s="73">
        <v>474</v>
      </c>
      <c r="H1240" s="74" t="s">
        <v>1308</v>
      </c>
      <c r="I1240" s="59" t="s">
        <v>1309</v>
      </c>
      <c r="J1240" s="59" t="s">
        <v>1310</v>
      </c>
      <c r="K1240" s="69">
        <v>5403</v>
      </c>
      <c r="L1240" s="56">
        <v>207</v>
      </c>
      <c r="M1240" s="59" t="s">
        <v>26</v>
      </c>
      <c r="N1240" s="61">
        <v>243.25</v>
      </c>
      <c r="O1240" s="59" t="s">
        <v>313</v>
      </c>
      <c r="P1240" s="62">
        <v>227.34</v>
      </c>
      <c r="Q1240" s="63">
        <v>20</v>
      </c>
      <c r="R1240" s="62">
        <v>45.47</v>
      </c>
      <c r="S1240" s="61">
        <v>0</v>
      </c>
      <c r="T1240" s="62">
        <v>15.91</v>
      </c>
    </row>
    <row r="1241" spans="1:20" ht="11.1" customHeight="1" x14ac:dyDescent="0.25">
      <c r="O1241" s="59" t="s">
        <v>436</v>
      </c>
      <c r="P1241" s="62">
        <v>306.91000000000003</v>
      </c>
      <c r="Q1241" s="63">
        <v>20</v>
      </c>
      <c r="R1241" s="62">
        <v>15.91</v>
      </c>
      <c r="S1241" s="61">
        <v>0</v>
      </c>
      <c r="T1241" s="62">
        <v>0</v>
      </c>
    </row>
    <row r="1242" spans="1:20" ht="11.1" customHeight="1" x14ac:dyDescent="0.25">
      <c r="A1242" s="56">
        <v>108854</v>
      </c>
      <c r="B1242" s="72">
        <v>46035</v>
      </c>
      <c r="C1242" s="68">
        <v>46035</v>
      </c>
      <c r="D1242" s="58" t="s">
        <v>1311</v>
      </c>
      <c r="E1242" s="59" t="s">
        <v>352</v>
      </c>
      <c r="F1242" s="56">
        <v>36</v>
      </c>
      <c r="G1242" s="73">
        <v>474</v>
      </c>
      <c r="H1242" s="74" t="s">
        <v>1308</v>
      </c>
      <c r="I1242" s="59" t="s">
        <v>1309</v>
      </c>
      <c r="J1242" s="59" t="s">
        <v>1310</v>
      </c>
      <c r="K1242" s="69">
        <v>5102</v>
      </c>
      <c r="L1242" s="56">
        <v>205</v>
      </c>
      <c r="M1242" s="59" t="s">
        <v>26</v>
      </c>
      <c r="N1242" s="61">
        <v>234.79</v>
      </c>
      <c r="O1242" s="59" t="s">
        <v>313</v>
      </c>
      <c r="P1242" s="62">
        <v>234.79</v>
      </c>
      <c r="Q1242" s="63">
        <v>20</v>
      </c>
      <c r="R1242" s="62">
        <v>46.96</v>
      </c>
      <c r="S1242" s="61">
        <v>0</v>
      </c>
      <c r="T1242" s="62">
        <v>0</v>
      </c>
    </row>
    <row r="1243" spans="1:20" ht="11.1" customHeight="1" x14ac:dyDescent="0.25">
      <c r="A1243" s="56">
        <v>108855</v>
      </c>
      <c r="B1243" s="72">
        <v>46035</v>
      </c>
      <c r="C1243" s="68">
        <v>46035</v>
      </c>
      <c r="D1243" s="58" t="s">
        <v>1311</v>
      </c>
      <c r="E1243" s="59" t="s">
        <v>352</v>
      </c>
      <c r="F1243" s="56">
        <v>36</v>
      </c>
      <c r="G1243" s="73">
        <v>474</v>
      </c>
      <c r="H1243" s="74" t="s">
        <v>1308</v>
      </c>
      <c r="I1243" s="59" t="s">
        <v>1309</v>
      </c>
      <c r="J1243" s="59" t="s">
        <v>1310</v>
      </c>
      <c r="K1243" s="69">
        <v>5403</v>
      </c>
      <c r="L1243" s="56">
        <v>207</v>
      </c>
      <c r="M1243" s="59" t="s">
        <v>26</v>
      </c>
      <c r="N1243" s="61">
        <v>64.17</v>
      </c>
      <c r="O1243" s="59" t="s">
        <v>313</v>
      </c>
      <c r="P1243" s="62">
        <v>59.98</v>
      </c>
      <c r="Q1243" s="63">
        <v>20</v>
      </c>
      <c r="R1243" s="62">
        <v>12</v>
      </c>
      <c r="S1243" s="61">
        <v>0</v>
      </c>
      <c r="T1243" s="62">
        <v>4.1900000000000004</v>
      </c>
    </row>
    <row r="1244" spans="1:20" ht="11.1" customHeight="1" x14ac:dyDescent="0.25">
      <c r="O1244" s="59" t="s">
        <v>436</v>
      </c>
      <c r="P1244" s="62">
        <v>80.97</v>
      </c>
      <c r="Q1244" s="63">
        <v>20</v>
      </c>
      <c r="R1244" s="62">
        <v>4.1900000000000004</v>
      </c>
      <c r="S1244" s="61">
        <v>0</v>
      </c>
      <c r="T1244" s="62">
        <v>0</v>
      </c>
    </row>
    <row r="1245" spans="1:20" ht="11.1" customHeight="1" x14ac:dyDescent="0.25">
      <c r="A1245" s="56">
        <v>109484</v>
      </c>
      <c r="B1245" s="72">
        <v>46049</v>
      </c>
      <c r="C1245" s="68">
        <v>46049</v>
      </c>
      <c r="D1245" s="58" t="s">
        <v>1312</v>
      </c>
      <c r="E1245" s="59" t="s">
        <v>352</v>
      </c>
      <c r="F1245" s="56">
        <v>36</v>
      </c>
      <c r="G1245" s="73">
        <v>474</v>
      </c>
      <c r="H1245" s="74" t="s">
        <v>1308</v>
      </c>
      <c r="I1245" s="59" t="s">
        <v>1309</v>
      </c>
      <c r="J1245" s="59" t="s">
        <v>1310</v>
      </c>
      <c r="K1245" s="69">
        <v>5102</v>
      </c>
      <c r="L1245" s="56">
        <v>205</v>
      </c>
      <c r="M1245" s="59" t="s">
        <v>26</v>
      </c>
      <c r="N1245" s="61">
        <v>113.78</v>
      </c>
      <c r="O1245" s="59" t="s">
        <v>313</v>
      </c>
      <c r="P1245" s="62">
        <v>113.78</v>
      </c>
      <c r="Q1245" s="63">
        <v>20</v>
      </c>
      <c r="R1245" s="62">
        <v>22.76</v>
      </c>
      <c r="S1245" s="61">
        <v>0</v>
      </c>
      <c r="T1245" s="62">
        <v>0</v>
      </c>
    </row>
    <row r="1246" spans="1:20" ht="11.1" customHeight="1" x14ac:dyDescent="0.25">
      <c r="A1246" s="56">
        <v>109485</v>
      </c>
      <c r="B1246" s="72">
        <v>46049</v>
      </c>
      <c r="C1246" s="68">
        <v>46049</v>
      </c>
      <c r="D1246" s="58" t="s">
        <v>1312</v>
      </c>
      <c r="E1246" s="59" t="s">
        <v>352</v>
      </c>
      <c r="F1246" s="56">
        <v>36</v>
      </c>
      <c r="G1246" s="73">
        <v>474</v>
      </c>
      <c r="H1246" s="74" t="s">
        <v>1308</v>
      </c>
      <c r="I1246" s="59" t="s">
        <v>1309</v>
      </c>
      <c r="J1246" s="59" t="s">
        <v>1310</v>
      </c>
      <c r="K1246" s="69">
        <v>5403</v>
      </c>
      <c r="L1246" s="56">
        <v>207</v>
      </c>
      <c r="M1246" s="59" t="s">
        <v>26</v>
      </c>
      <c r="N1246" s="61">
        <v>403.01</v>
      </c>
      <c r="O1246" s="59" t="s">
        <v>313</v>
      </c>
      <c r="P1246" s="62">
        <v>376.66</v>
      </c>
      <c r="Q1246" s="63">
        <v>20</v>
      </c>
      <c r="R1246" s="62">
        <v>75.34</v>
      </c>
      <c r="S1246" s="61">
        <v>0</v>
      </c>
      <c r="T1246" s="62">
        <v>26.35</v>
      </c>
    </row>
    <row r="1247" spans="1:20" ht="11.1" customHeight="1" x14ac:dyDescent="0.25">
      <c r="O1247" s="59" t="s">
        <v>436</v>
      </c>
      <c r="P1247" s="62">
        <v>508.49</v>
      </c>
      <c r="Q1247" s="63">
        <v>20</v>
      </c>
      <c r="R1247" s="62">
        <v>26.35</v>
      </c>
      <c r="S1247" s="61">
        <v>0</v>
      </c>
      <c r="T1247" s="62">
        <v>0</v>
      </c>
    </row>
    <row r="1248" spans="1:20" ht="11.85" customHeight="1" x14ac:dyDescent="0.25">
      <c r="A1248" s="71" t="s">
        <v>620</v>
      </c>
      <c r="B1248" s="71"/>
      <c r="C1248" s="71"/>
      <c r="D1248" s="71"/>
      <c r="E1248" s="71"/>
      <c r="F1248" s="71"/>
      <c r="G1248" s="71"/>
      <c r="H1248" s="71"/>
    </row>
    <row r="1249" spans="1:20" ht="11.1" customHeight="1" x14ac:dyDescent="0.25">
      <c r="O1249" s="59" t="s">
        <v>313</v>
      </c>
      <c r="P1249" s="62">
        <v>1012.55</v>
      </c>
      <c r="R1249" s="62">
        <v>202.53</v>
      </c>
      <c r="S1249" s="61">
        <v>0</v>
      </c>
      <c r="T1249" s="62">
        <v>46.45</v>
      </c>
    </row>
    <row r="1250" spans="1:20" ht="11.1" customHeight="1" x14ac:dyDescent="0.25">
      <c r="O1250" s="59" t="s">
        <v>436</v>
      </c>
      <c r="P1250" s="62">
        <v>896.37</v>
      </c>
      <c r="R1250" s="62">
        <v>46.45</v>
      </c>
      <c r="S1250" s="61">
        <v>0</v>
      </c>
      <c r="T1250" s="62">
        <v>0</v>
      </c>
    </row>
    <row r="1251" spans="1:20" ht="11.1" customHeight="1" x14ac:dyDescent="0.25">
      <c r="A1251" s="56">
        <v>109124</v>
      </c>
      <c r="B1251" s="72">
        <v>46041</v>
      </c>
      <c r="C1251" s="68">
        <v>46041</v>
      </c>
      <c r="D1251" s="58" t="s">
        <v>1313</v>
      </c>
      <c r="E1251" s="59" t="s">
        <v>352</v>
      </c>
      <c r="F1251" s="56">
        <v>36</v>
      </c>
      <c r="G1251" s="73">
        <v>573</v>
      </c>
      <c r="H1251" s="74" t="s">
        <v>1314</v>
      </c>
      <c r="I1251" s="59" t="s">
        <v>1315</v>
      </c>
      <c r="J1251" s="59" t="s">
        <v>75</v>
      </c>
      <c r="K1251" s="69">
        <v>6108</v>
      </c>
      <c r="L1251" s="56">
        <v>237</v>
      </c>
      <c r="M1251" s="59" t="s">
        <v>34</v>
      </c>
      <c r="N1251" s="61">
        <v>901.67</v>
      </c>
      <c r="O1251" s="59" t="s">
        <v>313</v>
      </c>
      <c r="P1251" s="62">
        <v>901.67</v>
      </c>
      <c r="Q1251" s="63">
        <v>12</v>
      </c>
      <c r="R1251" s="62">
        <v>108.2</v>
      </c>
      <c r="S1251" s="61">
        <v>0</v>
      </c>
      <c r="T1251" s="62">
        <v>0</v>
      </c>
    </row>
    <row r="1252" spans="1:20" ht="11.1" customHeight="1" x14ac:dyDescent="0.25">
      <c r="A1252" s="56">
        <v>109613</v>
      </c>
      <c r="B1252" s="72">
        <v>46051</v>
      </c>
      <c r="C1252" s="68">
        <v>46051</v>
      </c>
      <c r="D1252" s="58" t="s">
        <v>1316</v>
      </c>
      <c r="E1252" s="59" t="s">
        <v>352</v>
      </c>
      <c r="F1252" s="56">
        <v>36</v>
      </c>
      <c r="G1252" s="73">
        <v>573</v>
      </c>
      <c r="H1252" s="74" t="s">
        <v>1314</v>
      </c>
      <c r="I1252" s="59" t="s">
        <v>1315</v>
      </c>
      <c r="J1252" s="59" t="s">
        <v>75</v>
      </c>
      <c r="K1252" s="69">
        <v>6108</v>
      </c>
      <c r="L1252" s="56">
        <v>237</v>
      </c>
      <c r="M1252" s="59" t="s">
        <v>34</v>
      </c>
      <c r="N1252" s="61">
        <v>727.89</v>
      </c>
      <c r="O1252" s="59" t="s">
        <v>313</v>
      </c>
      <c r="P1252" s="62">
        <v>727.89</v>
      </c>
      <c r="Q1252" s="63">
        <v>12</v>
      </c>
      <c r="R1252" s="62">
        <v>87.34</v>
      </c>
      <c r="S1252" s="61">
        <v>0</v>
      </c>
      <c r="T1252" s="62">
        <v>0</v>
      </c>
    </row>
    <row r="1253" spans="1:20" ht="11.85" customHeight="1" x14ac:dyDescent="0.25">
      <c r="A1253" s="71" t="s">
        <v>620</v>
      </c>
      <c r="B1253" s="71"/>
      <c r="C1253" s="71"/>
      <c r="D1253" s="71"/>
      <c r="E1253" s="71"/>
      <c r="F1253" s="71"/>
      <c r="G1253" s="71"/>
      <c r="H1253" s="71"/>
    </row>
    <row r="1254" spans="1:20" ht="11.1" customHeight="1" x14ac:dyDescent="0.25">
      <c r="O1254" s="59" t="s">
        <v>313</v>
      </c>
      <c r="P1254" s="62">
        <v>1629.56</v>
      </c>
      <c r="R1254" s="62">
        <v>195.54</v>
      </c>
      <c r="S1254" s="61">
        <v>0</v>
      </c>
      <c r="T1254" s="62">
        <v>0</v>
      </c>
    </row>
    <row r="1255" spans="1:20" ht="11.1" customHeight="1" x14ac:dyDescent="0.25">
      <c r="A1255" s="56">
        <v>108623</v>
      </c>
      <c r="B1255" s="72">
        <v>46030</v>
      </c>
      <c r="C1255" s="68">
        <v>46030</v>
      </c>
      <c r="D1255" s="58" t="s">
        <v>1317</v>
      </c>
      <c r="E1255" s="59" t="s">
        <v>352</v>
      </c>
      <c r="F1255" s="56">
        <v>36</v>
      </c>
      <c r="G1255" s="73">
        <v>331</v>
      </c>
      <c r="H1255" s="74" t="s">
        <v>1318</v>
      </c>
      <c r="I1255" s="59" t="s">
        <v>1319</v>
      </c>
      <c r="J1255" s="59" t="s">
        <v>1320</v>
      </c>
      <c r="K1255" s="69">
        <v>6102</v>
      </c>
      <c r="L1255" s="56">
        <v>238</v>
      </c>
      <c r="M1255" s="59" t="s">
        <v>31</v>
      </c>
      <c r="N1255" s="61">
        <v>2123.1</v>
      </c>
      <c r="O1255" s="59" t="s">
        <v>313</v>
      </c>
      <c r="P1255" s="62">
        <v>2123.1</v>
      </c>
      <c r="Q1255" s="63">
        <v>12</v>
      </c>
      <c r="R1255" s="62">
        <v>254.77</v>
      </c>
      <c r="S1255" s="61">
        <v>0</v>
      </c>
      <c r="T1255" s="62">
        <v>0</v>
      </c>
    </row>
    <row r="1256" spans="1:20" ht="11.1" customHeight="1" x14ac:dyDescent="0.25">
      <c r="A1256" s="56">
        <v>109526</v>
      </c>
      <c r="B1256" s="72">
        <v>46050</v>
      </c>
      <c r="C1256" s="68">
        <v>46050</v>
      </c>
      <c r="D1256" s="58" t="s">
        <v>1321</v>
      </c>
      <c r="E1256" s="59" t="s">
        <v>352</v>
      </c>
      <c r="F1256" s="56">
        <v>36</v>
      </c>
      <c r="G1256" s="73">
        <v>331</v>
      </c>
      <c r="H1256" s="74" t="s">
        <v>1318</v>
      </c>
      <c r="I1256" s="59" t="s">
        <v>1319</v>
      </c>
      <c r="J1256" s="59" t="s">
        <v>1320</v>
      </c>
      <c r="K1256" s="69">
        <v>6102</v>
      </c>
      <c r="L1256" s="56">
        <v>238</v>
      </c>
      <c r="M1256" s="59" t="s">
        <v>31</v>
      </c>
      <c r="N1256" s="61">
        <v>1507.16</v>
      </c>
      <c r="O1256" s="59" t="s">
        <v>313</v>
      </c>
      <c r="P1256" s="62">
        <v>1507.16</v>
      </c>
      <c r="Q1256" s="63">
        <v>12</v>
      </c>
      <c r="R1256" s="62">
        <v>180.86</v>
      </c>
      <c r="S1256" s="61">
        <v>0</v>
      </c>
      <c r="T1256" s="62">
        <v>0</v>
      </c>
    </row>
    <row r="1257" spans="1:20" ht="11.85" customHeight="1" x14ac:dyDescent="0.25">
      <c r="A1257" s="71" t="s">
        <v>620</v>
      </c>
      <c r="B1257" s="71"/>
      <c r="C1257" s="71"/>
      <c r="D1257" s="71"/>
      <c r="E1257" s="71"/>
      <c r="F1257" s="71"/>
      <c r="G1257" s="71"/>
      <c r="H1257" s="71"/>
    </row>
    <row r="1258" spans="1:20" ht="11.1" customHeight="1" x14ac:dyDescent="0.25">
      <c r="O1258" s="59" t="s">
        <v>313</v>
      </c>
      <c r="P1258" s="62">
        <v>3630.26</v>
      </c>
      <c r="R1258" s="62">
        <v>435.63</v>
      </c>
      <c r="S1258" s="61">
        <v>0</v>
      </c>
      <c r="T1258" s="62">
        <v>0</v>
      </c>
    </row>
    <row r="1259" spans="1:20" ht="11.1" customHeight="1" x14ac:dyDescent="0.25">
      <c r="A1259" s="56">
        <v>109117</v>
      </c>
      <c r="B1259" s="72">
        <v>46041</v>
      </c>
      <c r="C1259" s="68">
        <v>46041</v>
      </c>
      <c r="D1259" s="58" t="s">
        <v>1322</v>
      </c>
      <c r="E1259" s="59" t="s">
        <v>352</v>
      </c>
      <c r="F1259" s="56">
        <v>36</v>
      </c>
      <c r="G1259" s="73">
        <v>686</v>
      </c>
      <c r="H1259" s="74" t="s">
        <v>1323</v>
      </c>
      <c r="I1259" s="59" t="s">
        <v>1324</v>
      </c>
      <c r="J1259" s="59" t="s">
        <v>1325</v>
      </c>
      <c r="K1259" s="69">
        <v>6102</v>
      </c>
      <c r="L1259" s="56">
        <v>238</v>
      </c>
      <c r="M1259" s="59" t="s">
        <v>34</v>
      </c>
      <c r="N1259" s="61">
        <v>2457.64</v>
      </c>
      <c r="O1259" s="59" t="s">
        <v>313</v>
      </c>
      <c r="P1259" s="62">
        <v>2457.64</v>
      </c>
      <c r="Q1259" s="63">
        <v>12</v>
      </c>
      <c r="R1259" s="62">
        <v>294.92</v>
      </c>
      <c r="S1259" s="61">
        <v>0</v>
      </c>
      <c r="T1259" s="62">
        <v>0</v>
      </c>
    </row>
    <row r="1260" spans="1:20" ht="11.85" customHeight="1" x14ac:dyDescent="0.25">
      <c r="A1260" s="71" t="s">
        <v>620</v>
      </c>
      <c r="B1260" s="71"/>
      <c r="C1260" s="71"/>
      <c r="D1260" s="71"/>
      <c r="E1260" s="71"/>
      <c r="F1260" s="71"/>
      <c r="G1260" s="71"/>
      <c r="H1260" s="71"/>
    </row>
    <row r="1261" spans="1:20" ht="11.1" customHeight="1" x14ac:dyDescent="0.25">
      <c r="O1261" s="59" t="s">
        <v>313</v>
      </c>
      <c r="P1261" s="62">
        <v>2457.64</v>
      </c>
      <c r="R1261" s="62">
        <v>294.92</v>
      </c>
      <c r="S1261" s="61">
        <v>0</v>
      </c>
      <c r="T1261" s="62">
        <v>0</v>
      </c>
    </row>
    <row r="1262" spans="1:20" ht="11.1" customHeight="1" x14ac:dyDescent="0.25">
      <c r="A1262" s="56">
        <v>108814</v>
      </c>
      <c r="B1262" s="72">
        <v>46035</v>
      </c>
      <c r="C1262" s="68">
        <v>46035</v>
      </c>
      <c r="D1262" s="58" t="s">
        <v>1326</v>
      </c>
      <c r="E1262" s="59" t="s">
        <v>352</v>
      </c>
      <c r="F1262" s="56">
        <v>36</v>
      </c>
      <c r="G1262" s="73">
        <v>814</v>
      </c>
      <c r="H1262" s="74" t="s">
        <v>1327</v>
      </c>
      <c r="I1262" s="59" t="s">
        <v>1328</v>
      </c>
      <c r="J1262" s="59" t="s">
        <v>1329</v>
      </c>
      <c r="K1262" s="69">
        <v>5102</v>
      </c>
      <c r="L1262" s="56">
        <v>205</v>
      </c>
      <c r="M1262" s="59" t="s">
        <v>26</v>
      </c>
      <c r="N1262" s="61">
        <v>1115.9000000000001</v>
      </c>
      <c r="O1262" s="59" t="s">
        <v>313</v>
      </c>
      <c r="P1262" s="62">
        <v>1115.9000000000001</v>
      </c>
      <c r="Q1262" s="63">
        <v>20</v>
      </c>
      <c r="R1262" s="62">
        <v>223.18</v>
      </c>
      <c r="S1262" s="61">
        <v>0</v>
      </c>
      <c r="T1262" s="62">
        <v>0</v>
      </c>
    </row>
    <row r="1263" spans="1:20" ht="11.85" customHeight="1" x14ac:dyDescent="0.25">
      <c r="A1263" s="71" t="s">
        <v>620</v>
      </c>
      <c r="B1263" s="71"/>
      <c r="C1263" s="71"/>
      <c r="D1263" s="71"/>
      <c r="E1263" s="71"/>
      <c r="F1263" s="71"/>
      <c r="G1263" s="71"/>
      <c r="H1263" s="71"/>
    </row>
    <row r="1264" spans="1:20" ht="11.1" customHeight="1" x14ac:dyDescent="0.25">
      <c r="O1264" s="59" t="s">
        <v>313</v>
      </c>
      <c r="P1264" s="62">
        <v>1115.9000000000001</v>
      </c>
      <c r="R1264" s="62">
        <v>223.18</v>
      </c>
      <c r="S1264" s="61">
        <v>0</v>
      </c>
      <c r="T1264" s="62">
        <v>0</v>
      </c>
    </row>
    <row r="1265" spans="1:20" ht="11.1" customHeight="1" x14ac:dyDescent="0.25">
      <c r="A1265" s="56">
        <v>108463</v>
      </c>
      <c r="B1265" s="72">
        <v>46027</v>
      </c>
      <c r="C1265" s="68">
        <v>46027</v>
      </c>
      <c r="D1265" s="58" t="s">
        <v>1330</v>
      </c>
      <c r="E1265" s="59" t="s">
        <v>352</v>
      </c>
      <c r="F1265" s="56">
        <v>36</v>
      </c>
      <c r="G1265" s="73">
        <v>845</v>
      </c>
      <c r="H1265" s="74" t="s">
        <v>1331</v>
      </c>
      <c r="I1265" s="59" t="s">
        <v>1332</v>
      </c>
      <c r="J1265" s="59" t="s">
        <v>1333</v>
      </c>
      <c r="K1265" s="69">
        <v>6403</v>
      </c>
      <c r="L1265" s="56">
        <v>207</v>
      </c>
      <c r="M1265" s="59" t="s">
        <v>31</v>
      </c>
      <c r="N1265" s="61">
        <v>923.89</v>
      </c>
      <c r="O1265" s="59" t="s">
        <v>313</v>
      </c>
      <c r="P1265" s="62">
        <v>782.52</v>
      </c>
      <c r="Q1265" s="63">
        <v>12</v>
      </c>
      <c r="R1265" s="62">
        <v>93.91</v>
      </c>
      <c r="S1265" s="61">
        <v>0</v>
      </c>
      <c r="T1265" s="62">
        <v>141.37</v>
      </c>
    </row>
    <row r="1266" spans="1:20" ht="11.1" customHeight="1" x14ac:dyDescent="0.25">
      <c r="O1266" s="59" t="s">
        <v>436</v>
      </c>
      <c r="P1266" s="62">
        <v>1147.72</v>
      </c>
      <c r="Q1266" s="63">
        <v>20.5</v>
      </c>
      <c r="R1266" s="62">
        <v>141.37</v>
      </c>
      <c r="S1266" s="61">
        <v>0</v>
      </c>
      <c r="T1266" s="62">
        <v>0</v>
      </c>
    </row>
    <row r="1267" spans="1:20" ht="11.1" customHeight="1" x14ac:dyDescent="0.25">
      <c r="A1267" s="56">
        <v>108464</v>
      </c>
      <c r="B1267" s="72">
        <v>46027</v>
      </c>
      <c r="C1267" s="68">
        <v>46027</v>
      </c>
      <c r="D1267" s="58" t="s">
        <v>1330</v>
      </c>
      <c r="E1267" s="59" t="s">
        <v>352</v>
      </c>
      <c r="F1267" s="56">
        <v>36</v>
      </c>
      <c r="G1267" s="73">
        <v>845</v>
      </c>
      <c r="H1267" s="74" t="s">
        <v>1331</v>
      </c>
      <c r="I1267" s="59" t="s">
        <v>1332</v>
      </c>
      <c r="J1267" s="59" t="s">
        <v>1333</v>
      </c>
      <c r="K1267" s="69">
        <v>6102</v>
      </c>
      <c r="L1267" s="56">
        <v>238</v>
      </c>
      <c r="M1267" s="59" t="s">
        <v>31</v>
      </c>
      <c r="N1267" s="61">
        <v>2220.13</v>
      </c>
      <c r="O1267" s="59" t="s">
        <v>313</v>
      </c>
      <c r="P1267" s="62">
        <v>2220.13</v>
      </c>
      <c r="Q1267" s="63">
        <v>12</v>
      </c>
      <c r="R1267" s="62">
        <v>266.42</v>
      </c>
      <c r="S1267" s="61">
        <v>0</v>
      </c>
      <c r="T1267" s="62">
        <v>0</v>
      </c>
    </row>
    <row r="1268" spans="1:20" ht="11.1" customHeight="1" x14ac:dyDescent="0.25">
      <c r="A1268" s="56">
        <v>109459</v>
      </c>
      <c r="B1268" s="72">
        <v>46048</v>
      </c>
      <c r="C1268" s="68">
        <v>46048</v>
      </c>
      <c r="D1268" s="58" t="s">
        <v>1334</v>
      </c>
      <c r="E1268" s="59" t="s">
        <v>352</v>
      </c>
      <c r="F1268" s="56">
        <v>36</v>
      </c>
      <c r="G1268" s="73">
        <v>845</v>
      </c>
      <c r="H1268" s="74" t="s">
        <v>1331</v>
      </c>
      <c r="I1268" s="59" t="s">
        <v>1332</v>
      </c>
      <c r="J1268" s="59" t="s">
        <v>1333</v>
      </c>
      <c r="K1268" s="69">
        <v>6403</v>
      </c>
      <c r="L1268" s="56">
        <v>207</v>
      </c>
      <c r="M1268" s="59" t="s">
        <v>31</v>
      </c>
      <c r="N1268" s="61">
        <v>297.52999999999997</v>
      </c>
      <c r="O1268" s="59" t="s">
        <v>313</v>
      </c>
      <c r="P1268" s="62">
        <v>252</v>
      </c>
      <c r="Q1268" s="63">
        <v>12</v>
      </c>
      <c r="R1268" s="62">
        <v>30.24</v>
      </c>
      <c r="S1268" s="61">
        <v>0</v>
      </c>
      <c r="T1268" s="62">
        <v>45.53</v>
      </c>
    </row>
    <row r="1269" spans="1:20" ht="11.1" customHeight="1" x14ac:dyDescent="0.25">
      <c r="O1269" s="59" t="s">
        <v>436</v>
      </c>
      <c r="P1269" s="62">
        <v>369.61</v>
      </c>
      <c r="Q1269" s="63">
        <v>20.5</v>
      </c>
      <c r="R1269" s="62">
        <v>45.53</v>
      </c>
      <c r="S1269" s="61">
        <v>0</v>
      </c>
      <c r="T1269" s="62">
        <v>0</v>
      </c>
    </row>
    <row r="1270" spans="1:20" ht="11.1" customHeight="1" x14ac:dyDescent="0.25">
      <c r="A1270" s="56">
        <v>109460</v>
      </c>
      <c r="B1270" s="72">
        <v>46048</v>
      </c>
      <c r="C1270" s="68">
        <v>46048</v>
      </c>
      <c r="D1270" s="58" t="s">
        <v>1334</v>
      </c>
      <c r="E1270" s="59" t="s">
        <v>352</v>
      </c>
      <c r="F1270" s="56">
        <v>36</v>
      </c>
      <c r="G1270" s="73">
        <v>845</v>
      </c>
      <c r="H1270" s="74" t="s">
        <v>1331</v>
      </c>
      <c r="I1270" s="59" t="s">
        <v>1332</v>
      </c>
      <c r="J1270" s="59" t="s">
        <v>1333</v>
      </c>
      <c r="K1270" s="69">
        <v>6102</v>
      </c>
      <c r="L1270" s="56">
        <v>238</v>
      </c>
      <c r="M1270" s="59" t="s">
        <v>31</v>
      </c>
      <c r="N1270" s="61">
        <v>1754.01</v>
      </c>
      <c r="O1270" s="59" t="s">
        <v>313</v>
      </c>
      <c r="P1270" s="62">
        <v>1754.01</v>
      </c>
      <c r="Q1270" s="63">
        <v>12</v>
      </c>
      <c r="R1270" s="62">
        <v>210.48</v>
      </c>
      <c r="S1270" s="61">
        <v>0</v>
      </c>
      <c r="T1270" s="62">
        <v>0</v>
      </c>
    </row>
    <row r="1271" spans="1:20" ht="11.85" customHeight="1" x14ac:dyDescent="0.25">
      <c r="A1271" s="71" t="s">
        <v>620</v>
      </c>
      <c r="B1271" s="71"/>
      <c r="C1271" s="71"/>
      <c r="D1271" s="71"/>
      <c r="E1271" s="71"/>
      <c r="F1271" s="71"/>
      <c r="G1271" s="71"/>
      <c r="H1271" s="71"/>
    </row>
    <row r="1272" spans="1:20" ht="11.1" customHeight="1" x14ac:dyDescent="0.25">
      <c r="O1272" s="59" t="s">
        <v>313</v>
      </c>
      <c r="P1272" s="62">
        <v>5008.66</v>
      </c>
      <c r="R1272" s="62">
        <v>601.04999999999995</v>
      </c>
      <c r="S1272" s="61">
        <v>0</v>
      </c>
      <c r="T1272" s="62">
        <v>186.9</v>
      </c>
    </row>
    <row r="1273" spans="1:20" ht="11.1" customHeight="1" x14ac:dyDescent="0.25">
      <c r="O1273" s="59" t="s">
        <v>436</v>
      </c>
      <c r="P1273" s="62">
        <v>1517.33</v>
      </c>
      <c r="R1273" s="62">
        <v>186.9</v>
      </c>
      <c r="S1273" s="61">
        <v>0</v>
      </c>
      <c r="T1273" s="62">
        <v>0</v>
      </c>
    </row>
    <row r="1274" spans="1:20" ht="11.1" customHeight="1" x14ac:dyDescent="0.25">
      <c r="A1274" s="56">
        <v>108695</v>
      </c>
      <c r="B1274" s="72">
        <v>46031</v>
      </c>
      <c r="C1274" s="68">
        <v>46031</v>
      </c>
      <c r="D1274" s="58" t="s">
        <v>1335</v>
      </c>
      <c r="E1274" s="59" t="s">
        <v>352</v>
      </c>
      <c r="F1274" s="56">
        <v>36</v>
      </c>
      <c r="G1274" s="73">
        <v>778</v>
      </c>
      <c r="H1274" s="74" t="s">
        <v>1336</v>
      </c>
      <c r="I1274" s="59" t="s">
        <v>1337</v>
      </c>
      <c r="J1274" s="59" t="s">
        <v>1338</v>
      </c>
      <c r="K1274" s="69">
        <v>5102</v>
      </c>
      <c r="L1274" s="56">
        <v>205</v>
      </c>
      <c r="M1274" s="59" t="s">
        <v>26</v>
      </c>
      <c r="N1274" s="61">
        <v>139.12</v>
      </c>
      <c r="O1274" s="59" t="s">
        <v>313</v>
      </c>
      <c r="P1274" s="62">
        <v>139.12</v>
      </c>
      <c r="Q1274" s="63">
        <v>20</v>
      </c>
      <c r="R1274" s="62">
        <v>27.82</v>
      </c>
      <c r="S1274" s="61">
        <v>0</v>
      </c>
      <c r="T1274" s="62">
        <v>0</v>
      </c>
    </row>
    <row r="1275" spans="1:20" ht="11.85" customHeight="1" x14ac:dyDescent="0.25">
      <c r="A1275" s="71" t="s">
        <v>620</v>
      </c>
      <c r="B1275" s="71"/>
      <c r="C1275" s="71"/>
      <c r="D1275" s="71"/>
      <c r="E1275" s="71"/>
      <c r="F1275" s="71"/>
      <c r="G1275" s="71"/>
      <c r="H1275" s="71"/>
    </row>
    <row r="1276" spans="1:20" ht="11.1" customHeight="1" x14ac:dyDescent="0.25">
      <c r="O1276" s="59" t="s">
        <v>313</v>
      </c>
      <c r="P1276" s="62">
        <v>139.12</v>
      </c>
      <c r="R1276" s="62">
        <v>27.82</v>
      </c>
      <c r="S1276" s="61">
        <v>0</v>
      </c>
      <c r="T1276" s="62">
        <v>0</v>
      </c>
    </row>
    <row r="1277" spans="1:20" ht="11.1" customHeight="1" x14ac:dyDescent="0.25">
      <c r="A1277" s="56">
        <v>109320</v>
      </c>
      <c r="B1277" s="72">
        <v>46044</v>
      </c>
      <c r="C1277" s="68">
        <v>46044</v>
      </c>
      <c r="D1277" s="58" t="s">
        <v>1339</v>
      </c>
      <c r="E1277" s="59" t="s">
        <v>352</v>
      </c>
      <c r="F1277" s="56">
        <v>36</v>
      </c>
      <c r="G1277" s="73">
        <v>801</v>
      </c>
      <c r="H1277" s="74" t="s">
        <v>1340</v>
      </c>
      <c r="I1277" s="59" t="s">
        <v>1341</v>
      </c>
      <c r="J1277" s="59" t="s">
        <v>1342</v>
      </c>
      <c r="K1277" s="69">
        <v>6403</v>
      </c>
      <c r="L1277" s="56">
        <v>207</v>
      </c>
      <c r="M1277" s="59" t="s">
        <v>52</v>
      </c>
      <c r="N1277" s="61">
        <v>11775.39</v>
      </c>
      <c r="O1277" s="59" t="s">
        <v>313</v>
      </c>
      <c r="P1277" s="62">
        <v>10066.5</v>
      </c>
      <c r="Q1277" s="63">
        <v>12</v>
      </c>
      <c r="R1277" s="62">
        <v>1207.98</v>
      </c>
      <c r="S1277" s="61">
        <v>0</v>
      </c>
      <c r="T1277" s="62">
        <v>1708.89</v>
      </c>
    </row>
    <row r="1278" spans="1:20" ht="11.1" customHeight="1" x14ac:dyDescent="0.25">
      <c r="O1278" s="59" t="s">
        <v>436</v>
      </c>
      <c r="P1278" s="62">
        <v>14584.35</v>
      </c>
      <c r="Q1278" s="63">
        <v>20</v>
      </c>
      <c r="R1278" s="62">
        <v>1708.89</v>
      </c>
      <c r="S1278" s="61">
        <v>0</v>
      </c>
      <c r="T1278" s="62">
        <v>0</v>
      </c>
    </row>
    <row r="1279" spans="1:20" ht="11.85" customHeight="1" x14ac:dyDescent="0.25">
      <c r="A1279" s="71" t="s">
        <v>620</v>
      </c>
      <c r="B1279" s="71"/>
      <c r="C1279" s="71"/>
      <c r="D1279" s="71"/>
      <c r="E1279" s="71"/>
      <c r="F1279" s="71"/>
      <c r="G1279" s="71"/>
      <c r="H1279" s="71"/>
    </row>
    <row r="1280" spans="1:20" ht="11.1" customHeight="1" x14ac:dyDescent="0.25">
      <c r="O1280" s="59" t="s">
        <v>313</v>
      </c>
      <c r="P1280" s="62">
        <v>10066.5</v>
      </c>
      <c r="R1280" s="62">
        <v>1207.98</v>
      </c>
      <c r="S1280" s="61">
        <v>0</v>
      </c>
      <c r="T1280" s="62">
        <v>1708.89</v>
      </c>
    </row>
    <row r="1281" spans="1:20" ht="11.1" customHeight="1" x14ac:dyDescent="0.25">
      <c r="O1281" s="59" t="s">
        <v>436</v>
      </c>
      <c r="P1281" s="62">
        <v>14584.35</v>
      </c>
      <c r="R1281" s="62">
        <v>1708.89</v>
      </c>
      <c r="S1281" s="61">
        <v>0</v>
      </c>
      <c r="T1281" s="62">
        <v>0</v>
      </c>
    </row>
    <row r="1282" spans="1:20" ht="11.1" customHeight="1" x14ac:dyDescent="0.25">
      <c r="A1282" s="56">
        <v>108410</v>
      </c>
      <c r="B1282" s="72">
        <v>46024</v>
      </c>
      <c r="C1282" s="68">
        <v>46024</v>
      </c>
      <c r="D1282" s="58" t="s">
        <v>1343</v>
      </c>
      <c r="E1282" s="59" t="s">
        <v>352</v>
      </c>
      <c r="F1282" s="56">
        <v>36</v>
      </c>
      <c r="G1282" s="73">
        <v>7</v>
      </c>
      <c r="H1282" s="74" t="s">
        <v>1344</v>
      </c>
      <c r="I1282" s="59" t="s">
        <v>1345</v>
      </c>
      <c r="J1282" s="59" t="s">
        <v>1346</v>
      </c>
      <c r="K1282" s="69">
        <v>5102</v>
      </c>
      <c r="L1282" s="56">
        <v>205</v>
      </c>
      <c r="M1282" s="59" t="s">
        <v>26</v>
      </c>
      <c r="N1282" s="61">
        <v>288.18</v>
      </c>
      <c r="O1282" s="59" t="s">
        <v>313</v>
      </c>
      <c r="P1282" s="62">
        <v>288.18</v>
      </c>
      <c r="Q1282" s="63">
        <v>20</v>
      </c>
      <c r="R1282" s="62">
        <v>57.64</v>
      </c>
      <c r="S1282" s="61">
        <v>0</v>
      </c>
      <c r="T1282" s="62">
        <v>0</v>
      </c>
    </row>
    <row r="1283" spans="1:20" ht="11.1" customHeight="1" x14ac:dyDescent="0.25">
      <c r="A1283" s="56">
        <v>108436</v>
      </c>
      <c r="B1283" s="72">
        <v>46027</v>
      </c>
      <c r="C1283" s="68">
        <v>46027</v>
      </c>
      <c r="D1283" s="58" t="s">
        <v>1347</v>
      </c>
      <c r="E1283" s="59" t="s">
        <v>352</v>
      </c>
      <c r="F1283" s="56">
        <v>36</v>
      </c>
      <c r="G1283" s="73">
        <v>7</v>
      </c>
      <c r="H1283" s="74" t="s">
        <v>1344</v>
      </c>
      <c r="I1283" s="59" t="s">
        <v>1345</v>
      </c>
      <c r="J1283" s="59" t="s">
        <v>1346</v>
      </c>
      <c r="K1283" s="69">
        <v>5102</v>
      </c>
      <c r="L1283" s="56">
        <v>205</v>
      </c>
      <c r="M1283" s="59" t="s">
        <v>26</v>
      </c>
      <c r="N1283" s="61">
        <v>457.44</v>
      </c>
      <c r="O1283" s="59" t="s">
        <v>313</v>
      </c>
      <c r="P1283" s="62">
        <v>457.44</v>
      </c>
      <c r="Q1283" s="63">
        <v>20</v>
      </c>
      <c r="R1283" s="62">
        <v>91.49</v>
      </c>
      <c r="S1283" s="61">
        <v>0</v>
      </c>
      <c r="T1283" s="62">
        <v>0</v>
      </c>
    </row>
    <row r="1284" spans="1:20" ht="11.1" customHeight="1" x14ac:dyDescent="0.25">
      <c r="A1284" s="56">
        <v>108446</v>
      </c>
      <c r="B1284" s="72">
        <v>46027</v>
      </c>
      <c r="C1284" s="68">
        <v>46027</v>
      </c>
      <c r="D1284" s="58" t="s">
        <v>1348</v>
      </c>
      <c r="E1284" s="59" t="s">
        <v>352</v>
      </c>
      <c r="F1284" s="56">
        <v>36</v>
      </c>
      <c r="G1284" s="73">
        <v>7</v>
      </c>
      <c r="H1284" s="74" t="s">
        <v>1344</v>
      </c>
      <c r="I1284" s="59" t="s">
        <v>1345</v>
      </c>
      <c r="J1284" s="59" t="s">
        <v>1346</v>
      </c>
      <c r="K1284" s="69">
        <v>5102</v>
      </c>
      <c r="L1284" s="56">
        <v>205</v>
      </c>
      <c r="M1284" s="59" t="s">
        <v>26</v>
      </c>
      <c r="N1284" s="61">
        <v>464.8</v>
      </c>
      <c r="O1284" s="59" t="s">
        <v>313</v>
      </c>
      <c r="P1284" s="62">
        <v>464.8</v>
      </c>
      <c r="Q1284" s="63">
        <v>20</v>
      </c>
      <c r="R1284" s="62">
        <v>92.96</v>
      </c>
      <c r="S1284" s="61">
        <v>0</v>
      </c>
      <c r="T1284" s="62">
        <v>0</v>
      </c>
    </row>
    <row r="1285" spans="1:20" ht="11.1" customHeight="1" x14ac:dyDescent="0.25">
      <c r="A1285" s="56">
        <v>108533</v>
      </c>
      <c r="B1285" s="72">
        <v>46028</v>
      </c>
      <c r="C1285" s="68">
        <v>46028</v>
      </c>
      <c r="D1285" s="58" t="s">
        <v>1349</v>
      </c>
      <c r="E1285" s="59" t="s">
        <v>352</v>
      </c>
      <c r="F1285" s="56">
        <v>36</v>
      </c>
      <c r="G1285" s="73">
        <v>7</v>
      </c>
      <c r="H1285" s="74" t="s">
        <v>1344</v>
      </c>
      <c r="I1285" s="59" t="s">
        <v>1345</v>
      </c>
      <c r="J1285" s="59" t="s">
        <v>1346</v>
      </c>
      <c r="K1285" s="69">
        <v>5403</v>
      </c>
      <c r="L1285" s="56">
        <v>207</v>
      </c>
      <c r="M1285" s="59" t="s">
        <v>26</v>
      </c>
      <c r="N1285" s="61">
        <v>215.26</v>
      </c>
      <c r="O1285" s="59" t="s">
        <v>313</v>
      </c>
      <c r="P1285" s="62">
        <v>201.18</v>
      </c>
      <c r="Q1285" s="63">
        <v>20</v>
      </c>
      <c r="R1285" s="62">
        <v>40.24</v>
      </c>
      <c r="S1285" s="61">
        <v>0</v>
      </c>
      <c r="T1285" s="62">
        <v>14.08</v>
      </c>
    </row>
    <row r="1286" spans="1:20" ht="11.1" customHeight="1" x14ac:dyDescent="0.25">
      <c r="O1286" s="59" t="s">
        <v>436</v>
      </c>
      <c r="P1286" s="62">
        <v>271.58999999999997</v>
      </c>
      <c r="Q1286" s="63">
        <v>20</v>
      </c>
      <c r="R1286" s="62">
        <v>14.08</v>
      </c>
      <c r="S1286" s="61">
        <v>0</v>
      </c>
      <c r="T1286" s="62">
        <v>0</v>
      </c>
    </row>
    <row r="1287" spans="1:20" ht="11.1" customHeight="1" x14ac:dyDescent="0.25">
      <c r="A1287" s="56">
        <v>108536</v>
      </c>
      <c r="B1287" s="72">
        <v>46028</v>
      </c>
      <c r="C1287" s="68">
        <v>46028</v>
      </c>
      <c r="D1287" s="58" t="s">
        <v>1350</v>
      </c>
      <c r="E1287" s="59" t="s">
        <v>352</v>
      </c>
      <c r="F1287" s="56">
        <v>36</v>
      </c>
      <c r="G1287" s="73">
        <v>7</v>
      </c>
      <c r="H1287" s="74" t="s">
        <v>1344</v>
      </c>
      <c r="I1287" s="59" t="s">
        <v>1345</v>
      </c>
      <c r="J1287" s="59" t="s">
        <v>1346</v>
      </c>
      <c r="K1287" s="69">
        <v>5102</v>
      </c>
      <c r="L1287" s="56">
        <v>205</v>
      </c>
      <c r="M1287" s="59" t="s">
        <v>26</v>
      </c>
      <c r="N1287" s="61">
        <v>16496.259999999998</v>
      </c>
      <c r="O1287" s="59" t="s">
        <v>313</v>
      </c>
      <c r="P1287" s="62">
        <v>16496.259999999998</v>
      </c>
      <c r="Q1287" s="63">
        <v>20</v>
      </c>
      <c r="R1287" s="62">
        <v>3299.28</v>
      </c>
      <c r="S1287" s="61">
        <v>0</v>
      </c>
      <c r="T1287" s="62">
        <v>0</v>
      </c>
    </row>
    <row r="1288" spans="1:20" ht="11.1" customHeight="1" x14ac:dyDescent="0.25">
      <c r="A1288" s="56">
        <v>108537</v>
      </c>
      <c r="B1288" s="72">
        <v>46028</v>
      </c>
      <c r="C1288" s="68">
        <v>46028</v>
      </c>
      <c r="D1288" s="58" t="s">
        <v>1350</v>
      </c>
      <c r="E1288" s="59" t="s">
        <v>352</v>
      </c>
      <c r="F1288" s="56">
        <v>36</v>
      </c>
      <c r="G1288" s="73">
        <v>7</v>
      </c>
      <c r="H1288" s="74" t="s">
        <v>1344</v>
      </c>
      <c r="I1288" s="59" t="s">
        <v>1345</v>
      </c>
      <c r="J1288" s="59" t="s">
        <v>1346</v>
      </c>
      <c r="K1288" s="69">
        <v>5403</v>
      </c>
      <c r="L1288" s="56">
        <v>207</v>
      </c>
      <c r="M1288" s="59" t="s">
        <v>26</v>
      </c>
      <c r="N1288" s="61">
        <v>15043.39</v>
      </c>
      <c r="O1288" s="59" t="s">
        <v>313</v>
      </c>
      <c r="P1288" s="62">
        <v>14059.2</v>
      </c>
      <c r="Q1288" s="63">
        <v>20</v>
      </c>
      <c r="R1288" s="62">
        <v>2811.82</v>
      </c>
      <c r="S1288" s="61">
        <v>0</v>
      </c>
      <c r="T1288" s="62">
        <v>984.19</v>
      </c>
    </row>
    <row r="1289" spans="1:20" ht="11.1" customHeight="1" x14ac:dyDescent="0.25">
      <c r="O1289" s="59" t="s">
        <v>436</v>
      </c>
      <c r="P1289" s="62">
        <v>18979.96</v>
      </c>
      <c r="Q1289" s="63">
        <v>20</v>
      </c>
      <c r="R1289" s="62">
        <v>984.19</v>
      </c>
      <c r="S1289" s="61">
        <v>0</v>
      </c>
      <c r="T1289" s="62">
        <v>0</v>
      </c>
    </row>
    <row r="1290" spans="1:20" ht="11.1" customHeight="1" x14ac:dyDescent="0.25">
      <c r="A1290" s="56">
        <v>108598</v>
      </c>
      <c r="B1290" s="72">
        <v>46029</v>
      </c>
      <c r="C1290" s="68">
        <v>46029</v>
      </c>
      <c r="D1290" s="58" t="s">
        <v>1351</v>
      </c>
      <c r="E1290" s="59" t="s">
        <v>352</v>
      </c>
      <c r="F1290" s="56">
        <v>36</v>
      </c>
      <c r="G1290" s="73">
        <v>7</v>
      </c>
      <c r="H1290" s="74" t="s">
        <v>1344</v>
      </c>
      <c r="I1290" s="59" t="s">
        <v>1345</v>
      </c>
      <c r="J1290" s="59" t="s">
        <v>1346</v>
      </c>
      <c r="K1290" s="69">
        <v>5102</v>
      </c>
      <c r="L1290" s="56">
        <v>205</v>
      </c>
      <c r="M1290" s="59" t="s">
        <v>26</v>
      </c>
      <c r="N1290" s="61">
        <v>553.20000000000005</v>
      </c>
      <c r="O1290" s="59" t="s">
        <v>313</v>
      </c>
      <c r="P1290" s="62">
        <v>553.20000000000005</v>
      </c>
      <c r="Q1290" s="63">
        <v>20</v>
      </c>
      <c r="R1290" s="62">
        <v>110.64</v>
      </c>
      <c r="S1290" s="61">
        <v>0</v>
      </c>
      <c r="T1290" s="62">
        <v>0</v>
      </c>
    </row>
    <row r="1291" spans="1:20" ht="11.1" customHeight="1" x14ac:dyDescent="0.25">
      <c r="A1291" s="56">
        <v>108601</v>
      </c>
      <c r="B1291" s="72">
        <v>46029</v>
      </c>
      <c r="C1291" s="68">
        <v>46029</v>
      </c>
      <c r="D1291" s="58" t="s">
        <v>1352</v>
      </c>
      <c r="E1291" s="59" t="s">
        <v>352</v>
      </c>
      <c r="F1291" s="56">
        <v>36</v>
      </c>
      <c r="G1291" s="73">
        <v>7</v>
      </c>
      <c r="H1291" s="74" t="s">
        <v>1344</v>
      </c>
      <c r="I1291" s="59" t="s">
        <v>1345</v>
      </c>
      <c r="J1291" s="59" t="s">
        <v>1346</v>
      </c>
      <c r="K1291" s="69">
        <v>5102</v>
      </c>
      <c r="L1291" s="56">
        <v>205</v>
      </c>
      <c r="M1291" s="59" t="s">
        <v>26</v>
      </c>
      <c r="N1291" s="61">
        <v>419</v>
      </c>
      <c r="O1291" s="59" t="s">
        <v>313</v>
      </c>
      <c r="P1291" s="62">
        <v>419</v>
      </c>
      <c r="Q1291" s="63">
        <v>20</v>
      </c>
      <c r="R1291" s="62">
        <v>83.8</v>
      </c>
      <c r="S1291" s="61">
        <v>0</v>
      </c>
      <c r="T1291" s="62">
        <v>0</v>
      </c>
    </row>
    <row r="1292" spans="1:20" ht="11.1" customHeight="1" x14ac:dyDescent="0.25">
      <c r="A1292" s="56">
        <v>108640</v>
      </c>
      <c r="B1292" s="72">
        <v>46030</v>
      </c>
      <c r="C1292" s="68">
        <v>46030</v>
      </c>
      <c r="D1292" s="58" t="s">
        <v>1353</v>
      </c>
      <c r="E1292" s="59" t="s">
        <v>352</v>
      </c>
      <c r="F1292" s="56">
        <v>36</v>
      </c>
      <c r="G1292" s="73">
        <v>7</v>
      </c>
      <c r="H1292" s="74" t="s">
        <v>1344</v>
      </c>
      <c r="I1292" s="59" t="s">
        <v>1345</v>
      </c>
      <c r="J1292" s="59" t="s">
        <v>1346</v>
      </c>
      <c r="K1292" s="69">
        <v>5102</v>
      </c>
      <c r="L1292" s="56">
        <v>205</v>
      </c>
      <c r="M1292" s="59" t="s">
        <v>26</v>
      </c>
      <c r="N1292" s="61">
        <v>206.16</v>
      </c>
      <c r="O1292" s="59" t="s">
        <v>313</v>
      </c>
      <c r="P1292" s="62">
        <v>206.16</v>
      </c>
      <c r="Q1292" s="63">
        <v>12</v>
      </c>
      <c r="R1292" s="62">
        <v>24.74</v>
      </c>
      <c r="S1292" s="61">
        <v>0</v>
      </c>
      <c r="T1292" s="62">
        <v>0</v>
      </c>
    </row>
    <row r="1293" spans="1:20" ht="11.1" customHeight="1" x14ac:dyDescent="0.25">
      <c r="A1293" s="56">
        <v>108651</v>
      </c>
      <c r="B1293" s="72">
        <v>46030</v>
      </c>
      <c r="C1293" s="68">
        <v>46030</v>
      </c>
      <c r="D1293" s="58" t="s">
        <v>1354</v>
      </c>
      <c r="E1293" s="59" t="s">
        <v>352</v>
      </c>
      <c r="F1293" s="56">
        <v>36</v>
      </c>
      <c r="G1293" s="73">
        <v>7</v>
      </c>
      <c r="H1293" s="74" t="s">
        <v>1344</v>
      </c>
      <c r="I1293" s="59" t="s">
        <v>1345</v>
      </c>
      <c r="J1293" s="59" t="s">
        <v>1346</v>
      </c>
      <c r="K1293" s="69">
        <v>5102</v>
      </c>
      <c r="L1293" s="56">
        <v>205</v>
      </c>
      <c r="M1293" s="59" t="s">
        <v>26</v>
      </c>
      <c r="N1293" s="61">
        <v>1527.98</v>
      </c>
      <c r="O1293" s="59" t="s">
        <v>313</v>
      </c>
      <c r="P1293" s="62">
        <v>206.16</v>
      </c>
      <c r="Q1293" s="63">
        <v>12</v>
      </c>
      <c r="R1293" s="62">
        <v>24.74</v>
      </c>
      <c r="S1293" s="61">
        <v>0</v>
      </c>
      <c r="T1293" s="62">
        <v>0</v>
      </c>
    </row>
    <row r="1294" spans="1:20" ht="11.1" customHeight="1" x14ac:dyDescent="0.25">
      <c r="O1294" s="59" t="s">
        <v>313</v>
      </c>
      <c r="P1294" s="62">
        <v>1321.82</v>
      </c>
      <c r="Q1294" s="63">
        <v>20</v>
      </c>
      <c r="R1294" s="62">
        <v>264.36</v>
      </c>
      <c r="S1294" s="61">
        <v>0</v>
      </c>
      <c r="T1294" s="62">
        <v>0</v>
      </c>
    </row>
    <row r="1295" spans="1:20" ht="11.1" customHeight="1" x14ac:dyDescent="0.25">
      <c r="A1295" s="56">
        <v>108661</v>
      </c>
      <c r="B1295" s="72">
        <v>46030</v>
      </c>
      <c r="C1295" s="68">
        <v>46030</v>
      </c>
      <c r="D1295" s="58" t="s">
        <v>1355</v>
      </c>
      <c r="E1295" s="59" t="s">
        <v>352</v>
      </c>
      <c r="F1295" s="56">
        <v>36</v>
      </c>
      <c r="G1295" s="73">
        <v>7</v>
      </c>
      <c r="H1295" s="74" t="s">
        <v>1344</v>
      </c>
      <c r="I1295" s="59" t="s">
        <v>1345</v>
      </c>
      <c r="J1295" s="59" t="s">
        <v>1346</v>
      </c>
      <c r="K1295" s="69">
        <v>5102</v>
      </c>
      <c r="L1295" s="56">
        <v>205</v>
      </c>
      <c r="M1295" s="59" t="s">
        <v>26</v>
      </c>
      <c r="N1295" s="61">
        <v>769.66</v>
      </c>
      <c r="O1295" s="59" t="s">
        <v>313</v>
      </c>
      <c r="P1295" s="62">
        <v>769.66</v>
      </c>
      <c r="Q1295" s="63">
        <v>20</v>
      </c>
      <c r="R1295" s="62">
        <v>153.93</v>
      </c>
      <c r="S1295" s="61">
        <v>0</v>
      </c>
      <c r="T1295" s="62">
        <v>0</v>
      </c>
    </row>
    <row r="1296" spans="1:20" ht="11.1" customHeight="1" x14ac:dyDescent="0.25">
      <c r="A1296" s="56">
        <v>108662</v>
      </c>
      <c r="B1296" s="72">
        <v>46030</v>
      </c>
      <c r="C1296" s="68">
        <v>46030</v>
      </c>
      <c r="D1296" s="58" t="s">
        <v>1355</v>
      </c>
      <c r="E1296" s="59" t="s">
        <v>352</v>
      </c>
      <c r="F1296" s="56">
        <v>36</v>
      </c>
      <c r="G1296" s="73">
        <v>7</v>
      </c>
      <c r="H1296" s="74" t="s">
        <v>1344</v>
      </c>
      <c r="I1296" s="59" t="s">
        <v>1345</v>
      </c>
      <c r="J1296" s="59" t="s">
        <v>1346</v>
      </c>
      <c r="K1296" s="69">
        <v>5403</v>
      </c>
      <c r="L1296" s="56">
        <v>207</v>
      </c>
      <c r="M1296" s="59" t="s">
        <v>26</v>
      </c>
      <c r="N1296" s="61">
        <v>147.27000000000001</v>
      </c>
      <c r="O1296" s="59" t="s">
        <v>313</v>
      </c>
      <c r="P1296" s="62">
        <v>137.63999999999999</v>
      </c>
      <c r="Q1296" s="63">
        <v>20</v>
      </c>
      <c r="R1296" s="62">
        <v>27.53</v>
      </c>
      <c r="S1296" s="61">
        <v>0</v>
      </c>
      <c r="T1296" s="62">
        <v>9.6300000000000008</v>
      </c>
    </row>
    <row r="1297" spans="1:20" ht="11.1" customHeight="1" x14ac:dyDescent="0.25">
      <c r="O1297" s="59" t="s">
        <v>436</v>
      </c>
      <c r="P1297" s="62">
        <v>185.81</v>
      </c>
      <c r="Q1297" s="63">
        <v>20</v>
      </c>
      <c r="R1297" s="62">
        <v>9.6300000000000008</v>
      </c>
      <c r="S1297" s="61">
        <v>0</v>
      </c>
      <c r="T1297" s="62">
        <v>0</v>
      </c>
    </row>
    <row r="1298" spans="1:20" ht="11.1" customHeight="1" x14ac:dyDescent="0.25">
      <c r="A1298" s="56">
        <v>108782</v>
      </c>
      <c r="B1298" s="72">
        <v>46034</v>
      </c>
      <c r="C1298" s="68">
        <v>46034</v>
      </c>
      <c r="D1298" s="58" t="s">
        <v>1356</v>
      </c>
      <c r="E1298" s="59" t="s">
        <v>352</v>
      </c>
      <c r="F1298" s="56">
        <v>36</v>
      </c>
      <c r="G1298" s="73">
        <v>7</v>
      </c>
      <c r="H1298" s="74" t="s">
        <v>1344</v>
      </c>
      <c r="I1298" s="59" t="s">
        <v>1345</v>
      </c>
      <c r="J1298" s="59" t="s">
        <v>1346</v>
      </c>
      <c r="K1298" s="69">
        <v>5403</v>
      </c>
      <c r="L1298" s="56">
        <v>207</v>
      </c>
      <c r="M1298" s="59" t="s">
        <v>26</v>
      </c>
      <c r="N1298" s="61">
        <v>63.64</v>
      </c>
      <c r="O1298" s="59" t="s">
        <v>313</v>
      </c>
      <c r="P1298" s="62">
        <v>59.48</v>
      </c>
      <c r="Q1298" s="63">
        <v>20</v>
      </c>
      <c r="R1298" s="62">
        <v>11.9</v>
      </c>
      <c r="S1298" s="61">
        <v>0</v>
      </c>
      <c r="T1298" s="62">
        <v>4.16</v>
      </c>
    </row>
    <row r="1299" spans="1:20" ht="11.1" customHeight="1" x14ac:dyDescent="0.25">
      <c r="O1299" s="59" t="s">
        <v>436</v>
      </c>
      <c r="P1299" s="62">
        <v>80.3</v>
      </c>
      <c r="Q1299" s="63">
        <v>20</v>
      </c>
      <c r="R1299" s="62">
        <v>4.16</v>
      </c>
      <c r="S1299" s="61">
        <v>0</v>
      </c>
      <c r="T1299" s="62">
        <v>0</v>
      </c>
    </row>
    <row r="1300" spans="1:20" ht="11.1" customHeight="1" x14ac:dyDescent="0.25">
      <c r="A1300" s="56">
        <v>108828</v>
      </c>
      <c r="B1300" s="72">
        <v>46035</v>
      </c>
      <c r="C1300" s="68">
        <v>46035</v>
      </c>
      <c r="D1300" s="58" t="s">
        <v>1357</v>
      </c>
      <c r="E1300" s="59" t="s">
        <v>352</v>
      </c>
      <c r="F1300" s="56">
        <v>36</v>
      </c>
      <c r="G1300" s="73">
        <v>7</v>
      </c>
      <c r="H1300" s="74" t="s">
        <v>1344</v>
      </c>
      <c r="I1300" s="59" t="s">
        <v>1345</v>
      </c>
      <c r="J1300" s="59" t="s">
        <v>1346</v>
      </c>
      <c r="K1300" s="69">
        <v>5403</v>
      </c>
      <c r="L1300" s="56">
        <v>207</v>
      </c>
      <c r="M1300" s="59" t="s">
        <v>26</v>
      </c>
      <c r="N1300" s="61">
        <v>43.6</v>
      </c>
      <c r="O1300" s="59" t="s">
        <v>313</v>
      </c>
      <c r="P1300" s="62">
        <v>40.75</v>
      </c>
      <c r="Q1300" s="63">
        <v>20</v>
      </c>
      <c r="R1300" s="62">
        <v>8.15</v>
      </c>
      <c r="S1300" s="61">
        <v>0</v>
      </c>
      <c r="T1300" s="62">
        <v>2.85</v>
      </c>
    </row>
    <row r="1301" spans="1:20" ht="11.1" customHeight="1" x14ac:dyDescent="0.25">
      <c r="O1301" s="59" t="s">
        <v>436</v>
      </c>
      <c r="P1301" s="62">
        <v>55.01</v>
      </c>
      <c r="Q1301" s="63">
        <v>20</v>
      </c>
      <c r="R1301" s="62">
        <v>2.85</v>
      </c>
      <c r="S1301" s="61">
        <v>0</v>
      </c>
      <c r="T1301" s="62">
        <v>0</v>
      </c>
    </row>
    <row r="1302" spans="1:20" ht="11.1" customHeight="1" x14ac:dyDescent="0.25">
      <c r="A1302" s="56">
        <v>108868</v>
      </c>
      <c r="B1302" s="72">
        <v>46035</v>
      </c>
      <c r="C1302" s="68">
        <v>46035</v>
      </c>
      <c r="D1302" s="58" t="s">
        <v>1358</v>
      </c>
      <c r="E1302" s="59" t="s">
        <v>352</v>
      </c>
      <c r="F1302" s="56">
        <v>36</v>
      </c>
      <c r="G1302" s="73">
        <v>7</v>
      </c>
      <c r="H1302" s="74" t="s">
        <v>1344</v>
      </c>
      <c r="I1302" s="59" t="s">
        <v>1345</v>
      </c>
      <c r="J1302" s="59" t="s">
        <v>1346</v>
      </c>
      <c r="K1302" s="69">
        <v>5102</v>
      </c>
      <c r="L1302" s="56">
        <v>205</v>
      </c>
      <c r="M1302" s="59" t="s">
        <v>26</v>
      </c>
      <c r="N1302" s="61">
        <v>3322.1</v>
      </c>
      <c r="O1302" s="59" t="s">
        <v>313</v>
      </c>
      <c r="P1302" s="62">
        <v>3322.1</v>
      </c>
      <c r="Q1302" s="63">
        <v>20</v>
      </c>
      <c r="R1302" s="62">
        <v>664.41</v>
      </c>
      <c r="S1302" s="61">
        <v>0</v>
      </c>
      <c r="T1302" s="62">
        <v>0</v>
      </c>
    </row>
    <row r="1303" spans="1:20" ht="11.1" customHeight="1" x14ac:dyDescent="0.25">
      <c r="A1303" s="56">
        <v>108869</v>
      </c>
      <c r="B1303" s="72">
        <v>46035</v>
      </c>
      <c r="C1303" s="68">
        <v>46035</v>
      </c>
      <c r="D1303" s="58" t="s">
        <v>1358</v>
      </c>
      <c r="E1303" s="59" t="s">
        <v>352</v>
      </c>
      <c r="F1303" s="56">
        <v>36</v>
      </c>
      <c r="G1303" s="73">
        <v>7</v>
      </c>
      <c r="H1303" s="74" t="s">
        <v>1344</v>
      </c>
      <c r="I1303" s="59" t="s">
        <v>1345</v>
      </c>
      <c r="J1303" s="59" t="s">
        <v>1346</v>
      </c>
      <c r="K1303" s="69">
        <v>5403</v>
      </c>
      <c r="L1303" s="56">
        <v>207</v>
      </c>
      <c r="M1303" s="59" t="s">
        <v>26</v>
      </c>
      <c r="N1303" s="61">
        <v>3067.16</v>
      </c>
      <c r="O1303" s="59" t="s">
        <v>313</v>
      </c>
      <c r="P1303" s="62">
        <v>2866.5</v>
      </c>
      <c r="Q1303" s="63">
        <v>20</v>
      </c>
      <c r="R1303" s="62">
        <v>573.30999999999995</v>
      </c>
      <c r="S1303" s="61">
        <v>0</v>
      </c>
      <c r="T1303" s="62">
        <v>200.66</v>
      </c>
    </row>
    <row r="1304" spans="1:20" ht="11.1" customHeight="1" x14ac:dyDescent="0.25">
      <c r="O1304" s="59" t="s">
        <v>436</v>
      </c>
      <c r="P1304" s="62">
        <v>3869.79</v>
      </c>
      <c r="Q1304" s="63">
        <v>20</v>
      </c>
      <c r="R1304" s="62">
        <v>200.66</v>
      </c>
      <c r="S1304" s="61">
        <v>0</v>
      </c>
      <c r="T1304" s="62">
        <v>0</v>
      </c>
    </row>
    <row r="1305" spans="1:20" ht="11.1" customHeight="1" x14ac:dyDescent="0.25">
      <c r="A1305" s="56">
        <v>108886</v>
      </c>
      <c r="B1305" s="72">
        <v>46035</v>
      </c>
      <c r="C1305" s="68">
        <v>46035</v>
      </c>
      <c r="D1305" s="58" t="s">
        <v>1359</v>
      </c>
      <c r="E1305" s="59" t="s">
        <v>352</v>
      </c>
      <c r="F1305" s="56">
        <v>36</v>
      </c>
      <c r="G1305" s="73">
        <v>7</v>
      </c>
      <c r="H1305" s="74" t="s">
        <v>1344</v>
      </c>
      <c r="I1305" s="59" t="s">
        <v>1345</v>
      </c>
      <c r="J1305" s="59" t="s">
        <v>1346</v>
      </c>
      <c r="K1305" s="69">
        <v>5102</v>
      </c>
      <c r="L1305" s="56">
        <v>205</v>
      </c>
      <c r="M1305" s="59" t="s">
        <v>26</v>
      </c>
      <c r="N1305" s="61">
        <v>94.5</v>
      </c>
      <c r="O1305" s="59" t="s">
        <v>313</v>
      </c>
      <c r="P1305" s="62">
        <v>94.5</v>
      </c>
      <c r="Q1305" s="63">
        <v>20</v>
      </c>
      <c r="R1305" s="62">
        <v>18.899999999999999</v>
      </c>
      <c r="S1305" s="61">
        <v>0</v>
      </c>
      <c r="T1305" s="62">
        <v>0</v>
      </c>
    </row>
    <row r="1306" spans="1:20" ht="11.1" customHeight="1" x14ac:dyDescent="0.25">
      <c r="A1306" s="56">
        <v>108887</v>
      </c>
      <c r="B1306" s="72">
        <v>46035</v>
      </c>
      <c r="C1306" s="68">
        <v>46035</v>
      </c>
      <c r="D1306" s="58" t="s">
        <v>1359</v>
      </c>
      <c r="E1306" s="59" t="s">
        <v>352</v>
      </c>
      <c r="F1306" s="56">
        <v>36</v>
      </c>
      <c r="G1306" s="73">
        <v>7</v>
      </c>
      <c r="H1306" s="74" t="s">
        <v>1344</v>
      </c>
      <c r="I1306" s="59" t="s">
        <v>1345</v>
      </c>
      <c r="J1306" s="59" t="s">
        <v>1346</v>
      </c>
      <c r="K1306" s="69">
        <v>5403</v>
      </c>
      <c r="L1306" s="56">
        <v>207</v>
      </c>
      <c r="M1306" s="59" t="s">
        <v>26</v>
      </c>
      <c r="N1306" s="61">
        <v>436.98</v>
      </c>
      <c r="O1306" s="59" t="s">
        <v>313</v>
      </c>
      <c r="P1306" s="62">
        <v>408.39</v>
      </c>
      <c r="Q1306" s="63">
        <v>20</v>
      </c>
      <c r="R1306" s="62">
        <v>81.680000000000007</v>
      </c>
      <c r="S1306" s="61">
        <v>0</v>
      </c>
      <c r="T1306" s="62">
        <v>28.59</v>
      </c>
    </row>
    <row r="1307" spans="1:20" ht="11.1" customHeight="1" x14ac:dyDescent="0.25">
      <c r="O1307" s="59" t="s">
        <v>436</v>
      </c>
      <c r="P1307" s="62">
        <v>551.33000000000004</v>
      </c>
      <c r="Q1307" s="63">
        <v>20</v>
      </c>
      <c r="R1307" s="62">
        <v>28.59</v>
      </c>
      <c r="S1307" s="61">
        <v>0</v>
      </c>
      <c r="T1307" s="62">
        <v>0</v>
      </c>
    </row>
    <row r="1308" spans="1:20" ht="11.1" customHeight="1" x14ac:dyDescent="0.25">
      <c r="A1308" s="56">
        <v>108899</v>
      </c>
      <c r="B1308" s="72">
        <v>46036</v>
      </c>
      <c r="C1308" s="68">
        <v>46036</v>
      </c>
      <c r="D1308" s="58" t="s">
        <v>1360</v>
      </c>
      <c r="E1308" s="59" t="s">
        <v>352</v>
      </c>
      <c r="F1308" s="56">
        <v>36</v>
      </c>
      <c r="G1308" s="73">
        <v>7</v>
      </c>
      <c r="H1308" s="74" t="s">
        <v>1344</v>
      </c>
      <c r="I1308" s="59" t="s">
        <v>1345</v>
      </c>
      <c r="J1308" s="59" t="s">
        <v>1346</v>
      </c>
      <c r="K1308" s="69">
        <v>5102</v>
      </c>
      <c r="L1308" s="56">
        <v>205</v>
      </c>
      <c r="M1308" s="59" t="s">
        <v>26</v>
      </c>
      <c r="N1308" s="61">
        <v>60.36</v>
      </c>
      <c r="O1308" s="59" t="s">
        <v>313</v>
      </c>
      <c r="P1308" s="62">
        <v>60.36</v>
      </c>
      <c r="Q1308" s="63">
        <v>20</v>
      </c>
      <c r="R1308" s="62">
        <v>12.07</v>
      </c>
      <c r="S1308" s="61">
        <v>0</v>
      </c>
      <c r="T1308" s="62">
        <v>0</v>
      </c>
    </row>
    <row r="1309" spans="1:20" ht="11.1" customHeight="1" x14ac:dyDescent="0.25">
      <c r="A1309" s="56">
        <v>108980</v>
      </c>
      <c r="B1309" s="72">
        <v>46037</v>
      </c>
      <c r="C1309" s="68">
        <v>46037</v>
      </c>
      <c r="D1309" s="58" t="s">
        <v>1361</v>
      </c>
      <c r="E1309" s="59" t="s">
        <v>352</v>
      </c>
      <c r="F1309" s="56">
        <v>36</v>
      </c>
      <c r="G1309" s="73">
        <v>7</v>
      </c>
      <c r="H1309" s="74" t="s">
        <v>1344</v>
      </c>
      <c r="I1309" s="59" t="s">
        <v>1345</v>
      </c>
      <c r="J1309" s="59" t="s">
        <v>1346</v>
      </c>
      <c r="K1309" s="69">
        <v>5403</v>
      </c>
      <c r="L1309" s="56">
        <v>207</v>
      </c>
      <c r="M1309" s="59" t="s">
        <v>26</v>
      </c>
      <c r="N1309" s="61">
        <v>708.67</v>
      </c>
      <c r="O1309" s="59" t="s">
        <v>313</v>
      </c>
      <c r="P1309" s="62">
        <v>662.31</v>
      </c>
      <c r="Q1309" s="63">
        <v>20</v>
      </c>
      <c r="R1309" s="62">
        <v>132.46</v>
      </c>
      <c r="S1309" s="61">
        <v>0</v>
      </c>
      <c r="T1309" s="62">
        <v>46.36</v>
      </c>
    </row>
    <row r="1310" spans="1:20" ht="11.1" customHeight="1" x14ac:dyDescent="0.25">
      <c r="O1310" s="59" t="s">
        <v>436</v>
      </c>
      <c r="P1310" s="62">
        <v>894.12</v>
      </c>
      <c r="Q1310" s="63">
        <v>20</v>
      </c>
      <c r="R1310" s="62">
        <v>46.36</v>
      </c>
      <c r="S1310" s="61">
        <v>0</v>
      </c>
      <c r="T1310" s="62">
        <v>0</v>
      </c>
    </row>
    <row r="1311" spans="1:20" ht="11.1" customHeight="1" x14ac:dyDescent="0.25">
      <c r="A1311" s="56">
        <v>108982</v>
      </c>
      <c r="B1311" s="72">
        <v>46037</v>
      </c>
      <c r="C1311" s="68">
        <v>46037</v>
      </c>
      <c r="D1311" s="58" t="s">
        <v>1362</v>
      </c>
      <c r="E1311" s="59" t="s">
        <v>352</v>
      </c>
      <c r="F1311" s="56">
        <v>36</v>
      </c>
      <c r="G1311" s="73">
        <v>7</v>
      </c>
      <c r="H1311" s="74" t="s">
        <v>1344</v>
      </c>
      <c r="I1311" s="59" t="s">
        <v>1345</v>
      </c>
      <c r="J1311" s="59" t="s">
        <v>1346</v>
      </c>
      <c r="K1311" s="69">
        <v>5403</v>
      </c>
      <c r="L1311" s="56">
        <v>207</v>
      </c>
      <c r="M1311" s="59" t="s">
        <v>26</v>
      </c>
      <c r="N1311" s="61">
        <v>215.26</v>
      </c>
      <c r="O1311" s="59" t="s">
        <v>313</v>
      </c>
      <c r="P1311" s="62">
        <v>201.18</v>
      </c>
      <c r="Q1311" s="63">
        <v>20</v>
      </c>
      <c r="R1311" s="62">
        <v>40.24</v>
      </c>
      <c r="S1311" s="61">
        <v>0</v>
      </c>
      <c r="T1311" s="62">
        <v>14.08</v>
      </c>
    </row>
    <row r="1312" spans="1:20" ht="11.1" customHeight="1" x14ac:dyDescent="0.25">
      <c r="O1312" s="59" t="s">
        <v>436</v>
      </c>
      <c r="P1312" s="62">
        <v>271.58999999999997</v>
      </c>
      <c r="Q1312" s="63">
        <v>20</v>
      </c>
      <c r="R1312" s="62">
        <v>14.08</v>
      </c>
      <c r="S1312" s="61">
        <v>0</v>
      </c>
      <c r="T1312" s="62">
        <v>0</v>
      </c>
    </row>
    <row r="1313" spans="1:20" ht="11.1" customHeight="1" x14ac:dyDescent="0.25">
      <c r="A1313" s="56">
        <v>109040</v>
      </c>
      <c r="B1313" s="72">
        <v>46038</v>
      </c>
      <c r="C1313" s="68">
        <v>46038</v>
      </c>
      <c r="D1313" s="58" t="s">
        <v>1363</v>
      </c>
      <c r="E1313" s="59" t="s">
        <v>352</v>
      </c>
      <c r="F1313" s="56">
        <v>36</v>
      </c>
      <c r="G1313" s="73">
        <v>7</v>
      </c>
      <c r="H1313" s="74" t="s">
        <v>1344</v>
      </c>
      <c r="I1313" s="59" t="s">
        <v>1345</v>
      </c>
      <c r="J1313" s="59" t="s">
        <v>1346</v>
      </c>
      <c r="K1313" s="69">
        <v>5403</v>
      </c>
      <c r="L1313" s="56">
        <v>207</v>
      </c>
      <c r="M1313" s="59" t="s">
        <v>26</v>
      </c>
      <c r="N1313" s="61">
        <v>33.76</v>
      </c>
      <c r="O1313" s="59" t="s">
        <v>313</v>
      </c>
      <c r="P1313" s="62">
        <v>31.55</v>
      </c>
      <c r="Q1313" s="63">
        <v>20</v>
      </c>
      <c r="R1313" s="62">
        <v>6.31</v>
      </c>
      <c r="S1313" s="61">
        <v>0</v>
      </c>
      <c r="T1313" s="62">
        <v>2.21</v>
      </c>
    </row>
    <row r="1314" spans="1:20" ht="11.1" customHeight="1" x14ac:dyDescent="0.25">
      <c r="O1314" s="59" t="s">
        <v>436</v>
      </c>
      <c r="P1314" s="62">
        <v>42.59</v>
      </c>
      <c r="Q1314" s="63">
        <v>20</v>
      </c>
      <c r="R1314" s="62">
        <v>2.21</v>
      </c>
      <c r="S1314" s="61">
        <v>0</v>
      </c>
      <c r="T1314" s="62">
        <v>0</v>
      </c>
    </row>
    <row r="1315" spans="1:20" ht="11.1" customHeight="1" x14ac:dyDescent="0.25">
      <c r="A1315" s="56">
        <v>109172</v>
      </c>
      <c r="B1315" s="72">
        <v>46042</v>
      </c>
      <c r="C1315" s="68">
        <v>46042</v>
      </c>
      <c r="D1315" s="58" t="s">
        <v>1364</v>
      </c>
      <c r="E1315" s="59" t="s">
        <v>352</v>
      </c>
      <c r="F1315" s="56">
        <v>36</v>
      </c>
      <c r="G1315" s="73">
        <v>7</v>
      </c>
      <c r="H1315" s="74" t="s">
        <v>1344</v>
      </c>
      <c r="I1315" s="59" t="s">
        <v>1345</v>
      </c>
      <c r="J1315" s="59" t="s">
        <v>1346</v>
      </c>
      <c r="K1315" s="69">
        <v>5102</v>
      </c>
      <c r="L1315" s="56">
        <v>205</v>
      </c>
      <c r="M1315" s="59" t="s">
        <v>26</v>
      </c>
      <c r="N1315" s="61">
        <v>2726.95</v>
      </c>
      <c r="O1315" s="59" t="s">
        <v>313</v>
      </c>
      <c r="P1315" s="62">
        <v>2726.95</v>
      </c>
      <c r="Q1315" s="63">
        <v>20</v>
      </c>
      <c r="R1315" s="62">
        <v>545.4</v>
      </c>
      <c r="S1315" s="61">
        <v>0</v>
      </c>
      <c r="T1315" s="62">
        <v>0</v>
      </c>
    </row>
    <row r="1316" spans="1:20" ht="11.1" customHeight="1" x14ac:dyDescent="0.25">
      <c r="A1316" s="56">
        <v>109173</v>
      </c>
      <c r="B1316" s="72">
        <v>46042</v>
      </c>
      <c r="C1316" s="68">
        <v>46042</v>
      </c>
      <c r="D1316" s="58" t="s">
        <v>1364</v>
      </c>
      <c r="E1316" s="59" t="s">
        <v>352</v>
      </c>
      <c r="F1316" s="56">
        <v>36</v>
      </c>
      <c r="G1316" s="73">
        <v>7</v>
      </c>
      <c r="H1316" s="74" t="s">
        <v>1344</v>
      </c>
      <c r="I1316" s="59" t="s">
        <v>1345</v>
      </c>
      <c r="J1316" s="59" t="s">
        <v>1346</v>
      </c>
      <c r="K1316" s="69">
        <v>5403</v>
      </c>
      <c r="L1316" s="56">
        <v>207</v>
      </c>
      <c r="M1316" s="59" t="s">
        <v>26</v>
      </c>
      <c r="N1316" s="61">
        <v>5954.18</v>
      </c>
      <c r="O1316" s="59" t="s">
        <v>313</v>
      </c>
      <c r="P1316" s="62">
        <v>5564.68</v>
      </c>
      <c r="Q1316" s="63">
        <v>20</v>
      </c>
      <c r="R1316" s="62">
        <v>1112.95</v>
      </c>
      <c r="S1316" s="61">
        <v>0</v>
      </c>
      <c r="T1316" s="62">
        <v>389.5</v>
      </c>
    </row>
    <row r="1317" spans="1:20" ht="11.1" customHeight="1" x14ac:dyDescent="0.25">
      <c r="O1317" s="59" t="s">
        <v>436</v>
      </c>
      <c r="P1317" s="62">
        <v>7512.3</v>
      </c>
      <c r="Q1317" s="63">
        <v>20</v>
      </c>
      <c r="R1317" s="62">
        <v>389.5</v>
      </c>
      <c r="S1317" s="61">
        <v>0</v>
      </c>
      <c r="T1317" s="62">
        <v>0</v>
      </c>
    </row>
    <row r="1318" spans="1:20" ht="11.1" customHeight="1" x14ac:dyDescent="0.25">
      <c r="A1318" s="56">
        <v>109203</v>
      </c>
      <c r="B1318" s="72">
        <v>46043</v>
      </c>
      <c r="C1318" s="68">
        <v>46043</v>
      </c>
      <c r="D1318" s="58" t="s">
        <v>1365</v>
      </c>
      <c r="E1318" s="59" t="s">
        <v>352</v>
      </c>
      <c r="F1318" s="56">
        <v>36</v>
      </c>
      <c r="G1318" s="73">
        <v>7</v>
      </c>
      <c r="H1318" s="74" t="s">
        <v>1344</v>
      </c>
      <c r="I1318" s="59" t="s">
        <v>1345</v>
      </c>
      <c r="J1318" s="59" t="s">
        <v>1346</v>
      </c>
      <c r="K1318" s="69">
        <v>5102</v>
      </c>
      <c r="L1318" s="56">
        <v>205</v>
      </c>
      <c r="M1318" s="59" t="s">
        <v>26</v>
      </c>
      <c r="N1318" s="61">
        <v>26.58</v>
      </c>
      <c r="O1318" s="59" t="s">
        <v>313</v>
      </c>
      <c r="P1318" s="62">
        <v>26.58</v>
      </c>
      <c r="Q1318" s="63">
        <v>20</v>
      </c>
      <c r="R1318" s="62">
        <v>5.32</v>
      </c>
      <c r="S1318" s="61">
        <v>0</v>
      </c>
      <c r="T1318" s="62">
        <v>0</v>
      </c>
    </row>
    <row r="1319" spans="1:20" ht="11.1" customHeight="1" x14ac:dyDescent="0.25">
      <c r="A1319" s="56">
        <v>109207</v>
      </c>
      <c r="B1319" s="72">
        <v>46043</v>
      </c>
      <c r="C1319" s="68">
        <v>46043</v>
      </c>
      <c r="D1319" s="58" t="s">
        <v>1366</v>
      </c>
      <c r="E1319" s="59" t="s">
        <v>352</v>
      </c>
      <c r="F1319" s="56">
        <v>36</v>
      </c>
      <c r="G1319" s="73">
        <v>7</v>
      </c>
      <c r="H1319" s="74" t="s">
        <v>1344</v>
      </c>
      <c r="I1319" s="59" t="s">
        <v>1345</v>
      </c>
      <c r="J1319" s="59" t="s">
        <v>1346</v>
      </c>
      <c r="K1319" s="69">
        <v>5102</v>
      </c>
      <c r="L1319" s="56">
        <v>205</v>
      </c>
      <c r="M1319" s="59" t="s">
        <v>26</v>
      </c>
      <c r="N1319" s="61">
        <v>111.1</v>
      </c>
      <c r="O1319" s="59" t="s">
        <v>313</v>
      </c>
      <c r="P1319" s="62">
        <v>111.1</v>
      </c>
      <c r="Q1319" s="63">
        <v>20</v>
      </c>
      <c r="R1319" s="62">
        <v>22.22</v>
      </c>
      <c r="S1319" s="61">
        <v>0</v>
      </c>
      <c r="T1319" s="62">
        <v>0</v>
      </c>
    </row>
    <row r="1320" spans="1:20" ht="11.1" customHeight="1" x14ac:dyDescent="0.25">
      <c r="A1320" s="56">
        <v>109271</v>
      </c>
      <c r="B1320" s="72">
        <v>46044</v>
      </c>
      <c r="C1320" s="68">
        <v>46044</v>
      </c>
      <c r="D1320" s="58" t="s">
        <v>1367</v>
      </c>
      <c r="E1320" s="59" t="s">
        <v>352</v>
      </c>
      <c r="F1320" s="56">
        <v>36</v>
      </c>
      <c r="G1320" s="73">
        <v>7</v>
      </c>
      <c r="H1320" s="74" t="s">
        <v>1344</v>
      </c>
      <c r="I1320" s="59" t="s">
        <v>1345</v>
      </c>
      <c r="J1320" s="59" t="s">
        <v>1346</v>
      </c>
      <c r="K1320" s="69">
        <v>5102</v>
      </c>
      <c r="L1320" s="56">
        <v>205</v>
      </c>
      <c r="M1320" s="59" t="s">
        <v>26</v>
      </c>
      <c r="N1320" s="61">
        <v>31.45</v>
      </c>
      <c r="O1320" s="59" t="s">
        <v>313</v>
      </c>
      <c r="P1320" s="62">
        <v>31.45</v>
      </c>
      <c r="Q1320" s="63">
        <v>20</v>
      </c>
      <c r="R1320" s="62">
        <v>6.29</v>
      </c>
      <c r="S1320" s="61">
        <v>0</v>
      </c>
      <c r="T1320" s="62">
        <v>0</v>
      </c>
    </row>
    <row r="1321" spans="1:20" ht="11.1" customHeight="1" x14ac:dyDescent="0.25">
      <c r="A1321" s="56">
        <v>109341</v>
      </c>
      <c r="B1321" s="72">
        <v>46045</v>
      </c>
      <c r="C1321" s="68">
        <v>46045</v>
      </c>
      <c r="D1321" s="58" t="s">
        <v>1368</v>
      </c>
      <c r="E1321" s="59" t="s">
        <v>352</v>
      </c>
      <c r="F1321" s="56">
        <v>36</v>
      </c>
      <c r="G1321" s="73">
        <v>7</v>
      </c>
      <c r="H1321" s="74" t="s">
        <v>1344</v>
      </c>
      <c r="I1321" s="59" t="s">
        <v>1345</v>
      </c>
      <c r="J1321" s="59" t="s">
        <v>1346</v>
      </c>
      <c r="K1321" s="69">
        <v>5403</v>
      </c>
      <c r="L1321" s="56">
        <v>207</v>
      </c>
      <c r="M1321" s="59" t="s">
        <v>26</v>
      </c>
      <c r="N1321" s="61">
        <v>1121.29</v>
      </c>
      <c r="O1321" s="59" t="s">
        <v>313</v>
      </c>
      <c r="P1321" s="62">
        <v>1047.93</v>
      </c>
      <c r="Q1321" s="63">
        <v>20</v>
      </c>
      <c r="R1321" s="62">
        <v>209.58</v>
      </c>
      <c r="S1321" s="61">
        <v>0</v>
      </c>
      <c r="T1321" s="62">
        <v>73.36</v>
      </c>
    </row>
    <row r="1322" spans="1:20" ht="11.1" customHeight="1" x14ac:dyDescent="0.25">
      <c r="O1322" s="59" t="s">
        <v>436</v>
      </c>
      <c r="P1322" s="62">
        <v>1414.7</v>
      </c>
      <c r="Q1322" s="63">
        <v>20</v>
      </c>
      <c r="R1322" s="62">
        <v>73.36</v>
      </c>
      <c r="S1322" s="61">
        <v>0</v>
      </c>
      <c r="T1322" s="62">
        <v>0</v>
      </c>
    </row>
    <row r="1323" spans="1:20" ht="11.1" customHeight="1" x14ac:dyDescent="0.25">
      <c r="A1323" s="56">
        <v>109367</v>
      </c>
      <c r="B1323" s="72">
        <v>46045</v>
      </c>
      <c r="C1323" s="68">
        <v>46045</v>
      </c>
      <c r="D1323" s="58" t="s">
        <v>1369</v>
      </c>
      <c r="E1323" s="59" t="s">
        <v>352</v>
      </c>
      <c r="F1323" s="56">
        <v>36</v>
      </c>
      <c r="G1323" s="73">
        <v>7</v>
      </c>
      <c r="H1323" s="74" t="s">
        <v>1344</v>
      </c>
      <c r="I1323" s="59" t="s">
        <v>1345</v>
      </c>
      <c r="J1323" s="59" t="s">
        <v>1346</v>
      </c>
      <c r="K1323" s="69">
        <v>5403</v>
      </c>
      <c r="L1323" s="56">
        <v>207</v>
      </c>
      <c r="M1323" s="59" t="s">
        <v>26</v>
      </c>
      <c r="N1323" s="61">
        <v>291.86</v>
      </c>
      <c r="O1323" s="59" t="s">
        <v>313</v>
      </c>
      <c r="P1323" s="62">
        <v>272.76</v>
      </c>
      <c r="Q1323" s="63">
        <v>20</v>
      </c>
      <c r="R1323" s="62">
        <v>54.55</v>
      </c>
      <c r="S1323" s="61">
        <v>0</v>
      </c>
      <c r="T1323" s="62">
        <v>19.100000000000001</v>
      </c>
    </row>
    <row r="1324" spans="1:20" ht="11.1" customHeight="1" x14ac:dyDescent="0.25">
      <c r="O1324" s="59" t="s">
        <v>436</v>
      </c>
      <c r="P1324" s="62">
        <v>368.23</v>
      </c>
      <c r="Q1324" s="63">
        <v>20</v>
      </c>
      <c r="R1324" s="62">
        <v>19.100000000000001</v>
      </c>
      <c r="S1324" s="61">
        <v>0</v>
      </c>
      <c r="T1324" s="62">
        <v>0</v>
      </c>
    </row>
    <row r="1325" spans="1:20" ht="11.1" customHeight="1" x14ac:dyDescent="0.25">
      <c r="A1325" s="56">
        <v>109530</v>
      </c>
      <c r="B1325" s="72">
        <v>46050</v>
      </c>
      <c r="C1325" s="68">
        <v>46050</v>
      </c>
      <c r="D1325" s="58" t="s">
        <v>1370</v>
      </c>
      <c r="E1325" s="59" t="s">
        <v>352</v>
      </c>
      <c r="F1325" s="56">
        <v>36</v>
      </c>
      <c r="G1325" s="73">
        <v>7</v>
      </c>
      <c r="H1325" s="74" t="s">
        <v>1344</v>
      </c>
      <c r="I1325" s="59" t="s">
        <v>1345</v>
      </c>
      <c r="J1325" s="59" t="s">
        <v>1346</v>
      </c>
      <c r="K1325" s="69">
        <v>5102</v>
      </c>
      <c r="L1325" s="56">
        <v>205</v>
      </c>
      <c r="M1325" s="59" t="s">
        <v>26</v>
      </c>
      <c r="N1325" s="61">
        <v>382.8</v>
      </c>
      <c r="O1325" s="59" t="s">
        <v>313</v>
      </c>
      <c r="P1325" s="62">
        <v>382.8</v>
      </c>
      <c r="Q1325" s="63">
        <v>20</v>
      </c>
      <c r="R1325" s="62">
        <v>76.56</v>
      </c>
      <c r="S1325" s="61">
        <v>0</v>
      </c>
      <c r="T1325" s="62">
        <v>0</v>
      </c>
    </row>
    <row r="1326" spans="1:20" ht="11.85" customHeight="1" x14ac:dyDescent="0.25">
      <c r="A1326" s="71" t="s">
        <v>620</v>
      </c>
      <c r="B1326" s="71"/>
      <c r="C1326" s="71"/>
      <c r="D1326" s="71"/>
      <c r="E1326" s="71"/>
      <c r="F1326" s="71"/>
      <c r="G1326" s="71"/>
      <c r="H1326" s="71"/>
    </row>
    <row r="1327" spans="1:20" ht="11.1" customHeight="1" x14ac:dyDescent="0.25">
      <c r="O1327" s="59" t="s">
        <v>313</v>
      </c>
      <c r="P1327" s="62">
        <v>53492.07</v>
      </c>
      <c r="R1327" s="62">
        <v>10665.47</v>
      </c>
      <c r="S1327" s="61">
        <v>0</v>
      </c>
      <c r="T1327" s="62">
        <v>1788.77</v>
      </c>
    </row>
    <row r="1328" spans="1:20" ht="11.1" customHeight="1" x14ac:dyDescent="0.25">
      <c r="O1328" s="59" t="s">
        <v>436</v>
      </c>
      <c r="P1328" s="62">
        <v>34497.32</v>
      </c>
      <c r="R1328" s="62">
        <v>1788.77</v>
      </c>
      <c r="S1328" s="61">
        <v>0</v>
      </c>
      <c r="T1328" s="62">
        <v>0</v>
      </c>
    </row>
    <row r="1329" spans="1:20" ht="11.1" customHeight="1" x14ac:dyDescent="0.25">
      <c r="A1329" s="56">
        <v>108680</v>
      </c>
      <c r="B1329" s="72">
        <v>46030</v>
      </c>
      <c r="C1329" s="68">
        <v>46030</v>
      </c>
      <c r="D1329" s="58" t="s">
        <v>1371</v>
      </c>
      <c r="E1329" s="59" t="s">
        <v>352</v>
      </c>
      <c r="F1329" s="56">
        <v>36</v>
      </c>
      <c r="G1329" s="73">
        <v>23</v>
      </c>
      <c r="H1329" s="74" t="s">
        <v>1372</v>
      </c>
      <c r="I1329" s="59" t="s">
        <v>1373</v>
      </c>
      <c r="J1329" s="59" t="s">
        <v>1374</v>
      </c>
      <c r="K1329" s="69">
        <v>6403</v>
      </c>
      <c r="L1329" s="56">
        <v>207</v>
      </c>
      <c r="M1329" s="59" t="s">
        <v>38</v>
      </c>
      <c r="N1329" s="61">
        <v>12089.71</v>
      </c>
      <c r="O1329" s="59" t="s">
        <v>313</v>
      </c>
      <c r="P1329" s="62">
        <v>10101.73</v>
      </c>
      <c r="Q1329" s="63">
        <v>12</v>
      </c>
      <c r="R1329" s="62">
        <v>1212.21</v>
      </c>
      <c r="S1329" s="61">
        <v>0</v>
      </c>
      <c r="T1329" s="62">
        <v>1987.98</v>
      </c>
    </row>
    <row r="1330" spans="1:20" ht="11.1" customHeight="1" x14ac:dyDescent="0.25">
      <c r="O1330" s="59" t="s">
        <v>436</v>
      </c>
      <c r="P1330" s="62">
        <v>17779.05</v>
      </c>
      <c r="Q1330" s="63">
        <v>18</v>
      </c>
      <c r="R1330" s="62">
        <v>1987.98</v>
      </c>
      <c r="S1330" s="61">
        <v>0</v>
      </c>
      <c r="T1330" s="62">
        <v>0</v>
      </c>
    </row>
    <row r="1331" spans="1:20" ht="11.1" customHeight="1" x14ac:dyDescent="0.25">
      <c r="A1331" s="56">
        <v>108681</v>
      </c>
      <c r="B1331" s="72">
        <v>46030</v>
      </c>
      <c r="C1331" s="68">
        <v>46030</v>
      </c>
      <c r="D1331" s="58" t="s">
        <v>1371</v>
      </c>
      <c r="E1331" s="59" t="s">
        <v>352</v>
      </c>
      <c r="F1331" s="56">
        <v>36</v>
      </c>
      <c r="G1331" s="73">
        <v>23</v>
      </c>
      <c r="H1331" s="74" t="s">
        <v>1372</v>
      </c>
      <c r="I1331" s="59" t="s">
        <v>1373</v>
      </c>
      <c r="J1331" s="59" t="s">
        <v>1374</v>
      </c>
      <c r="K1331" s="69">
        <v>6102</v>
      </c>
      <c r="L1331" s="56">
        <v>238</v>
      </c>
      <c r="M1331" s="59" t="s">
        <v>38</v>
      </c>
      <c r="N1331" s="61">
        <v>10982.06</v>
      </c>
      <c r="O1331" s="59" t="s">
        <v>313</v>
      </c>
      <c r="P1331" s="62">
        <v>10982.06</v>
      </c>
      <c r="Q1331" s="63">
        <v>12</v>
      </c>
      <c r="R1331" s="62">
        <v>1317.85</v>
      </c>
      <c r="S1331" s="61">
        <v>0</v>
      </c>
      <c r="T1331" s="62">
        <v>0</v>
      </c>
    </row>
    <row r="1332" spans="1:20" ht="11.1" customHeight="1" x14ac:dyDescent="0.25">
      <c r="A1332" s="56">
        <v>108852</v>
      </c>
      <c r="B1332" s="72">
        <v>46035</v>
      </c>
      <c r="C1332" s="68">
        <v>46035</v>
      </c>
      <c r="D1332" s="58" t="s">
        <v>1375</v>
      </c>
      <c r="E1332" s="59" t="s">
        <v>352</v>
      </c>
      <c r="F1332" s="56">
        <v>36</v>
      </c>
      <c r="G1332" s="73">
        <v>23</v>
      </c>
      <c r="H1332" s="74" t="s">
        <v>1372</v>
      </c>
      <c r="I1332" s="59" t="s">
        <v>1373</v>
      </c>
      <c r="J1332" s="59" t="s">
        <v>1374</v>
      </c>
      <c r="K1332" s="69">
        <v>6403</v>
      </c>
      <c r="L1332" s="56">
        <v>207</v>
      </c>
      <c r="M1332" s="59" t="s">
        <v>38</v>
      </c>
      <c r="N1332" s="61">
        <v>130.22999999999999</v>
      </c>
      <c r="O1332" s="59" t="s">
        <v>313</v>
      </c>
      <c r="P1332" s="62">
        <v>108.82</v>
      </c>
      <c r="Q1332" s="63">
        <v>12</v>
      </c>
      <c r="R1332" s="62">
        <v>13.06</v>
      </c>
      <c r="S1332" s="61">
        <v>0</v>
      </c>
      <c r="T1332" s="62">
        <v>21.41</v>
      </c>
    </row>
    <row r="1333" spans="1:20" ht="11.1" customHeight="1" x14ac:dyDescent="0.25">
      <c r="O1333" s="59" t="s">
        <v>436</v>
      </c>
      <c r="P1333" s="62">
        <v>191.53</v>
      </c>
      <c r="Q1333" s="63">
        <v>18</v>
      </c>
      <c r="R1333" s="62">
        <v>21.41</v>
      </c>
      <c r="S1333" s="61">
        <v>0</v>
      </c>
      <c r="T1333" s="62">
        <v>0</v>
      </c>
    </row>
    <row r="1334" spans="1:20" ht="11.1" customHeight="1" x14ac:dyDescent="0.25">
      <c r="A1334" s="56">
        <v>108853</v>
      </c>
      <c r="B1334" s="72">
        <v>46035</v>
      </c>
      <c r="C1334" s="68">
        <v>46035</v>
      </c>
      <c r="D1334" s="58" t="s">
        <v>1375</v>
      </c>
      <c r="E1334" s="59" t="s">
        <v>352</v>
      </c>
      <c r="F1334" s="56">
        <v>36</v>
      </c>
      <c r="G1334" s="73">
        <v>23</v>
      </c>
      <c r="H1334" s="74" t="s">
        <v>1372</v>
      </c>
      <c r="I1334" s="59" t="s">
        <v>1373</v>
      </c>
      <c r="J1334" s="59" t="s">
        <v>1374</v>
      </c>
      <c r="K1334" s="69">
        <v>6102</v>
      </c>
      <c r="L1334" s="56">
        <v>238</v>
      </c>
      <c r="M1334" s="59" t="s">
        <v>38</v>
      </c>
      <c r="N1334" s="61">
        <v>205.38</v>
      </c>
      <c r="O1334" s="59" t="s">
        <v>313</v>
      </c>
      <c r="P1334" s="62">
        <v>205.38</v>
      </c>
      <c r="Q1334" s="63">
        <v>12</v>
      </c>
      <c r="R1334" s="62">
        <v>24.64</v>
      </c>
      <c r="S1334" s="61">
        <v>0</v>
      </c>
      <c r="T1334" s="62">
        <v>0</v>
      </c>
    </row>
    <row r="1335" spans="1:20" ht="11.1" customHeight="1" x14ac:dyDescent="0.25">
      <c r="A1335" s="56">
        <v>108985</v>
      </c>
      <c r="B1335" s="72">
        <v>46037</v>
      </c>
      <c r="C1335" s="68">
        <v>46037</v>
      </c>
      <c r="D1335" s="58" t="s">
        <v>1376</v>
      </c>
      <c r="E1335" s="59" t="s">
        <v>352</v>
      </c>
      <c r="F1335" s="56">
        <v>36</v>
      </c>
      <c r="G1335" s="73">
        <v>23</v>
      </c>
      <c r="H1335" s="74" t="s">
        <v>1372</v>
      </c>
      <c r="I1335" s="59" t="s">
        <v>1373</v>
      </c>
      <c r="J1335" s="59" t="s">
        <v>1374</v>
      </c>
      <c r="K1335" s="69">
        <v>6403</v>
      </c>
      <c r="L1335" s="56">
        <v>207</v>
      </c>
      <c r="M1335" s="59" t="s">
        <v>38</v>
      </c>
      <c r="N1335" s="61">
        <v>12132.01</v>
      </c>
      <c r="O1335" s="59" t="s">
        <v>313</v>
      </c>
      <c r="P1335" s="62">
        <v>10137.01</v>
      </c>
      <c r="Q1335" s="63">
        <v>12</v>
      </c>
      <c r="R1335" s="62">
        <v>1216.43</v>
      </c>
      <c r="S1335" s="61">
        <v>0</v>
      </c>
      <c r="T1335" s="62">
        <v>1995</v>
      </c>
    </row>
    <row r="1336" spans="1:20" ht="11.1" customHeight="1" x14ac:dyDescent="0.25">
      <c r="O1336" s="59" t="s">
        <v>436</v>
      </c>
      <c r="P1336" s="62">
        <v>17841.12</v>
      </c>
      <c r="Q1336" s="63">
        <v>18</v>
      </c>
      <c r="R1336" s="62">
        <v>1995</v>
      </c>
      <c r="S1336" s="61">
        <v>0</v>
      </c>
      <c r="T1336" s="62">
        <v>0</v>
      </c>
    </row>
    <row r="1337" spans="1:20" ht="11.1" customHeight="1" x14ac:dyDescent="0.25">
      <c r="A1337" s="56">
        <v>108986</v>
      </c>
      <c r="B1337" s="72">
        <v>46037</v>
      </c>
      <c r="C1337" s="68">
        <v>46037</v>
      </c>
      <c r="D1337" s="58" t="s">
        <v>1376</v>
      </c>
      <c r="E1337" s="59" t="s">
        <v>352</v>
      </c>
      <c r="F1337" s="56">
        <v>36</v>
      </c>
      <c r="G1337" s="73">
        <v>23</v>
      </c>
      <c r="H1337" s="74" t="s">
        <v>1372</v>
      </c>
      <c r="I1337" s="59" t="s">
        <v>1373</v>
      </c>
      <c r="J1337" s="59" t="s">
        <v>1374</v>
      </c>
      <c r="K1337" s="69">
        <v>6102</v>
      </c>
      <c r="L1337" s="56">
        <v>238</v>
      </c>
      <c r="M1337" s="59" t="s">
        <v>38</v>
      </c>
      <c r="N1337" s="61">
        <v>9227.84</v>
      </c>
      <c r="O1337" s="59" t="s">
        <v>313</v>
      </c>
      <c r="P1337" s="62">
        <v>9227.84</v>
      </c>
      <c r="Q1337" s="63">
        <v>12</v>
      </c>
      <c r="R1337" s="62">
        <v>1107.3499999999999</v>
      </c>
      <c r="S1337" s="61">
        <v>0</v>
      </c>
      <c r="T1337" s="62">
        <v>0</v>
      </c>
    </row>
    <row r="1338" spans="1:20" ht="11.1" customHeight="1" x14ac:dyDescent="0.25">
      <c r="A1338" s="56">
        <v>108990</v>
      </c>
      <c r="B1338" s="72">
        <v>46037</v>
      </c>
      <c r="C1338" s="68">
        <v>46037</v>
      </c>
      <c r="D1338" s="58" t="s">
        <v>1377</v>
      </c>
      <c r="E1338" s="59" t="s">
        <v>352</v>
      </c>
      <c r="F1338" s="56">
        <v>36</v>
      </c>
      <c r="G1338" s="73">
        <v>23</v>
      </c>
      <c r="H1338" s="74" t="s">
        <v>1372</v>
      </c>
      <c r="I1338" s="59" t="s">
        <v>1373</v>
      </c>
      <c r="J1338" s="59" t="s">
        <v>1374</v>
      </c>
      <c r="K1338" s="69">
        <v>6403</v>
      </c>
      <c r="L1338" s="56">
        <v>207</v>
      </c>
      <c r="M1338" s="59" t="s">
        <v>38</v>
      </c>
      <c r="N1338" s="61">
        <v>1214.74</v>
      </c>
      <c r="O1338" s="59" t="s">
        <v>313</v>
      </c>
      <c r="P1338" s="62">
        <v>1014.99</v>
      </c>
      <c r="Q1338" s="63">
        <v>12</v>
      </c>
      <c r="R1338" s="62">
        <v>121.8</v>
      </c>
      <c r="S1338" s="61">
        <v>0</v>
      </c>
      <c r="T1338" s="62">
        <v>199.75</v>
      </c>
    </row>
    <row r="1339" spans="1:20" ht="11.1" customHeight="1" x14ac:dyDescent="0.25">
      <c r="O1339" s="59" t="s">
        <v>436</v>
      </c>
      <c r="P1339" s="62">
        <v>1786.38</v>
      </c>
      <c r="Q1339" s="63">
        <v>18</v>
      </c>
      <c r="R1339" s="62">
        <v>199.75</v>
      </c>
      <c r="S1339" s="61">
        <v>0</v>
      </c>
      <c r="T1339" s="62">
        <v>0</v>
      </c>
    </row>
    <row r="1340" spans="1:20" ht="11.1" customHeight="1" x14ac:dyDescent="0.25">
      <c r="A1340" s="56">
        <v>109301</v>
      </c>
      <c r="B1340" s="72">
        <v>46044</v>
      </c>
      <c r="C1340" s="68">
        <v>46044</v>
      </c>
      <c r="D1340" s="58" t="s">
        <v>1378</v>
      </c>
      <c r="E1340" s="59" t="s">
        <v>352</v>
      </c>
      <c r="F1340" s="56">
        <v>36</v>
      </c>
      <c r="G1340" s="73">
        <v>23</v>
      </c>
      <c r="H1340" s="74" t="s">
        <v>1372</v>
      </c>
      <c r="I1340" s="59" t="s">
        <v>1373</v>
      </c>
      <c r="J1340" s="59" t="s">
        <v>1374</v>
      </c>
      <c r="K1340" s="69">
        <v>6403</v>
      </c>
      <c r="L1340" s="56">
        <v>207</v>
      </c>
      <c r="M1340" s="59" t="s">
        <v>38</v>
      </c>
      <c r="N1340" s="61">
        <v>7612.82</v>
      </c>
      <c r="O1340" s="59" t="s">
        <v>313</v>
      </c>
      <c r="P1340" s="62">
        <v>6360.98</v>
      </c>
      <c r="Q1340" s="63">
        <v>12</v>
      </c>
      <c r="R1340" s="62">
        <v>763.33</v>
      </c>
      <c r="S1340" s="61">
        <v>0</v>
      </c>
      <c r="T1340" s="62">
        <v>1251.8399999999999</v>
      </c>
    </row>
    <row r="1341" spans="1:20" ht="11.1" customHeight="1" x14ac:dyDescent="0.25">
      <c r="O1341" s="59" t="s">
        <v>436</v>
      </c>
      <c r="P1341" s="62">
        <v>11195.33</v>
      </c>
      <c r="Q1341" s="63">
        <v>18</v>
      </c>
      <c r="R1341" s="62">
        <v>1251.8399999999999</v>
      </c>
      <c r="S1341" s="61">
        <v>0</v>
      </c>
      <c r="T1341" s="62">
        <v>0</v>
      </c>
    </row>
    <row r="1342" spans="1:20" ht="11.1" customHeight="1" x14ac:dyDescent="0.25">
      <c r="A1342" s="56">
        <v>109302</v>
      </c>
      <c r="B1342" s="72">
        <v>46044</v>
      </c>
      <c r="C1342" s="68">
        <v>46044</v>
      </c>
      <c r="D1342" s="58" t="s">
        <v>1378</v>
      </c>
      <c r="E1342" s="59" t="s">
        <v>352</v>
      </c>
      <c r="F1342" s="56">
        <v>36</v>
      </c>
      <c r="G1342" s="73">
        <v>23</v>
      </c>
      <c r="H1342" s="74" t="s">
        <v>1372</v>
      </c>
      <c r="I1342" s="59" t="s">
        <v>1373</v>
      </c>
      <c r="J1342" s="59" t="s">
        <v>1374</v>
      </c>
      <c r="K1342" s="69">
        <v>6102</v>
      </c>
      <c r="L1342" s="56">
        <v>238</v>
      </c>
      <c r="M1342" s="59" t="s">
        <v>38</v>
      </c>
      <c r="N1342" s="61">
        <v>9259.44</v>
      </c>
      <c r="O1342" s="59" t="s">
        <v>313</v>
      </c>
      <c r="P1342" s="62">
        <v>9259.44</v>
      </c>
      <c r="Q1342" s="63">
        <v>12</v>
      </c>
      <c r="R1342" s="62">
        <v>1111.1300000000001</v>
      </c>
      <c r="S1342" s="61">
        <v>0</v>
      </c>
      <c r="T1342" s="62">
        <v>0</v>
      </c>
    </row>
    <row r="1343" spans="1:20" ht="11.1" customHeight="1" x14ac:dyDescent="0.25">
      <c r="A1343" s="56">
        <v>109633</v>
      </c>
      <c r="B1343" s="72">
        <v>46051</v>
      </c>
      <c r="C1343" s="68">
        <v>46051</v>
      </c>
      <c r="D1343" s="58" t="s">
        <v>1379</v>
      </c>
      <c r="E1343" s="59" t="s">
        <v>352</v>
      </c>
      <c r="F1343" s="56">
        <v>36</v>
      </c>
      <c r="G1343" s="73">
        <v>23</v>
      </c>
      <c r="H1343" s="74" t="s">
        <v>1372</v>
      </c>
      <c r="I1343" s="59" t="s">
        <v>1373</v>
      </c>
      <c r="J1343" s="59" t="s">
        <v>1374</v>
      </c>
      <c r="K1343" s="69">
        <v>6403</v>
      </c>
      <c r="L1343" s="56">
        <v>207</v>
      </c>
      <c r="M1343" s="59" t="s">
        <v>38</v>
      </c>
      <c r="N1343" s="61">
        <v>6464.58</v>
      </c>
      <c r="O1343" s="59" t="s">
        <v>313</v>
      </c>
      <c r="P1343" s="62">
        <v>5401.56</v>
      </c>
      <c r="Q1343" s="63">
        <v>12</v>
      </c>
      <c r="R1343" s="62">
        <v>648.19000000000005</v>
      </c>
      <c r="S1343" s="61">
        <v>0</v>
      </c>
      <c r="T1343" s="62">
        <v>1063.02</v>
      </c>
    </row>
    <row r="1344" spans="1:20" ht="11.1" customHeight="1" x14ac:dyDescent="0.25">
      <c r="O1344" s="59" t="s">
        <v>436</v>
      </c>
      <c r="P1344" s="62">
        <v>9506.73</v>
      </c>
      <c r="Q1344" s="63">
        <v>18</v>
      </c>
      <c r="R1344" s="62">
        <v>1063.02</v>
      </c>
      <c r="S1344" s="61">
        <v>0</v>
      </c>
      <c r="T1344" s="62">
        <v>0</v>
      </c>
    </row>
    <row r="1345" spans="1:20" ht="11.1" customHeight="1" x14ac:dyDescent="0.25">
      <c r="A1345" s="56">
        <v>109634</v>
      </c>
      <c r="B1345" s="72">
        <v>46051</v>
      </c>
      <c r="C1345" s="68">
        <v>46051</v>
      </c>
      <c r="D1345" s="58" t="s">
        <v>1379</v>
      </c>
      <c r="E1345" s="59" t="s">
        <v>352</v>
      </c>
      <c r="F1345" s="56">
        <v>36</v>
      </c>
      <c r="G1345" s="73">
        <v>23</v>
      </c>
      <c r="H1345" s="74" t="s">
        <v>1372</v>
      </c>
      <c r="I1345" s="59" t="s">
        <v>1373</v>
      </c>
      <c r="J1345" s="59" t="s">
        <v>1374</v>
      </c>
      <c r="K1345" s="69">
        <v>6102</v>
      </c>
      <c r="L1345" s="56">
        <v>238</v>
      </c>
      <c r="M1345" s="59" t="s">
        <v>38</v>
      </c>
      <c r="N1345" s="61">
        <v>14103.12</v>
      </c>
      <c r="O1345" s="59" t="s">
        <v>313</v>
      </c>
      <c r="P1345" s="62">
        <v>14103.12</v>
      </c>
      <c r="Q1345" s="63">
        <v>12</v>
      </c>
      <c r="R1345" s="62">
        <v>1692.36</v>
      </c>
      <c r="S1345" s="61">
        <v>0</v>
      </c>
      <c r="T1345" s="62">
        <v>0</v>
      </c>
    </row>
    <row r="1346" spans="1:20" ht="11.85" customHeight="1" x14ac:dyDescent="0.25">
      <c r="A1346" s="71" t="s">
        <v>620</v>
      </c>
      <c r="B1346" s="71"/>
      <c r="C1346" s="71"/>
      <c r="D1346" s="71"/>
      <c r="E1346" s="71"/>
      <c r="F1346" s="71"/>
      <c r="G1346" s="71"/>
      <c r="H1346" s="71"/>
    </row>
    <row r="1347" spans="1:20" ht="11.1" customHeight="1" x14ac:dyDescent="0.25">
      <c r="O1347" s="59" t="s">
        <v>313</v>
      </c>
      <c r="P1347" s="62">
        <v>76902.929999999993</v>
      </c>
      <c r="R1347" s="62">
        <v>9228.35</v>
      </c>
      <c r="S1347" s="61">
        <v>0</v>
      </c>
      <c r="T1347" s="62">
        <v>6519</v>
      </c>
    </row>
    <row r="1348" spans="1:20" ht="11.1" customHeight="1" x14ac:dyDescent="0.25">
      <c r="O1348" s="59" t="s">
        <v>436</v>
      </c>
      <c r="P1348" s="62">
        <v>58300.14</v>
      </c>
      <c r="R1348" s="62">
        <v>6519</v>
      </c>
      <c r="S1348" s="61">
        <v>0</v>
      </c>
      <c r="T1348" s="62">
        <v>0</v>
      </c>
    </row>
    <row r="1349" spans="1:20" ht="11.1" customHeight="1" x14ac:dyDescent="0.25">
      <c r="A1349" s="56">
        <v>109186</v>
      </c>
      <c r="B1349" s="72">
        <v>46043</v>
      </c>
      <c r="C1349" s="68">
        <v>46043</v>
      </c>
      <c r="D1349" s="58" t="s">
        <v>1380</v>
      </c>
      <c r="E1349" s="59" t="s">
        <v>352</v>
      </c>
      <c r="F1349" s="56">
        <v>36</v>
      </c>
      <c r="G1349" s="73">
        <v>507</v>
      </c>
      <c r="H1349" s="74" t="s">
        <v>1381</v>
      </c>
      <c r="I1349" s="59" t="s">
        <v>1382</v>
      </c>
      <c r="J1349" s="59" t="s">
        <v>1383</v>
      </c>
      <c r="K1349" s="69">
        <v>6403</v>
      </c>
      <c r="L1349" s="56">
        <v>207</v>
      </c>
      <c r="M1349" s="59" t="s">
        <v>34</v>
      </c>
      <c r="N1349" s="61">
        <v>652.94000000000005</v>
      </c>
      <c r="O1349" s="59" t="s">
        <v>313</v>
      </c>
      <c r="P1349" s="62">
        <v>580.42999999999995</v>
      </c>
      <c r="Q1349" s="63">
        <v>12</v>
      </c>
      <c r="R1349" s="62">
        <v>69.650000000000006</v>
      </c>
      <c r="S1349" s="61">
        <v>0</v>
      </c>
      <c r="T1349" s="62">
        <v>72.510000000000005</v>
      </c>
    </row>
    <row r="1350" spans="1:20" ht="11.1" customHeight="1" x14ac:dyDescent="0.25">
      <c r="O1350" s="59" t="s">
        <v>436</v>
      </c>
      <c r="P1350" s="62">
        <v>683.01</v>
      </c>
      <c r="Q1350" s="63">
        <v>19</v>
      </c>
      <c r="R1350" s="62">
        <v>72.510000000000005</v>
      </c>
      <c r="S1350" s="61">
        <v>0</v>
      </c>
      <c r="T1350" s="62">
        <v>0</v>
      </c>
    </row>
    <row r="1351" spans="1:20" ht="11.1" customHeight="1" x14ac:dyDescent="0.25">
      <c r="A1351" s="56">
        <v>109187</v>
      </c>
      <c r="B1351" s="72">
        <v>46043</v>
      </c>
      <c r="C1351" s="68">
        <v>46043</v>
      </c>
      <c r="D1351" s="58" t="s">
        <v>1380</v>
      </c>
      <c r="E1351" s="59" t="s">
        <v>352</v>
      </c>
      <c r="F1351" s="56">
        <v>36</v>
      </c>
      <c r="G1351" s="73">
        <v>507</v>
      </c>
      <c r="H1351" s="74" t="s">
        <v>1381</v>
      </c>
      <c r="I1351" s="59" t="s">
        <v>1382</v>
      </c>
      <c r="J1351" s="59" t="s">
        <v>1383</v>
      </c>
      <c r="K1351" s="69">
        <v>6102</v>
      </c>
      <c r="L1351" s="56">
        <v>238</v>
      </c>
      <c r="M1351" s="59" t="s">
        <v>34</v>
      </c>
      <c r="N1351" s="61">
        <v>3496.88</v>
      </c>
      <c r="O1351" s="59" t="s">
        <v>313</v>
      </c>
      <c r="P1351" s="62">
        <v>3496.88</v>
      </c>
      <c r="Q1351" s="63">
        <v>12</v>
      </c>
      <c r="R1351" s="62">
        <v>419.62</v>
      </c>
      <c r="S1351" s="61">
        <v>0</v>
      </c>
      <c r="T1351" s="62">
        <v>0</v>
      </c>
    </row>
    <row r="1352" spans="1:20" ht="11.1" customHeight="1" x14ac:dyDescent="0.25">
      <c r="A1352" s="56">
        <v>109715</v>
      </c>
      <c r="B1352" s="72">
        <v>46043</v>
      </c>
      <c r="C1352" s="68">
        <v>46043</v>
      </c>
      <c r="D1352" s="58" t="s">
        <v>1384</v>
      </c>
      <c r="E1352" s="59" t="s">
        <v>352</v>
      </c>
      <c r="F1352" s="56">
        <v>36</v>
      </c>
      <c r="G1352" s="73">
        <v>507</v>
      </c>
      <c r="H1352" s="74" t="s">
        <v>1381</v>
      </c>
      <c r="I1352" s="59" t="s">
        <v>1382</v>
      </c>
      <c r="J1352" s="59" t="s">
        <v>1383</v>
      </c>
      <c r="K1352" s="69">
        <v>6403</v>
      </c>
      <c r="L1352" s="56">
        <v>207</v>
      </c>
      <c r="M1352" s="59" t="s">
        <v>34</v>
      </c>
      <c r="N1352" s="61">
        <v>0</v>
      </c>
      <c r="O1352" s="59" t="s">
        <v>313</v>
      </c>
      <c r="P1352" s="62">
        <v>0</v>
      </c>
      <c r="Q1352" s="63">
        <v>0</v>
      </c>
      <c r="R1352" s="62">
        <v>0</v>
      </c>
      <c r="S1352" s="61">
        <v>0</v>
      </c>
      <c r="T1352" s="62">
        <v>0</v>
      </c>
    </row>
    <row r="1353" spans="1:20" ht="11.1" customHeight="1" x14ac:dyDescent="0.25">
      <c r="O1353" s="59" t="s">
        <v>436</v>
      </c>
      <c r="P1353" s="62">
        <v>0</v>
      </c>
      <c r="Q1353" s="63">
        <v>0</v>
      </c>
      <c r="R1353" s="62">
        <v>0</v>
      </c>
      <c r="S1353" s="61">
        <v>0</v>
      </c>
      <c r="T1353" s="62">
        <v>0</v>
      </c>
    </row>
    <row r="1354" spans="1:20" ht="11.1" customHeight="1" x14ac:dyDescent="0.25">
      <c r="A1354" s="56">
        <v>109716</v>
      </c>
      <c r="B1354" s="72">
        <v>46043</v>
      </c>
      <c r="C1354" s="68">
        <v>46043</v>
      </c>
      <c r="D1354" s="58" t="s">
        <v>1384</v>
      </c>
      <c r="E1354" s="59" t="s">
        <v>352</v>
      </c>
      <c r="F1354" s="56">
        <v>36</v>
      </c>
      <c r="G1354" s="73">
        <v>507</v>
      </c>
      <c r="H1354" s="74" t="s">
        <v>1381</v>
      </c>
      <c r="I1354" s="59" t="s">
        <v>1382</v>
      </c>
      <c r="J1354" s="59" t="s">
        <v>1383</v>
      </c>
      <c r="K1354" s="69">
        <v>6102</v>
      </c>
      <c r="L1354" s="56">
        <v>238</v>
      </c>
      <c r="M1354" s="59" t="s">
        <v>34</v>
      </c>
      <c r="N1354" s="61">
        <v>0</v>
      </c>
      <c r="O1354" s="59" t="s">
        <v>313</v>
      </c>
      <c r="P1354" s="62">
        <v>0</v>
      </c>
      <c r="Q1354" s="63">
        <v>0</v>
      </c>
      <c r="R1354" s="62">
        <v>0</v>
      </c>
      <c r="S1354" s="61">
        <v>0</v>
      </c>
      <c r="T1354" s="62">
        <v>0</v>
      </c>
    </row>
    <row r="1355" spans="1:20" ht="11.85" customHeight="1" x14ac:dyDescent="0.25">
      <c r="A1355" s="71" t="s">
        <v>620</v>
      </c>
      <c r="B1355" s="71"/>
      <c r="C1355" s="71"/>
      <c r="D1355" s="71"/>
      <c r="E1355" s="71"/>
      <c r="F1355" s="71"/>
      <c r="G1355" s="71"/>
      <c r="H1355" s="71"/>
    </row>
    <row r="1356" spans="1:20" ht="11.1" customHeight="1" x14ac:dyDescent="0.25">
      <c r="O1356" s="59" t="s">
        <v>313</v>
      </c>
      <c r="P1356" s="62">
        <v>4077.31</v>
      </c>
      <c r="R1356" s="62">
        <v>489.27</v>
      </c>
      <c r="S1356" s="61">
        <v>0</v>
      </c>
      <c r="T1356" s="62">
        <v>72.510000000000005</v>
      </c>
    </row>
    <row r="1357" spans="1:20" ht="11.1" customHeight="1" x14ac:dyDescent="0.25">
      <c r="O1357" s="59" t="s">
        <v>436</v>
      </c>
      <c r="P1357" s="62">
        <v>683.01</v>
      </c>
      <c r="R1357" s="62">
        <v>72.510000000000005</v>
      </c>
      <c r="S1357" s="61">
        <v>0</v>
      </c>
      <c r="T1357" s="62">
        <v>0</v>
      </c>
    </row>
    <row r="1358" spans="1:20" ht="11.1" customHeight="1" x14ac:dyDescent="0.25">
      <c r="A1358" s="56">
        <v>108499</v>
      </c>
      <c r="B1358" s="72">
        <v>46028</v>
      </c>
      <c r="C1358" s="68">
        <v>46028</v>
      </c>
      <c r="D1358" s="58" t="s">
        <v>1385</v>
      </c>
      <c r="E1358" s="59" t="s">
        <v>352</v>
      </c>
      <c r="F1358" s="56">
        <v>36</v>
      </c>
      <c r="G1358" s="73">
        <v>499</v>
      </c>
      <c r="H1358" s="74" t="s">
        <v>1386</v>
      </c>
      <c r="I1358" s="59" t="s">
        <v>1387</v>
      </c>
      <c r="J1358" s="59" t="s">
        <v>1388</v>
      </c>
      <c r="K1358" s="69">
        <v>5102</v>
      </c>
      <c r="L1358" s="56">
        <v>205</v>
      </c>
      <c r="M1358" s="59" t="s">
        <v>26</v>
      </c>
      <c r="N1358" s="61">
        <v>286.70999999999998</v>
      </c>
      <c r="O1358" s="59" t="s">
        <v>313</v>
      </c>
      <c r="P1358" s="62">
        <v>286.70999999999998</v>
      </c>
      <c r="Q1358" s="63">
        <v>20</v>
      </c>
      <c r="R1358" s="62">
        <v>57.34</v>
      </c>
      <c r="S1358" s="61">
        <v>0</v>
      </c>
      <c r="T1358" s="62">
        <v>0</v>
      </c>
    </row>
    <row r="1359" spans="1:20" ht="11.1" customHeight="1" x14ac:dyDescent="0.25">
      <c r="A1359" s="56">
        <v>108500</v>
      </c>
      <c r="B1359" s="72">
        <v>46028</v>
      </c>
      <c r="C1359" s="68">
        <v>46028</v>
      </c>
      <c r="D1359" s="58" t="s">
        <v>1385</v>
      </c>
      <c r="E1359" s="59" t="s">
        <v>352</v>
      </c>
      <c r="F1359" s="56">
        <v>36</v>
      </c>
      <c r="G1359" s="73">
        <v>499</v>
      </c>
      <c r="H1359" s="74" t="s">
        <v>1386</v>
      </c>
      <c r="I1359" s="59" t="s">
        <v>1387</v>
      </c>
      <c r="J1359" s="59" t="s">
        <v>1388</v>
      </c>
      <c r="K1359" s="69">
        <v>5403</v>
      </c>
      <c r="L1359" s="56">
        <v>207</v>
      </c>
      <c r="M1359" s="59" t="s">
        <v>26</v>
      </c>
      <c r="N1359" s="61">
        <v>101.62</v>
      </c>
      <c r="O1359" s="59" t="s">
        <v>313</v>
      </c>
      <c r="P1359" s="62">
        <v>94.98</v>
      </c>
      <c r="Q1359" s="63">
        <v>20</v>
      </c>
      <c r="R1359" s="62">
        <v>19</v>
      </c>
      <c r="S1359" s="61">
        <v>0</v>
      </c>
      <c r="T1359" s="62">
        <v>6.64</v>
      </c>
    </row>
    <row r="1360" spans="1:20" ht="11.1" customHeight="1" x14ac:dyDescent="0.25">
      <c r="O1360" s="59" t="s">
        <v>436</v>
      </c>
      <c r="P1360" s="62">
        <v>128.22</v>
      </c>
      <c r="Q1360" s="63">
        <v>20</v>
      </c>
      <c r="R1360" s="62">
        <v>6.64</v>
      </c>
      <c r="S1360" s="61">
        <v>0</v>
      </c>
      <c r="T1360" s="62">
        <v>0</v>
      </c>
    </row>
    <row r="1361" spans="1:20" ht="11.1" customHeight="1" x14ac:dyDescent="0.25">
      <c r="A1361" s="56">
        <v>108635</v>
      </c>
      <c r="B1361" s="72">
        <v>46030</v>
      </c>
      <c r="C1361" s="68">
        <v>46030</v>
      </c>
      <c r="D1361" s="58" t="s">
        <v>1389</v>
      </c>
      <c r="E1361" s="59" t="s">
        <v>352</v>
      </c>
      <c r="F1361" s="56">
        <v>36</v>
      </c>
      <c r="G1361" s="73">
        <v>499</v>
      </c>
      <c r="H1361" s="74" t="s">
        <v>1386</v>
      </c>
      <c r="I1361" s="59" t="s">
        <v>1387</v>
      </c>
      <c r="J1361" s="59" t="s">
        <v>1388</v>
      </c>
      <c r="K1361" s="69">
        <v>5102</v>
      </c>
      <c r="L1361" s="56">
        <v>205</v>
      </c>
      <c r="M1361" s="59" t="s">
        <v>26</v>
      </c>
      <c r="N1361" s="61">
        <v>163.65</v>
      </c>
      <c r="O1361" s="59" t="s">
        <v>313</v>
      </c>
      <c r="P1361" s="62">
        <v>163.65</v>
      </c>
      <c r="Q1361" s="63">
        <v>20</v>
      </c>
      <c r="R1361" s="62">
        <v>32.729999999999997</v>
      </c>
      <c r="S1361" s="61">
        <v>0</v>
      </c>
      <c r="T1361" s="62">
        <v>0</v>
      </c>
    </row>
    <row r="1362" spans="1:20" ht="11.1" customHeight="1" x14ac:dyDescent="0.25">
      <c r="A1362" s="56">
        <v>109083</v>
      </c>
      <c r="B1362" s="72">
        <v>46041</v>
      </c>
      <c r="C1362" s="68">
        <v>46041</v>
      </c>
      <c r="D1362" s="58" t="s">
        <v>1390</v>
      </c>
      <c r="E1362" s="59" t="s">
        <v>352</v>
      </c>
      <c r="F1362" s="56">
        <v>36</v>
      </c>
      <c r="G1362" s="73">
        <v>499</v>
      </c>
      <c r="H1362" s="74" t="s">
        <v>1386</v>
      </c>
      <c r="I1362" s="59" t="s">
        <v>1387</v>
      </c>
      <c r="J1362" s="59" t="s">
        <v>1388</v>
      </c>
      <c r="K1362" s="69">
        <v>5102</v>
      </c>
      <c r="L1362" s="56">
        <v>205</v>
      </c>
      <c r="M1362" s="59" t="s">
        <v>26</v>
      </c>
      <c r="N1362" s="61">
        <v>227.56</v>
      </c>
      <c r="O1362" s="59" t="s">
        <v>313</v>
      </c>
      <c r="P1362" s="62">
        <v>227.56</v>
      </c>
      <c r="Q1362" s="63">
        <v>20</v>
      </c>
      <c r="R1362" s="62">
        <v>45.51</v>
      </c>
      <c r="S1362" s="61">
        <v>0</v>
      </c>
      <c r="T1362" s="62">
        <v>0</v>
      </c>
    </row>
    <row r="1363" spans="1:20" ht="11.1" customHeight="1" x14ac:dyDescent="0.25">
      <c r="A1363" s="56">
        <v>109537</v>
      </c>
      <c r="B1363" s="72">
        <v>46050</v>
      </c>
      <c r="C1363" s="68">
        <v>46050</v>
      </c>
      <c r="D1363" s="58" t="s">
        <v>1391</v>
      </c>
      <c r="E1363" s="59" t="s">
        <v>352</v>
      </c>
      <c r="F1363" s="56">
        <v>36</v>
      </c>
      <c r="G1363" s="73">
        <v>499</v>
      </c>
      <c r="H1363" s="74" t="s">
        <v>1386</v>
      </c>
      <c r="I1363" s="59" t="s">
        <v>1387</v>
      </c>
      <c r="J1363" s="59" t="s">
        <v>1388</v>
      </c>
      <c r="K1363" s="69">
        <v>5102</v>
      </c>
      <c r="L1363" s="56">
        <v>205</v>
      </c>
      <c r="M1363" s="59" t="s">
        <v>26</v>
      </c>
      <c r="N1363" s="61">
        <v>161.88</v>
      </c>
      <c r="O1363" s="59" t="s">
        <v>313</v>
      </c>
      <c r="P1363" s="62">
        <v>161.88</v>
      </c>
      <c r="Q1363" s="63">
        <v>20</v>
      </c>
      <c r="R1363" s="62">
        <v>32.369999999999997</v>
      </c>
      <c r="S1363" s="61">
        <v>0</v>
      </c>
      <c r="T1363" s="62">
        <v>0</v>
      </c>
    </row>
    <row r="1364" spans="1:20" ht="11.85" customHeight="1" x14ac:dyDescent="0.25">
      <c r="A1364" s="71" t="s">
        <v>620</v>
      </c>
      <c r="B1364" s="71"/>
      <c r="C1364" s="71"/>
      <c r="D1364" s="71"/>
      <c r="E1364" s="71"/>
      <c r="F1364" s="71"/>
      <c r="G1364" s="71"/>
      <c r="H1364" s="71"/>
    </row>
    <row r="1365" spans="1:20" ht="11.1" customHeight="1" x14ac:dyDescent="0.25">
      <c r="O1365" s="59" t="s">
        <v>313</v>
      </c>
      <c r="P1365" s="62">
        <v>934.78</v>
      </c>
      <c r="R1365" s="62">
        <v>186.95</v>
      </c>
      <c r="S1365" s="61">
        <v>0</v>
      </c>
      <c r="T1365" s="62">
        <v>6.64</v>
      </c>
    </row>
    <row r="1366" spans="1:20" ht="11.1" customHeight="1" x14ac:dyDescent="0.25">
      <c r="O1366" s="59" t="s">
        <v>436</v>
      </c>
      <c r="P1366" s="62">
        <v>128.22</v>
      </c>
      <c r="R1366" s="62">
        <v>6.64</v>
      </c>
      <c r="S1366" s="61">
        <v>0</v>
      </c>
      <c r="T1366" s="62">
        <v>0</v>
      </c>
    </row>
    <row r="1367" spans="1:20" ht="11.1" customHeight="1" x14ac:dyDescent="0.25">
      <c r="A1367" s="56">
        <v>109496</v>
      </c>
      <c r="B1367" s="72">
        <v>46049</v>
      </c>
      <c r="C1367" s="68">
        <v>46049</v>
      </c>
      <c r="D1367" s="58" t="s">
        <v>1392</v>
      </c>
      <c r="E1367" s="59" t="s">
        <v>352</v>
      </c>
      <c r="F1367" s="56">
        <v>36</v>
      </c>
      <c r="G1367" s="73">
        <v>521</v>
      </c>
      <c r="H1367" s="74" t="s">
        <v>1393</v>
      </c>
      <c r="I1367" s="59" t="s">
        <v>1394</v>
      </c>
      <c r="J1367" s="59" t="s">
        <v>1395</v>
      </c>
      <c r="K1367" s="69">
        <v>5102</v>
      </c>
      <c r="L1367" s="56">
        <v>205</v>
      </c>
      <c r="M1367" s="59" t="s">
        <v>26</v>
      </c>
      <c r="N1367" s="61">
        <v>105.43</v>
      </c>
      <c r="O1367" s="59" t="s">
        <v>313</v>
      </c>
      <c r="P1367" s="62">
        <v>105.43</v>
      </c>
      <c r="Q1367" s="63">
        <v>20</v>
      </c>
      <c r="R1367" s="62">
        <v>21.09</v>
      </c>
      <c r="S1367" s="61">
        <v>0</v>
      </c>
      <c r="T1367" s="62">
        <v>0</v>
      </c>
    </row>
    <row r="1368" spans="1:20" ht="11.1" customHeight="1" x14ac:dyDescent="0.25">
      <c r="A1368" s="56">
        <v>109497</v>
      </c>
      <c r="B1368" s="72">
        <v>46049</v>
      </c>
      <c r="C1368" s="68">
        <v>46049</v>
      </c>
      <c r="D1368" s="58" t="s">
        <v>1392</v>
      </c>
      <c r="E1368" s="59" t="s">
        <v>352</v>
      </c>
      <c r="F1368" s="56">
        <v>36</v>
      </c>
      <c r="G1368" s="73">
        <v>521</v>
      </c>
      <c r="H1368" s="74" t="s">
        <v>1393</v>
      </c>
      <c r="I1368" s="59" t="s">
        <v>1394</v>
      </c>
      <c r="J1368" s="59" t="s">
        <v>1395</v>
      </c>
      <c r="K1368" s="69">
        <v>5403</v>
      </c>
      <c r="L1368" s="56">
        <v>207</v>
      </c>
      <c r="M1368" s="59" t="s">
        <v>26</v>
      </c>
      <c r="N1368" s="61">
        <v>192.53</v>
      </c>
      <c r="O1368" s="59" t="s">
        <v>313</v>
      </c>
      <c r="P1368" s="62">
        <v>179.94</v>
      </c>
      <c r="Q1368" s="63">
        <v>20</v>
      </c>
      <c r="R1368" s="62">
        <v>35.99</v>
      </c>
      <c r="S1368" s="61">
        <v>0</v>
      </c>
      <c r="T1368" s="62">
        <v>12.59</v>
      </c>
    </row>
    <row r="1369" spans="1:20" ht="11.1" customHeight="1" x14ac:dyDescent="0.25">
      <c r="O1369" s="59" t="s">
        <v>436</v>
      </c>
      <c r="P1369" s="62">
        <v>242.92</v>
      </c>
      <c r="Q1369" s="63">
        <v>20</v>
      </c>
      <c r="R1369" s="62">
        <v>12.59</v>
      </c>
      <c r="S1369" s="61">
        <v>0</v>
      </c>
      <c r="T1369" s="62">
        <v>0</v>
      </c>
    </row>
    <row r="1370" spans="1:20" ht="11.85" customHeight="1" x14ac:dyDescent="0.25">
      <c r="A1370" s="71" t="s">
        <v>620</v>
      </c>
      <c r="B1370" s="71"/>
      <c r="C1370" s="71"/>
      <c r="D1370" s="71"/>
      <c r="E1370" s="71"/>
      <c r="F1370" s="71"/>
      <c r="G1370" s="71"/>
      <c r="H1370" s="71"/>
    </row>
    <row r="1371" spans="1:20" ht="11.1" customHeight="1" x14ac:dyDescent="0.25">
      <c r="O1371" s="59" t="s">
        <v>313</v>
      </c>
      <c r="P1371" s="62">
        <v>285.37</v>
      </c>
      <c r="R1371" s="62">
        <v>57.08</v>
      </c>
      <c r="S1371" s="61">
        <v>0</v>
      </c>
      <c r="T1371" s="62">
        <v>12.59</v>
      </c>
    </row>
    <row r="1372" spans="1:20" ht="11.1" customHeight="1" x14ac:dyDescent="0.25">
      <c r="O1372" s="59" t="s">
        <v>436</v>
      </c>
      <c r="P1372" s="62">
        <v>242.92</v>
      </c>
      <c r="R1372" s="62">
        <v>12.59</v>
      </c>
      <c r="S1372" s="61">
        <v>0</v>
      </c>
      <c r="T1372" s="62">
        <v>0</v>
      </c>
    </row>
    <row r="1373" spans="1:20" ht="11.1" customHeight="1" x14ac:dyDescent="0.25">
      <c r="A1373" s="56">
        <v>108630</v>
      </c>
      <c r="B1373" s="72">
        <v>46030</v>
      </c>
      <c r="C1373" s="68">
        <v>46030</v>
      </c>
      <c r="D1373" s="58" t="s">
        <v>1396</v>
      </c>
      <c r="E1373" s="59" t="s">
        <v>352</v>
      </c>
      <c r="F1373" s="56">
        <v>36</v>
      </c>
      <c r="G1373" s="73">
        <v>199</v>
      </c>
      <c r="H1373" s="74" t="s">
        <v>1397</v>
      </c>
      <c r="I1373" s="59" t="s">
        <v>1398</v>
      </c>
      <c r="J1373" s="59" t="s">
        <v>1399</v>
      </c>
      <c r="K1373" s="69">
        <v>5102</v>
      </c>
      <c r="L1373" s="56">
        <v>205</v>
      </c>
      <c r="M1373" s="59" t="s">
        <v>26</v>
      </c>
      <c r="N1373" s="61">
        <v>42.24</v>
      </c>
      <c r="O1373" s="59" t="s">
        <v>313</v>
      </c>
      <c r="P1373" s="62">
        <v>42.24</v>
      </c>
      <c r="Q1373" s="63">
        <v>20</v>
      </c>
      <c r="R1373" s="62">
        <v>8.4499999999999993</v>
      </c>
      <c r="S1373" s="61">
        <v>0</v>
      </c>
      <c r="T1373" s="62">
        <v>0</v>
      </c>
    </row>
    <row r="1374" spans="1:20" ht="11.1" customHeight="1" x14ac:dyDescent="0.25">
      <c r="A1374" s="56">
        <v>108631</v>
      </c>
      <c r="B1374" s="72">
        <v>46030</v>
      </c>
      <c r="C1374" s="68">
        <v>46030</v>
      </c>
      <c r="D1374" s="58" t="s">
        <v>1396</v>
      </c>
      <c r="E1374" s="59" t="s">
        <v>352</v>
      </c>
      <c r="F1374" s="56">
        <v>36</v>
      </c>
      <c r="G1374" s="73">
        <v>199</v>
      </c>
      <c r="H1374" s="74" t="s">
        <v>1397</v>
      </c>
      <c r="I1374" s="59" t="s">
        <v>1398</v>
      </c>
      <c r="J1374" s="59" t="s">
        <v>1399</v>
      </c>
      <c r="K1374" s="69">
        <v>5403</v>
      </c>
      <c r="L1374" s="56">
        <v>207</v>
      </c>
      <c r="M1374" s="59" t="s">
        <v>26</v>
      </c>
      <c r="N1374" s="61">
        <v>70.040000000000006</v>
      </c>
      <c r="O1374" s="59" t="s">
        <v>313</v>
      </c>
      <c r="P1374" s="62">
        <v>65.459999999999994</v>
      </c>
      <c r="Q1374" s="63">
        <v>20</v>
      </c>
      <c r="R1374" s="62">
        <v>13.09</v>
      </c>
      <c r="S1374" s="61">
        <v>0</v>
      </c>
      <c r="T1374" s="62">
        <v>4.58</v>
      </c>
    </row>
    <row r="1375" spans="1:20" ht="11.1" customHeight="1" x14ac:dyDescent="0.25">
      <c r="O1375" s="59" t="s">
        <v>436</v>
      </c>
      <c r="P1375" s="62">
        <v>88.37</v>
      </c>
      <c r="Q1375" s="63">
        <v>20</v>
      </c>
      <c r="R1375" s="62">
        <v>4.58</v>
      </c>
      <c r="S1375" s="61">
        <v>0</v>
      </c>
      <c r="T1375" s="62">
        <v>0</v>
      </c>
    </row>
    <row r="1376" spans="1:20" ht="11.85" customHeight="1" x14ac:dyDescent="0.25">
      <c r="A1376" s="71" t="s">
        <v>620</v>
      </c>
      <c r="B1376" s="71"/>
      <c r="C1376" s="71"/>
      <c r="D1376" s="71"/>
      <c r="E1376" s="71"/>
      <c r="F1376" s="71"/>
      <c r="G1376" s="71"/>
      <c r="H1376" s="71"/>
    </row>
    <row r="1377" spans="1:20" ht="11.1" customHeight="1" x14ac:dyDescent="0.25">
      <c r="O1377" s="59" t="s">
        <v>313</v>
      </c>
      <c r="P1377" s="62">
        <v>107.7</v>
      </c>
      <c r="R1377" s="62">
        <v>21.54</v>
      </c>
      <c r="S1377" s="61">
        <v>0</v>
      </c>
      <c r="T1377" s="62">
        <v>4.58</v>
      </c>
    </row>
    <row r="1378" spans="1:20" ht="11.1" customHeight="1" x14ac:dyDescent="0.25">
      <c r="O1378" s="59" t="s">
        <v>436</v>
      </c>
      <c r="P1378" s="62">
        <v>88.37</v>
      </c>
      <c r="R1378" s="62">
        <v>4.58</v>
      </c>
      <c r="S1378" s="61">
        <v>0</v>
      </c>
      <c r="T1378" s="62">
        <v>0</v>
      </c>
    </row>
    <row r="1379" spans="1:20" ht="11.1" customHeight="1" x14ac:dyDescent="0.25">
      <c r="A1379" s="56">
        <v>108450</v>
      </c>
      <c r="B1379" s="72">
        <v>46027</v>
      </c>
      <c r="C1379" s="68">
        <v>46027</v>
      </c>
      <c r="D1379" s="58" t="s">
        <v>1400</v>
      </c>
      <c r="E1379" s="59" t="s">
        <v>352</v>
      </c>
      <c r="F1379" s="56">
        <v>36</v>
      </c>
      <c r="G1379" s="73">
        <v>727</v>
      </c>
      <c r="H1379" s="74" t="s">
        <v>1401</v>
      </c>
      <c r="I1379" s="59" t="s">
        <v>1402</v>
      </c>
      <c r="J1379" s="59" t="s">
        <v>1403</v>
      </c>
      <c r="K1379" s="69">
        <v>6403</v>
      </c>
      <c r="L1379" s="56">
        <v>207</v>
      </c>
      <c r="M1379" s="59" t="s">
        <v>39</v>
      </c>
      <c r="N1379" s="61">
        <v>4417.2700000000004</v>
      </c>
      <c r="O1379" s="59" t="s">
        <v>313</v>
      </c>
      <c r="P1379" s="62">
        <v>4417.2700000000004</v>
      </c>
      <c r="Q1379" s="63">
        <v>12</v>
      </c>
      <c r="R1379" s="62">
        <v>530.07000000000005</v>
      </c>
      <c r="S1379" s="61">
        <v>0</v>
      </c>
      <c r="T1379" s="62">
        <v>0</v>
      </c>
    </row>
    <row r="1380" spans="1:20" ht="11.1" customHeight="1" x14ac:dyDescent="0.25">
      <c r="A1380" s="56">
        <v>108451</v>
      </c>
      <c r="B1380" s="72">
        <v>46027</v>
      </c>
      <c r="C1380" s="68">
        <v>46027</v>
      </c>
      <c r="D1380" s="58" t="s">
        <v>1400</v>
      </c>
      <c r="E1380" s="59" t="s">
        <v>352</v>
      </c>
      <c r="F1380" s="56">
        <v>36</v>
      </c>
      <c r="G1380" s="73">
        <v>727</v>
      </c>
      <c r="H1380" s="74" t="s">
        <v>1401</v>
      </c>
      <c r="I1380" s="59" t="s">
        <v>1402</v>
      </c>
      <c r="J1380" s="59" t="s">
        <v>1403</v>
      </c>
      <c r="K1380" s="69">
        <v>6102</v>
      </c>
      <c r="L1380" s="56">
        <v>238</v>
      </c>
      <c r="M1380" s="59" t="s">
        <v>39</v>
      </c>
      <c r="N1380" s="61">
        <v>1037.28</v>
      </c>
      <c r="O1380" s="59" t="s">
        <v>313</v>
      </c>
      <c r="P1380" s="62">
        <v>1037.28</v>
      </c>
      <c r="Q1380" s="63">
        <v>12</v>
      </c>
      <c r="R1380" s="62">
        <v>124.48</v>
      </c>
      <c r="S1380" s="61">
        <v>0</v>
      </c>
      <c r="T1380" s="62">
        <v>0</v>
      </c>
    </row>
    <row r="1381" spans="1:20" ht="11.1" customHeight="1" x14ac:dyDescent="0.25">
      <c r="A1381" s="56">
        <v>108452</v>
      </c>
      <c r="B1381" s="72">
        <v>46027</v>
      </c>
      <c r="C1381" s="68">
        <v>46027</v>
      </c>
      <c r="D1381" s="58" t="s">
        <v>1404</v>
      </c>
      <c r="E1381" s="59" t="s">
        <v>352</v>
      </c>
      <c r="F1381" s="56">
        <v>36</v>
      </c>
      <c r="G1381" s="73">
        <v>727</v>
      </c>
      <c r="H1381" s="74" t="s">
        <v>1401</v>
      </c>
      <c r="I1381" s="59" t="s">
        <v>1402</v>
      </c>
      <c r="J1381" s="59" t="s">
        <v>1403</v>
      </c>
      <c r="K1381" s="69">
        <v>6102</v>
      </c>
      <c r="L1381" s="56">
        <v>238</v>
      </c>
      <c r="M1381" s="59" t="s">
        <v>39</v>
      </c>
      <c r="N1381" s="61">
        <v>569.16</v>
      </c>
      <c r="O1381" s="59" t="s">
        <v>313</v>
      </c>
      <c r="P1381" s="62">
        <v>569.16</v>
      </c>
      <c r="Q1381" s="63">
        <v>12</v>
      </c>
      <c r="R1381" s="62">
        <v>68.3</v>
      </c>
      <c r="S1381" s="61">
        <v>0</v>
      </c>
      <c r="T1381" s="62">
        <v>0</v>
      </c>
    </row>
    <row r="1382" spans="1:20" ht="11.1" customHeight="1" x14ac:dyDescent="0.25">
      <c r="A1382" s="56">
        <v>109457</v>
      </c>
      <c r="B1382" s="72">
        <v>46048</v>
      </c>
      <c r="C1382" s="68">
        <v>46048</v>
      </c>
      <c r="D1382" s="58" t="s">
        <v>1405</v>
      </c>
      <c r="E1382" s="59" t="s">
        <v>352</v>
      </c>
      <c r="F1382" s="56">
        <v>36</v>
      </c>
      <c r="G1382" s="73">
        <v>727</v>
      </c>
      <c r="H1382" s="74" t="s">
        <v>1401</v>
      </c>
      <c r="I1382" s="59" t="s">
        <v>1402</v>
      </c>
      <c r="J1382" s="59" t="s">
        <v>1403</v>
      </c>
      <c r="K1382" s="69">
        <v>6403</v>
      </c>
      <c r="L1382" s="56">
        <v>207</v>
      </c>
      <c r="M1382" s="59" t="s">
        <v>39</v>
      </c>
      <c r="N1382" s="61">
        <v>553.52</v>
      </c>
      <c r="O1382" s="59" t="s">
        <v>313</v>
      </c>
      <c r="P1382" s="62">
        <v>553.52</v>
      </c>
      <c r="Q1382" s="63">
        <v>12</v>
      </c>
      <c r="R1382" s="62">
        <v>66.41</v>
      </c>
      <c r="S1382" s="61">
        <v>0</v>
      </c>
      <c r="T1382" s="62">
        <v>0</v>
      </c>
    </row>
    <row r="1383" spans="1:20" ht="11.1" customHeight="1" x14ac:dyDescent="0.25">
      <c r="A1383" s="56">
        <v>109458</v>
      </c>
      <c r="B1383" s="72">
        <v>46048</v>
      </c>
      <c r="C1383" s="68">
        <v>46048</v>
      </c>
      <c r="D1383" s="58" t="s">
        <v>1405</v>
      </c>
      <c r="E1383" s="59" t="s">
        <v>352</v>
      </c>
      <c r="F1383" s="56">
        <v>36</v>
      </c>
      <c r="G1383" s="73">
        <v>727</v>
      </c>
      <c r="H1383" s="74" t="s">
        <v>1401</v>
      </c>
      <c r="I1383" s="59" t="s">
        <v>1402</v>
      </c>
      <c r="J1383" s="59" t="s">
        <v>1403</v>
      </c>
      <c r="K1383" s="69">
        <v>6102</v>
      </c>
      <c r="L1383" s="56">
        <v>238</v>
      </c>
      <c r="M1383" s="59" t="s">
        <v>39</v>
      </c>
      <c r="N1383" s="61">
        <v>89.89</v>
      </c>
      <c r="O1383" s="59" t="s">
        <v>313</v>
      </c>
      <c r="P1383" s="62">
        <v>89.89</v>
      </c>
      <c r="Q1383" s="63">
        <v>12</v>
      </c>
      <c r="R1383" s="62">
        <v>10.79</v>
      </c>
      <c r="S1383" s="61">
        <v>0</v>
      </c>
      <c r="T1383" s="62">
        <v>0</v>
      </c>
    </row>
    <row r="1384" spans="1:20" ht="11.1" customHeight="1" x14ac:dyDescent="0.25">
      <c r="A1384" s="56">
        <v>109640</v>
      </c>
      <c r="B1384" s="72">
        <v>46051</v>
      </c>
      <c r="C1384" s="68">
        <v>46051</v>
      </c>
      <c r="D1384" s="58" t="s">
        <v>1406</v>
      </c>
      <c r="E1384" s="59" t="s">
        <v>352</v>
      </c>
      <c r="F1384" s="56">
        <v>36</v>
      </c>
      <c r="G1384" s="73">
        <v>727</v>
      </c>
      <c r="H1384" s="74" t="s">
        <v>1401</v>
      </c>
      <c r="I1384" s="59" t="s">
        <v>1402</v>
      </c>
      <c r="J1384" s="59" t="s">
        <v>1403</v>
      </c>
      <c r="K1384" s="69">
        <v>6403</v>
      </c>
      <c r="L1384" s="56">
        <v>207</v>
      </c>
      <c r="M1384" s="59" t="s">
        <v>39</v>
      </c>
      <c r="N1384" s="61">
        <v>1748.3</v>
      </c>
      <c r="O1384" s="59" t="s">
        <v>313</v>
      </c>
      <c r="P1384" s="62">
        <v>1748.3</v>
      </c>
      <c r="Q1384" s="63">
        <v>12</v>
      </c>
      <c r="R1384" s="62">
        <v>209.8</v>
      </c>
      <c r="S1384" s="61">
        <v>0</v>
      </c>
      <c r="T1384" s="62">
        <v>0</v>
      </c>
    </row>
    <row r="1385" spans="1:20" ht="11.1" customHeight="1" x14ac:dyDescent="0.25">
      <c r="A1385" s="56">
        <v>109641</v>
      </c>
      <c r="B1385" s="72">
        <v>46051</v>
      </c>
      <c r="C1385" s="68">
        <v>46051</v>
      </c>
      <c r="D1385" s="58" t="s">
        <v>1406</v>
      </c>
      <c r="E1385" s="59" t="s">
        <v>352</v>
      </c>
      <c r="F1385" s="56">
        <v>36</v>
      </c>
      <c r="G1385" s="73">
        <v>727</v>
      </c>
      <c r="H1385" s="74" t="s">
        <v>1401</v>
      </c>
      <c r="I1385" s="59" t="s">
        <v>1402</v>
      </c>
      <c r="J1385" s="59" t="s">
        <v>1403</v>
      </c>
      <c r="K1385" s="69">
        <v>6102</v>
      </c>
      <c r="L1385" s="56">
        <v>238</v>
      </c>
      <c r="M1385" s="59" t="s">
        <v>39</v>
      </c>
      <c r="N1385" s="61">
        <v>557.20000000000005</v>
      </c>
      <c r="O1385" s="59" t="s">
        <v>313</v>
      </c>
      <c r="P1385" s="62">
        <v>557.20000000000005</v>
      </c>
      <c r="Q1385" s="63">
        <v>12</v>
      </c>
      <c r="R1385" s="62">
        <v>66.86</v>
      </c>
      <c r="S1385" s="61">
        <v>0</v>
      </c>
      <c r="T1385" s="62">
        <v>0</v>
      </c>
    </row>
    <row r="1386" spans="1:20" ht="11.1" customHeight="1" x14ac:dyDescent="0.25">
      <c r="A1386" s="56">
        <v>109664</v>
      </c>
      <c r="B1386" s="72">
        <v>46052</v>
      </c>
      <c r="C1386" s="68">
        <v>46052</v>
      </c>
      <c r="D1386" s="58" t="s">
        <v>1407</v>
      </c>
      <c r="E1386" s="59" t="s">
        <v>352</v>
      </c>
      <c r="F1386" s="56">
        <v>36</v>
      </c>
      <c r="G1386" s="73">
        <v>727</v>
      </c>
      <c r="H1386" s="74" t="s">
        <v>1401</v>
      </c>
      <c r="I1386" s="59" t="s">
        <v>1402</v>
      </c>
      <c r="J1386" s="59" t="s">
        <v>1403</v>
      </c>
      <c r="K1386" s="69">
        <v>6102</v>
      </c>
      <c r="L1386" s="56">
        <v>238</v>
      </c>
      <c r="M1386" s="59" t="s">
        <v>39</v>
      </c>
      <c r="N1386" s="61">
        <v>1583.54</v>
      </c>
      <c r="O1386" s="59" t="s">
        <v>313</v>
      </c>
      <c r="P1386" s="62">
        <v>1583.54</v>
      </c>
      <c r="Q1386" s="63">
        <v>12</v>
      </c>
      <c r="R1386" s="62">
        <v>190.02</v>
      </c>
      <c r="S1386" s="61">
        <v>0</v>
      </c>
      <c r="T1386" s="62">
        <v>0</v>
      </c>
    </row>
    <row r="1387" spans="1:20" ht="11.85" customHeight="1" x14ac:dyDescent="0.25">
      <c r="A1387" s="71" t="s">
        <v>620</v>
      </c>
      <c r="B1387" s="71"/>
      <c r="C1387" s="71"/>
      <c r="D1387" s="71"/>
      <c r="E1387" s="71"/>
      <c r="F1387" s="71"/>
      <c r="G1387" s="71"/>
      <c r="H1387" s="71"/>
    </row>
    <row r="1388" spans="1:20" ht="11.1" customHeight="1" x14ac:dyDescent="0.25">
      <c r="O1388" s="59" t="s">
        <v>313</v>
      </c>
      <c r="P1388" s="62">
        <v>10556.16</v>
      </c>
      <c r="R1388" s="62">
        <v>1266.73</v>
      </c>
      <c r="S1388" s="61">
        <v>0</v>
      </c>
      <c r="T1388" s="62">
        <v>0</v>
      </c>
    </row>
    <row r="1389" spans="1:20" ht="11.1" customHeight="1" x14ac:dyDescent="0.25">
      <c r="A1389" s="56">
        <v>108596</v>
      </c>
      <c r="B1389" s="72">
        <v>46029</v>
      </c>
      <c r="C1389" s="68">
        <v>46029</v>
      </c>
      <c r="D1389" s="58" t="s">
        <v>1408</v>
      </c>
      <c r="E1389" s="59" t="s">
        <v>352</v>
      </c>
      <c r="F1389" s="56">
        <v>36</v>
      </c>
      <c r="G1389" s="73">
        <v>492</v>
      </c>
      <c r="H1389" s="74" t="s">
        <v>1409</v>
      </c>
      <c r="I1389" s="59" t="s">
        <v>1410</v>
      </c>
      <c r="J1389" s="59" t="s">
        <v>1411</v>
      </c>
      <c r="K1389" s="69">
        <v>5102</v>
      </c>
      <c r="L1389" s="56">
        <v>205</v>
      </c>
      <c r="M1389" s="59" t="s">
        <v>26</v>
      </c>
      <c r="N1389" s="61">
        <v>111.16</v>
      </c>
      <c r="O1389" s="59" t="s">
        <v>313</v>
      </c>
      <c r="P1389" s="62">
        <v>111.16</v>
      </c>
      <c r="Q1389" s="63">
        <v>20</v>
      </c>
      <c r="R1389" s="62">
        <v>22.23</v>
      </c>
      <c r="S1389" s="61">
        <v>0</v>
      </c>
      <c r="T1389" s="62">
        <v>0</v>
      </c>
    </row>
    <row r="1390" spans="1:20" ht="11.1" customHeight="1" x14ac:dyDescent="0.25">
      <c r="A1390" s="56">
        <v>109279</v>
      </c>
      <c r="B1390" s="72">
        <v>46044</v>
      </c>
      <c r="C1390" s="68">
        <v>46044</v>
      </c>
      <c r="D1390" s="58" t="s">
        <v>1412</v>
      </c>
      <c r="E1390" s="59" t="s">
        <v>352</v>
      </c>
      <c r="F1390" s="56">
        <v>36</v>
      </c>
      <c r="G1390" s="73">
        <v>492</v>
      </c>
      <c r="H1390" s="74" t="s">
        <v>1409</v>
      </c>
      <c r="I1390" s="59" t="s">
        <v>1410</v>
      </c>
      <c r="J1390" s="59" t="s">
        <v>1411</v>
      </c>
      <c r="K1390" s="69">
        <v>5102</v>
      </c>
      <c r="L1390" s="56">
        <v>205</v>
      </c>
      <c r="M1390" s="59" t="s">
        <v>26</v>
      </c>
      <c r="N1390" s="61">
        <v>176.55</v>
      </c>
      <c r="O1390" s="59" t="s">
        <v>313</v>
      </c>
      <c r="P1390" s="62">
        <v>176.55</v>
      </c>
      <c r="Q1390" s="63">
        <v>20</v>
      </c>
      <c r="R1390" s="62">
        <v>35.299999999999997</v>
      </c>
      <c r="S1390" s="61">
        <v>0</v>
      </c>
      <c r="T1390" s="62">
        <v>0</v>
      </c>
    </row>
    <row r="1391" spans="1:20" ht="11.1" customHeight="1" x14ac:dyDescent="0.25">
      <c r="A1391" s="56">
        <v>109280</v>
      </c>
      <c r="B1391" s="72">
        <v>46044</v>
      </c>
      <c r="C1391" s="68">
        <v>46044</v>
      </c>
      <c r="D1391" s="58" t="s">
        <v>1412</v>
      </c>
      <c r="E1391" s="59" t="s">
        <v>352</v>
      </c>
      <c r="F1391" s="56">
        <v>36</v>
      </c>
      <c r="G1391" s="73">
        <v>492</v>
      </c>
      <c r="H1391" s="74" t="s">
        <v>1409</v>
      </c>
      <c r="I1391" s="59" t="s">
        <v>1410</v>
      </c>
      <c r="J1391" s="59" t="s">
        <v>1411</v>
      </c>
      <c r="K1391" s="69">
        <v>5403</v>
      </c>
      <c r="L1391" s="56">
        <v>207</v>
      </c>
      <c r="M1391" s="59" t="s">
        <v>26</v>
      </c>
      <c r="N1391" s="61">
        <v>37.729999999999997</v>
      </c>
      <c r="O1391" s="59" t="s">
        <v>313</v>
      </c>
      <c r="P1391" s="62">
        <v>35.26</v>
      </c>
      <c r="Q1391" s="63">
        <v>20</v>
      </c>
      <c r="R1391" s="62">
        <v>7.05</v>
      </c>
      <c r="S1391" s="61">
        <v>0</v>
      </c>
      <c r="T1391" s="62">
        <v>2.4700000000000002</v>
      </c>
    </row>
    <row r="1392" spans="1:20" ht="11.1" customHeight="1" x14ac:dyDescent="0.25">
      <c r="O1392" s="59" t="s">
        <v>436</v>
      </c>
      <c r="P1392" s="62">
        <v>47.6</v>
      </c>
      <c r="Q1392" s="63">
        <v>20</v>
      </c>
      <c r="R1392" s="62">
        <v>2.4700000000000002</v>
      </c>
      <c r="S1392" s="61">
        <v>0</v>
      </c>
      <c r="T1392" s="62">
        <v>0</v>
      </c>
    </row>
    <row r="1393" spans="1:20" ht="11.85" customHeight="1" x14ac:dyDescent="0.25">
      <c r="A1393" s="71" t="s">
        <v>620</v>
      </c>
      <c r="B1393" s="71"/>
      <c r="C1393" s="71"/>
      <c r="D1393" s="71"/>
      <c r="E1393" s="71"/>
      <c r="F1393" s="71"/>
      <c r="G1393" s="71"/>
      <c r="H1393" s="71"/>
    </row>
    <row r="1394" spans="1:20" ht="11.1" customHeight="1" x14ac:dyDescent="0.25">
      <c r="O1394" s="59" t="s">
        <v>313</v>
      </c>
      <c r="P1394" s="62">
        <v>322.97000000000003</v>
      </c>
      <c r="R1394" s="62">
        <v>64.58</v>
      </c>
      <c r="S1394" s="61">
        <v>0</v>
      </c>
      <c r="T1394" s="62">
        <v>2.4700000000000002</v>
      </c>
    </row>
    <row r="1395" spans="1:20" ht="11.1" customHeight="1" x14ac:dyDescent="0.25">
      <c r="O1395" s="59" t="s">
        <v>436</v>
      </c>
      <c r="P1395" s="62">
        <v>47.6</v>
      </c>
      <c r="R1395" s="62">
        <v>2.4700000000000002</v>
      </c>
      <c r="S1395" s="61">
        <v>0</v>
      </c>
      <c r="T1395" s="62">
        <v>0</v>
      </c>
    </row>
    <row r="1396" spans="1:20" ht="11.1" customHeight="1" x14ac:dyDescent="0.25">
      <c r="A1396" s="56">
        <v>109521</v>
      </c>
      <c r="B1396" s="72">
        <v>46050</v>
      </c>
      <c r="C1396" s="68">
        <v>46050</v>
      </c>
      <c r="D1396" s="58" t="s">
        <v>1413</v>
      </c>
      <c r="E1396" s="59" t="s">
        <v>352</v>
      </c>
      <c r="F1396" s="56">
        <v>36</v>
      </c>
      <c r="G1396" s="73">
        <v>62</v>
      </c>
      <c r="H1396" s="74" t="s">
        <v>1414</v>
      </c>
      <c r="I1396" s="59" t="s">
        <v>1415</v>
      </c>
      <c r="J1396" s="59" t="s">
        <v>1416</v>
      </c>
      <c r="K1396" s="69">
        <v>5102</v>
      </c>
      <c r="L1396" s="56">
        <v>205</v>
      </c>
      <c r="M1396" s="59" t="s">
        <v>26</v>
      </c>
      <c r="N1396" s="61">
        <v>65.680000000000007</v>
      </c>
      <c r="O1396" s="59" t="s">
        <v>313</v>
      </c>
      <c r="P1396" s="62">
        <v>65.680000000000007</v>
      </c>
      <c r="Q1396" s="63">
        <v>20</v>
      </c>
      <c r="R1396" s="62">
        <v>13.13</v>
      </c>
      <c r="S1396" s="61">
        <v>0</v>
      </c>
      <c r="T1396" s="62">
        <v>0</v>
      </c>
    </row>
    <row r="1397" spans="1:20" ht="11.1" customHeight="1" x14ac:dyDescent="0.25">
      <c r="A1397" s="56">
        <v>109522</v>
      </c>
      <c r="B1397" s="72">
        <v>46050</v>
      </c>
      <c r="C1397" s="68">
        <v>46050</v>
      </c>
      <c r="D1397" s="58" t="s">
        <v>1413</v>
      </c>
      <c r="E1397" s="59" t="s">
        <v>352</v>
      </c>
      <c r="F1397" s="56">
        <v>36</v>
      </c>
      <c r="G1397" s="73">
        <v>62</v>
      </c>
      <c r="H1397" s="74" t="s">
        <v>1414</v>
      </c>
      <c r="I1397" s="59" t="s">
        <v>1415</v>
      </c>
      <c r="J1397" s="59" t="s">
        <v>1416</v>
      </c>
      <c r="K1397" s="69">
        <v>5403</v>
      </c>
      <c r="L1397" s="56">
        <v>207</v>
      </c>
      <c r="M1397" s="59" t="s">
        <v>26</v>
      </c>
      <c r="N1397" s="61">
        <v>449.25</v>
      </c>
      <c r="O1397" s="59" t="s">
        <v>313</v>
      </c>
      <c r="P1397" s="62">
        <v>419.86</v>
      </c>
      <c r="Q1397" s="63">
        <v>20</v>
      </c>
      <c r="R1397" s="62">
        <v>83.97</v>
      </c>
      <c r="S1397" s="61">
        <v>0</v>
      </c>
      <c r="T1397" s="62">
        <v>29.39</v>
      </c>
    </row>
    <row r="1398" spans="1:20" ht="11.1" customHeight="1" x14ac:dyDescent="0.25">
      <c r="O1398" s="59" t="s">
        <v>436</v>
      </c>
      <c r="P1398" s="62">
        <v>566.82000000000005</v>
      </c>
      <c r="Q1398" s="63">
        <v>20</v>
      </c>
      <c r="R1398" s="62">
        <v>29.39</v>
      </c>
      <c r="S1398" s="61">
        <v>0</v>
      </c>
      <c r="T1398" s="62">
        <v>0</v>
      </c>
    </row>
    <row r="1399" spans="1:20" ht="11.85" customHeight="1" x14ac:dyDescent="0.25">
      <c r="A1399" s="71" t="s">
        <v>620</v>
      </c>
      <c r="B1399" s="71"/>
      <c r="C1399" s="71"/>
      <c r="D1399" s="71"/>
      <c r="E1399" s="71"/>
      <c r="F1399" s="71"/>
      <c r="G1399" s="71"/>
      <c r="H1399" s="71"/>
    </row>
    <row r="1400" spans="1:20" ht="11.1" customHeight="1" x14ac:dyDescent="0.25">
      <c r="O1400" s="59" t="s">
        <v>313</v>
      </c>
      <c r="P1400" s="62">
        <v>485.54</v>
      </c>
      <c r="R1400" s="62">
        <v>97.1</v>
      </c>
      <c r="S1400" s="61">
        <v>0</v>
      </c>
      <c r="T1400" s="62">
        <v>29.39</v>
      </c>
    </row>
    <row r="1401" spans="1:20" ht="11.1" customHeight="1" x14ac:dyDescent="0.25">
      <c r="O1401" s="59" t="s">
        <v>436</v>
      </c>
      <c r="P1401" s="62">
        <v>566.82000000000005</v>
      </c>
      <c r="R1401" s="62">
        <v>29.39</v>
      </c>
      <c r="S1401" s="61">
        <v>0</v>
      </c>
      <c r="T1401" s="62">
        <v>0</v>
      </c>
    </row>
    <row r="1402" spans="1:20" ht="11.1" customHeight="1" x14ac:dyDescent="0.25">
      <c r="A1402" s="56">
        <v>108708</v>
      </c>
      <c r="B1402" s="72">
        <v>46031</v>
      </c>
      <c r="C1402" s="68">
        <v>46031</v>
      </c>
      <c r="D1402" s="58" t="s">
        <v>1417</v>
      </c>
      <c r="E1402" s="59" t="s">
        <v>352</v>
      </c>
      <c r="F1402" s="56">
        <v>36</v>
      </c>
      <c r="G1402" s="73">
        <v>841</v>
      </c>
      <c r="H1402" s="74" t="s">
        <v>1418</v>
      </c>
      <c r="I1402" s="59" t="s">
        <v>1419</v>
      </c>
      <c r="J1402" s="59" t="s">
        <v>1420</v>
      </c>
      <c r="K1402" s="69">
        <v>5102</v>
      </c>
      <c r="L1402" s="56">
        <v>205</v>
      </c>
      <c r="M1402" s="59" t="s">
        <v>26</v>
      </c>
      <c r="N1402" s="61">
        <v>202.21</v>
      </c>
      <c r="O1402" s="59" t="s">
        <v>313</v>
      </c>
      <c r="P1402" s="62">
        <v>202.21</v>
      </c>
      <c r="Q1402" s="63">
        <v>20</v>
      </c>
      <c r="R1402" s="62">
        <v>40.44</v>
      </c>
      <c r="S1402" s="61">
        <v>0</v>
      </c>
      <c r="T1402" s="62">
        <v>0</v>
      </c>
    </row>
    <row r="1403" spans="1:20" ht="11.1" customHeight="1" x14ac:dyDescent="0.25">
      <c r="A1403" s="56">
        <v>109421</v>
      </c>
      <c r="B1403" s="72">
        <v>46048</v>
      </c>
      <c r="C1403" s="68">
        <v>46048</v>
      </c>
      <c r="D1403" s="58" t="s">
        <v>1421</v>
      </c>
      <c r="E1403" s="59" t="s">
        <v>352</v>
      </c>
      <c r="F1403" s="56">
        <v>36</v>
      </c>
      <c r="G1403" s="73">
        <v>841</v>
      </c>
      <c r="H1403" s="74" t="s">
        <v>1418</v>
      </c>
      <c r="I1403" s="59" t="s">
        <v>1419</v>
      </c>
      <c r="J1403" s="59" t="s">
        <v>1420</v>
      </c>
      <c r="K1403" s="69">
        <v>5102</v>
      </c>
      <c r="L1403" s="56">
        <v>205</v>
      </c>
      <c r="M1403" s="59" t="s">
        <v>26</v>
      </c>
      <c r="N1403" s="61">
        <v>437.52</v>
      </c>
      <c r="O1403" s="59" t="s">
        <v>313</v>
      </c>
      <c r="P1403" s="62">
        <v>437.52</v>
      </c>
      <c r="Q1403" s="63">
        <v>20</v>
      </c>
      <c r="R1403" s="62">
        <v>87.51</v>
      </c>
      <c r="S1403" s="61">
        <v>0</v>
      </c>
      <c r="T1403" s="62">
        <v>0</v>
      </c>
    </row>
    <row r="1404" spans="1:20" ht="11.85" customHeight="1" x14ac:dyDescent="0.25">
      <c r="A1404" s="71" t="s">
        <v>620</v>
      </c>
      <c r="B1404" s="71"/>
      <c r="C1404" s="71"/>
      <c r="D1404" s="71"/>
      <c r="E1404" s="71"/>
      <c r="F1404" s="71"/>
      <c r="G1404" s="71"/>
      <c r="H1404" s="71"/>
    </row>
    <row r="1405" spans="1:20" ht="11.1" customHeight="1" x14ac:dyDescent="0.25">
      <c r="O1405" s="59" t="s">
        <v>313</v>
      </c>
      <c r="P1405" s="62">
        <v>639.73</v>
      </c>
      <c r="R1405" s="62">
        <v>127.95</v>
      </c>
      <c r="S1405" s="61">
        <v>0</v>
      </c>
      <c r="T1405" s="62">
        <v>0</v>
      </c>
    </row>
    <row r="1406" spans="1:20" ht="11.1" customHeight="1" x14ac:dyDescent="0.25">
      <c r="A1406" s="56">
        <v>108669</v>
      </c>
      <c r="B1406" s="72">
        <v>46030</v>
      </c>
      <c r="C1406" s="68">
        <v>46030</v>
      </c>
      <c r="D1406" s="58" t="s">
        <v>1422</v>
      </c>
      <c r="E1406" s="59" t="s">
        <v>352</v>
      </c>
      <c r="F1406" s="56">
        <v>36</v>
      </c>
      <c r="G1406" s="73">
        <v>81</v>
      </c>
      <c r="H1406" s="74" t="s">
        <v>1423</v>
      </c>
      <c r="I1406" s="59" t="s">
        <v>1424</v>
      </c>
      <c r="J1406" s="59" t="s">
        <v>1425</v>
      </c>
      <c r="K1406" s="69">
        <v>5102</v>
      </c>
      <c r="L1406" s="56">
        <v>205</v>
      </c>
      <c r="M1406" s="59" t="s">
        <v>26</v>
      </c>
      <c r="N1406" s="61">
        <v>1464.96</v>
      </c>
      <c r="O1406" s="59" t="s">
        <v>313</v>
      </c>
      <c r="P1406" s="62">
        <v>1464.96</v>
      </c>
      <c r="Q1406" s="63">
        <v>20</v>
      </c>
      <c r="R1406" s="62">
        <v>292.99</v>
      </c>
      <c r="S1406" s="61">
        <v>0</v>
      </c>
      <c r="T1406" s="62">
        <v>0</v>
      </c>
    </row>
    <row r="1407" spans="1:20" ht="11.1" customHeight="1" x14ac:dyDescent="0.25">
      <c r="A1407" s="56">
        <v>108878</v>
      </c>
      <c r="B1407" s="72">
        <v>46035</v>
      </c>
      <c r="C1407" s="68">
        <v>46035</v>
      </c>
      <c r="D1407" s="58" t="s">
        <v>1426</v>
      </c>
      <c r="E1407" s="59" t="s">
        <v>352</v>
      </c>
      <c r="F1407" s="56">
        <v>36</v>
      </c>
      <c r="G1407" s="73">
        <v>81</v>
      </c>
      <c r="H1407" s="74" t="s">
        <v>1423</v>
      </c>
      <c r="I1407" s="59" t="s">
        <v>1424</v>
      </c>
      <c r="J1407" s="59" t="s">
        <v>1425</v>
      </c>
      <c r="K1407" s="69">
        <v>5102</v>
      </c>
      <c r="L1407" s="56">
        <v>205</v>
      </c>
      <c r="M1407" s="59" t="s">
        <v>26</v>
      </c>
      <c r="N1407" s="61">
        <v>450.96</v>
      </c>
      <c r="O1407" s="59" t="s">
        <v>313</v>
      </c>
      <c r="P1407" s="62">
        <v>450.96</v>
      </c>
      <c r="Q1407" s="63">
        <v>20</v>
      </c>
      <c r="R1407" s="62">
        <v>90.19</v>
      </c>
      <c r="S1407" s="61">
        <v>0</v>
      </c>
      <c r="T1407" s="62">
        <v>0</v>
      </c>
    </row>
    <row r="1408" spans="1:20" ht="11.1" customHeight="1" x14ac:dyDescent="0.25">
      <c r="A1408" s="56">
        <v>108879</v>
      </c>
      <c r="B1408" s="72">
        <v>46035</v>
      </c>
      <c r="C1408" s="68">
        <v>46035</v>
      </c>
      <c r="D1408" s="58" t="s">
        <v>1426</v>
      </c>
      <c r="E1408" s="59" t="s">
        <v>352</v>
      </c>
      <c r="F1408" s="56">
        <v>36</v>
      </c>
      <c r="G1408" s="73">
        <v>81</v>
      </c>
      <c r="H1408" s="74" t="s">
        <v>1423</v>
      </c>
      <c r="I1408" s="59" t="s">
        <v>1424</v>
      </c>
      <c r="J1408" s="59" t="s">
        <v>1425</v>
      </c>
      <c r="K1408" s="69">
        <v>5403</v>
      </c>
      <c r="L1408" s="56">
        <v>207</v>
      </c>
      <c r="M1408" s="59" t="s">
        <v>26</v>
      </c>
      <c r="N1408" s="61">
        <v>671.99</v>
      </c>
      <c r="O1408" s="59" t="s">
        <v>313</v>
      </c>
      <c r="P1408" s="62">
        <v>628.02</v>
      </c>
      <c r="Q1408" s="63">
        <v>20</v>
      </c>
      <c r="R1408" s="62">
        <v>125.6</v>
      </c>
      <c r="S1408" s="61">
        <v>0</v>
      </c>
      <c r="T1408" s="62">
        <v>43.97</v>
      </c>
    </row>
    <row r="1409" spans="1:20" ht="11.1" customHeight="1" x14ac:dyDescent="0.25">
      <c r="O1409" s="59" t="s">
        <v>436</v>
      </c>
      <c r="P1409" s="62">
        <v>847.83</v>
      </c>
      <c r="Q1409" s="63">
        <v>20</v>
      </c>
      <c r="R1409" s="62">
        <v>43.97</v>
      </c>
      <c r="S1409" s="61">
        <v>0</v>
      </c>
      <c r="T1409" s="62">
        <v>0</v>
      </c>
    </row>
    <row r="1410" spans="1:20" ht="11.85" customHeight="1" x14ac:dyDescent="0.25">
      <c r="A1410" s="71" t="s">
        <v>620</v>
      </c>
      <c r="B1410" s="71"/>
      <c r="C1410" s="71"/>
      <c r="D1410" s="71"/>
      <c r="E1410" s="71"/>
      <c r="F1410" s="71"/>
      <c r="G1410" s="71"/>
      <c r="H1410" s="71"/>
    </row>
    <row r="1411" spans="1:20" ht="11.1" customHeight="1" x14ac:dyDescent="0.25">
      <c r="O1411" s="59" t="s">
        <v>313</v>
      </c>
      <c r="P1411" s="62">
        <v>2543.94</v>
      </c>
      <c r="R1411" s="62">
        <v>508.78</v>
      </c>
      <c r="S1411" s="61">
        <v>0</v>
      </c>
      <c r="T1411" s="62">
        <v>43.97</v>
      </c>
    </row>
    <row r="1412" spans="1:20" ht="11.1" customHeight="1" x14ac:dyDescent="0.25">
      <c r="O1412" s="59" t="s">
        <v>436</v>
      </c>
      <c r="P1412" s="62">
        <v>847.83</v>
      </c>
      <c r="R1412" s="62">
        <v>43.97</v>
      </c>
      <c r="S1412" s="61">
        <v>0</v>
      </c>
      <c r="T1412" s="62">
        <v>0</v>
      </c>
    </row>
    <row r="1413" spans="1:20" ht="11.1" customHeight="1" x14ac:dyDescent="0.25">
      <c r="A1413" s="56">
        <v>109463</v>
      </c>
      <c r="B1413" s="72">
        <v>46048</v>
      </c>
      <c r="C1413" s="68">
        <v>46048</v>
      </c>
      <c r="D1413" s="58" t="s">
        <v>1427</v>
      </c>
      <c r="E1413" s="59" t="s">
        <v>352</v>
      </c>
      <c r="F1413" s="56">
        <v>36</v>
      </c>
      <c r="G1413" s="73">
        <v>892</v>
      </c>
      <c r="H1413" s="74" t="s">
        <v>1428</v>
      </c>
      <c r="I1413" s="59" t="s">
        <v>1429</v>
      </c>
      <c r="J1413" s="59" t="s">
        <v>1430</v>
      </c>
      <c r="K1413" s="69">
        <v>5102</v>
      </c>
      <c r="L1413" s="56">
        <v>205</v>
      </c>
      <c r="M1413" s="59" t="s">
        <v>26</v>
      </c>
      <c r="N1413" s="61">
        <v>604.15</v>
      </c>
      <c r="O1413" s="59" t="s">
        <v>313</v>
      </c>
      <c r="P1413" s="62">
        <v>604.15</v>
      </c>
      <c r="Q1413" s="63">
        <v>20</v>
      </c>
      <c r="R1413" s="62">
        <v>120.83</v>
      </c>
      <c r="S1413" s="61">
        <v>0</v>
      </c>
      <c r="T1413" s="62">
        <v>0</v>
      </c>
    </row>
    <row r="1414" spans="1:20" ht="11.1" customHeight="1" x14ac:dyDescent="0.25">
      <c r="A1414" s="56">
        <v>109482</v>
      </c>
      <c r="B1414" s="72">
        <v>46049</v>
      </c>
      <c r="C1414" s="68">
        <v>46049</v>
      </c>
      <c r="D1414" s="58" t="s">
        <v>1431</v>
      </c>
      <c r="E1414" s="59" t="s">
        <v>352</v>
      </c>
      <c r="F1414" s="56">
        <v>36</v>
      </c>
      <c r="G1414" s="73">
        <v>892</v>
      </c>
      <c r="H1414" s="74" t="s">
        <v>1428</v>
      </c>
      <c r="I1414" s="59" t="s">
        <v>1429</v>
      </c>
      <c r="J1414" s="59" t="s">
        <v>1430</v>
      </c>
      <c r="K1414" s="69">
        <v>5102</v>
      </c>
      <c r="L1414" s="56">
        <v>205</v>
      </c>
      <c r="M1414" s="59" t="s">
        <v>26</v>
      </c>
      <c r="N1414" s="61">
        <v>85.03</v>
      </c>
      <c r="O1414" s="59" t="s">
        <v>313</v>
      </c>
      <c r="P1414" s="62">
        <v>85.03</v>
      </c>
      <c r="Q1414" s="63">
        <v>20</v>
      </c>
      <c r="R1414" s="62">
        <v>17.010000000000002</v>
      </c>
      <c r="S1414" s="61">
        <v>0</v>
      </c>
      <c r="T1414" s="62">
        <v>0</v>
      </c>
    </row>
    <row r="1415" spans="1:20" ht="11.85" customHeight="1" x14ac:dyDescent="0.25">
      <c r="A1415" s="71" t="s">
        <v>620</v>
      </c>
      <c r="B1415" s="71"/>
      <c r="C1415" s="71"/>
      <c r="D1415" s="71"/>
      <c r="E1415" s="71"/>
      <c r="F1415" s="71"/>
      <c r="G1415" s="71"/>
      <c r="H1415" s="71"/>
    </row>
    <row r="1416" spans="1:20" ht="11.1" customHeight="1" x14ac:dyDescent="0.25">
      <c r="O1416" s="59" t="s">
        <v>313</v>
      </c>
      <c r="P1416" s="62">
        <v>689.18</v>
      </c>
      <c r="R1416" s="62">
        <v>137.84</v>
      </c>
      <c r="S1416" s="61">
        <v>0</v>
      </c>
      <c r="T1416" s="62">
        <v>0</v>
      </c>
    </row>
    <row r="1417" spans="1:20" ht="11.1" customHeight="1" x14ac:dyDescent="0.25">
      <c r="A1417" s="56">
        <v>109620</v>
      </c>
      <c r="B1417" s="72">
        <v>46051</v>
      </c>
      <c r="C1417" s="68">
        <v>46051</v>
      </c>
      <c r="D1417" s="58" t="s">
        <v>1432</v>
      </c>
      <c r="E1417" s="59" t="s">
        <v>352</v>
      </c>
      <c r="F1417" s="56">
        <v>36</v>
      </c>
      <c r="G1417" s="73">
        <v>929</v>
      </c>
      <c r="H1417" s="74" t="s">
        <v>1433</v>
      </c>
      <c r="I1417" s="59" t="s">
        <v>1434</v>
      </c>
      <c r="J1417" s="59" t="s">
        <v>75</v>
      </c>
      <c r="K1417" s="69">
        <v>5102</v>
      </c>
      <c r="L1417" s="56">
        <v>205</v>
      </c>
      <c r="M1417" s="59" t="s">
        <v>26</v>
      </c>
      <c r="N1417" s="61">
        <v>214.65</v>
      </c>
      <c r="O1417" s="59" t="s">
        <v>313</v>
      </c>
      <c r="P1417" s="62">
        <v>214.65</v>
      </c>
      <c r="Q1417" s="63">
        <v>20</v>
      </c>
      <c r="R1417" s="62">
        <v>42.93</v>
      </c>
      <c r="S1417" s="61">
        <v>0</v>
      </c>
      <c r="T1417" s="62">
        <v>0</v>
      </c>
    </row>
    <row r="1418" spans="1:20" ht="11.85" customHeight="1" x14ac:dyDescent="0.25">
      <c r="A1418" s="71" t="s">
        <v>620</v>
      </c>
      <c r="B1418" s="71"/>
      <c r="C1418" s="71"/>
      <c r="D1418" s="71"/>
      <c r="E1418" s="71"/>
      <c r="F1418" s="71"/>
      <c r="G1418" s="71"/>
      <c r="H1418" s="71"/>
    </row>
    <row r="1419" spans="1:20" ht="11.1" customHeight="1" x14ac:dyDescent="0.25">
      <c r="O1419" s="59" t="s">
        <v>313</v>
      </c>
      <c r="P1419" s="62">
        <v>214.65</v>
      </c>
      <c r="R1419" s="62">
        <v>42.93</v>
      </c>
      <c r="S1419" s="61">
        <v>0</v>
      </c>
      <c r="T1419" s="62">
        <v>0</v>
      </c>
    </row>
    <row r="1420" spans="1:20" ht="11.1" customHeight="1" x14ac:dyDescent="0.25">
      <c r="A1420" s="56">
        <v>108454</v>
      </c>
      <c r="B1420" s="72">
        <v>46027</v>
      </c>
      <c r="C1420" s="68">
        <v>46027</v>
      </c>
      <c r="D1420" s="58" t="s">
        <v>1435</v>
      </c>
      <c r="E1420" s="59" t="s">
        <v>352</v>
      </c>
      <c r="F1420" s="56">
        <v>36</v>
      </c>
      <c r="G1420" s="73">
        <v>248</v>
      </c>
      <c r="H1420" s="74" t="s">
        <v>1436</v>
      </c>
      <c r="I1420" s="59" t="s">
        <v>1437</v>
      </c>
      <c r="J1420" s="59" t="s">
        <v>1438</v>
      </c>
      <c r="K1420" s="69">
        <v>5102</v>
      </c>
      <c r="L1420" s="56">
        <v>205</v>
      </c>
      <c r="M1420" s="59" t="s">
        <v>26</v>
      </c>
      <c r="N1420" s="61">
        <v>2681.9</v>
      </c>
      <c r="O1420" s="59" t="s">
        <v>313</v>
      </c>
      <c r="P1420" s="62">
        <v>2681.9</v>
      </c>
      <c r="Q1420" s="63">
        <v>20</v>
      </c>
      <c r="R1420" s="62">
        <v>536.38</v>
      </c>
      <c r="S1420" s="61">
        <v>0</v>
      </c>
      <c r="T1420" s="62">
        <v>0</v>
      </c>
    </row>
    <row r="1421" spans="1:20" ht="11.1" customHeight="1" x14ac:dyDescent="0.25">
      <c r="A1421" s="56">
        <v>108545</v>
      </c>
      <c r="B1421" s="72">
        <v>46028</v>
      </c>
      <c r="C1421" s="68">
        <v>46028</v>
      </c>
      <c r="D1421" s="58" t="s">
        <v>1439</v>
      </c>
      <c r="E1421" s="59" t="s">
        <v>352</v>
      </c>
      <c r="F1421" s="56">
        <v>36</v>
      </c>
      <c r="G1421" s="73">
        <v>248</v>
      </c>
      <c r="H1421" s="74" t="s">
        <v>1436</v>
      </c>
      <c r="I1421" s="59" t="s">
        <v>1437</v>
      </c>
      <c r="J1421" s="59" t="s">
        <v>1438</v>
      </c>
      <c r="K1421" s="69">
        <v>5403</v>
      </c>
      <c r="L1421" s="56">
        <v>207</v>
      </c>
      <c r="M1421" s="59" t="s">
        <v>26</v>
      </c>
      <c r="N1421" s="61">
        <v>215.11</v>
      </c>
      <c r="O1421" s="59" t="s">
        <v>313</v>
      </c>
      <c r="P1421" s="62">
        <v>201.04</v>
      </c>
      <c r="Q1421" s="63">
        <v>20</v>
      </c>
      <c r="R1421" s="62">
        <v>40.21</v>
      </c>
      <c r="S1421" s="61">
        <v>0</v>
      </c>
      <c r="T1421" s="62">
        <v>14.07</v>
      </c>
    </row>
    <row r="1422" spans="1:20" ht="11.1" customHeight="1" x14ac:dyDescent="0.25">
      <c r="O1422" s="59" t="s">
        <v>436</v>
      </c>
      <c r="P1422" s="62">
        <v>271.39999999999998</v>
      </c>
      <c r="Q1422" s="63">
        <v>20</v>
      </c>
      <c r="R1422" s="62">
        <v>14.07</v>
      </c>
      <c r="S1422" s="61">
        <v>0</v>
      </c>
      <c r="T1422" s="62">
        <v>0</v>
      </c>
    </row>
    <row r="1423" spans="1:20" ht="11.1" customHeight="1" x14ac:dyDescent="0.25">
      <c r="A1423" s="56">
        <v>108638</v>
      </c>
      <c r="B1423" s="72">
        <v>46030</v>
      </c>
      <c r="C1423" s="68">
        <v>46030</v>
      </c>
      <c r="D1423" s="58" t="s">
        <v>1440</v>
      </c>
      <c r="E1423" s="59" t="s">
        <v>352</v>
      </c>
      <c r="F1423" s="56">
        <v>36</v>
      </c>
      <c r="G1423" s="73">
        <v>248</v>
      </c>
      <c r="H1423" s="74" t="s">
        <v>1436</v>
      </c>
      <c r="I1423" s="59" t="s">
        <v>1437</v>
      </c>
      <c r="J1423" s="59" t="s">
        <v>1438</v>
      </c>
      <c r="K1423" s="69">
        <v>5403</v>
      </c>
      <c r="L1423" s="56">
        <v>207</v>
      </c>
      <c r="M1423" s="59" t="s">
        <v>26</v>
      </c>
      <c r="N1423" s="61">
        <v>97.14</v>
      </c>
      <c r="O1423" s="59" t="s">
        <v>313</v>
      </c>
      <c r="P1423" s="62">
        <v>90.79</v>
      </c>
      <c r="Q1423" s="63">
        <v>20</v>
      </c>
      <c r="R1423" s="62">
        <v>18.16</v>
      </c>
      <c r="S1423" s="61">
        <v>0</v>
      </c>
      <c r="T1423" s="62">
        <v>6.35</v>
      </c>
    </row>
    <row r="1424" spans="1:20" ht="11.1" customHeight="1" x14ac:dyDescent="0.25">
      <c r="O1424" s="59" t="s">
        <v>436</v>
      </c>
      <c r="P1424" s="62">
        <v>122.57</v>
      </c>
      <c r="Q1424" s="63">
        <v>20</v>
      </c>
      <c r="R1424" s="62">
        <v>6.35</v>
      </c>
      <c r="S1424" s="61">
        <v>0</v>
      </c>
      <c r="T1424" s="62">
        <v>0</v>
      </c>
    </row>
    <row r="1425" spans="1:20" ht="11.1" customHeight="1" x14ac:dyDescent="0.25">
      <c r="A1425" s="56">
        <v>108826</v>
      </c>
      <c r="B1425" s="72">
        <v>46035</v>
      </c>
      <c r="C1425" s="68">
        <v>46035</v>
      </c>
      <c r="D1425" s="58" t="s">
        <v>1441</v>
      </c>
      <c r="E1425" s="59" t="s">
        <v>352</v>
      </c>
      <c r="F1425" s="56">
        <v>36</v>
      </c>
      <c r="G1425" s="73">
        <v>248</v>
      </c>
      <c r="H1425" s="74" t="s">
        <v>1436</v>
      </c>
      <c r="I1425" s="59" t="s">
        <v>1437</v>
      </c>
      <c r="J1425" s="59" t="s">
        <v>1438</v>
      </c>
      <c r="K1425" s="69">
        <v>5102</v>
      </c>
      <c r="L1425" s="56">
        <v>205</v>
      </c>
      <c r="M1425" s="59" t="s">
        <v>26</v>
      </c>
      <c r="N1425" s="61">
        <v>499</v>
      </c>
      <c r="O1425" s="59" t="s">
        <v>313</v>
      </c>
      <c r="P1425" s="62">
        <v>499</v>
      </c>
      <c r="Q1425" s="63">
        <v>20</v>
      </c>
      <c r="R1425" s="62">
        <v>99.8</v>
      </c>
      <c r="S1425" s="61">
        <v>0</v>
      </c>
      <c r="T1425" s="62">
        <v>0</v>
      </c>
    </row>
    <row r="1426" spans="1:20" ht="11.1" customHeight="1" x14ac:dyDescent="0.25">
      <c r="A1426" s="56">
        <v>109029</v>
      </c>
      <c r="B1426" s="72">
        <v>46038</v>
      </c>
      <c r="C1426" s="68">
        <v>46038</v>
      </c>
      <c r="D1426" s="58" t="s">
        <v>1442</v>
      </c>
      <c r="E1426" s="59" t="s">
        <v>352</v>
      </c>
      <c r="F1426" s="56">
        <v>36</v>
      </c>
      <c r="G1426" s="73">
        <v>248</v>
      </c>
      <c r="H1426" s="74" t="s">
        <v>1436</v>
      </c>
      <c r="I1426" s="59" t="s">
        <v>1437</v>
      </c>
      <c r="J1426" s="59" t="s">
        <v>1438</v>
      </c>
      <c r="K1426" s="69">
        <v>5102</v>
      </c>
      <c r="L1426" s="56">
        <v>205</v>
      </c>
      <c r="M1426" s="59" t="s">
        <v>26</v>
      </c>
      <c r="N1426" s="61">
        <v>470</v>
      </c>
      <c r="O1426" s="59" t="s">
        <v>313</v>
      </c>
      <c r="P1426" s="62">
        <v>470</v>
      </c>
      <c r="Q1426" s="63">
        <v>20</v>
      </c>
      <c r="R1426" s="62">
        <v>94</v>
      </c>
      <c r="S1426" s="61">
        <v>0</v>
      </c>
      <c r="T1426" s="62">
        <v>0</v>
      </c>
    </row>
    <row r="1427" spans="1:20" ht="11.1" customHeight="1" x14ac:dyDescent="0.25">
      <c r="A1427" s="56">
        <v>109330</v>
      </c>
      <c r="B1427" s="72">
        <v>46045</v>
      </c>
      <c r="C1427" s="68">
        <v>46045</v>
      </c>
      <c r="D1427" s="58" t="s">
        <v>1443</v>
      </c>
      <c r="E1427" s="59" t="s">
        <v>352</v>
      </c>
      <c r="F1427" s="56">
        <v>36</v>
      </c>
      <c r="G1427" s="73">
        <v>248</v>
      </c>
      <c r="H1427" s="74" t="s">
        <v>1436</v>
      </c>
      <c r="I1427" s="59" t="s">
        <v>1437</v>
      </c>
      <c r="J1427" s="59" t="s">
        <v>1438</v>
      </c>
      <c r="K1427" s="69">
        <v>5403</v>
      </c>
      <c r="L1427" s="56">
        <v>207</v>
      </c>
      <c r="M1427" s="59" t="s">
        <v>26</v>
      </c>
      <c r="N1427" s="61">
        <v>194.29</v>
      </c>
      <c r="O1427" s="59" t="s">
        <v>313</v>
      </c>
      <c r="P1427" s="62">
        <v>181.58</v>
      </c>
      <c r="Q1427" s="63">
        <v>20</v>
      </c>
      <c r="R1427" s="62">
        <v>36.32</v>
      </c>
      <c r="S1427" s="61">
        <v>0</v>
      </c>
      <c r="T1427" s="62">
        <v>12.71</v>
      </c>
    </row>
    <row r="1428" spans="1:20" ht="11.1" customHeight="1" x14ac:dyDescent="0.25">
      <c r="O1428" s="59" t="s">
        <v>436</v>
      </c>
      <c r="P1428" s="62">
        <v>245.13</v>
      </c>
      <c r="Q1428" s="63">
        <v>20</v>
      </c>
      <c r="R1428" s="62">
        <v>12.71</v>
      </c>
      <c r="S1428" s="61">
        <v>0</v>
      </c>
      <c r="T1428" s="62">
        <v>0</v>
      </c>
    </row>
    <row r="1429" spans="1:20" ht="11.1" customHeight="1" x14ac:dyDescent="0.25">
      <c r="A1429" s="56">
        <v>109332</v>
      </c>
      <c r="B1429" s="72">
        <v>46045</v>
      </c>
      <c r="C1429" s="68">
        <v>46045</v>
      </c>
      <c r="D1429" s="58" t="s">
        <v>1444</v>
      </c>
      <c r="E1429" s="59" t="s">
        <v>352</v>
      </c>
      <c r="F1429" s="56">
        <v>36</v>
      </c>
      <c r="G1429" s="73">
        <v>248</v>
      </c>
      <c r="H1429" s="74" t="s">
        <v>1436</v>
      </c>
      <c r="I1429" s="59" t="s">
        <v>1437</v>
      </c>
      <c r="J1429" s="59" t="s">
        <v>1438</v>
      </c>
      <c r="K1429" s="69">
        <v>5102</v>
      </c>
      <c r="L1429" s="56">
        <v>205</v>
      </c>
      <c r="M1429" s="59" t="s">
        <v>26</v>
      </c>
      <c r="N1429" s="61">
        <v>716.48</v>
      </c>
      <c r="O1429" s="59" t="s">
        <v>313</v>
      </c>
      <c r="P1429" s="62">
        <v>716.48</v>
      </c>
      <c r="Q1429" s="63">
        <v>20</v>
      </c>
      <c r="R1429" s="62">
        <v>143.29</v>
      </c>
      <c r="S1429" s="61">
        <v>0</v>
      </c>
      <c r="T1429" s="62">
        <v>0</v>
      </c>
    </row>
    <row r="1430" spans="1:20" ht="11.85" customHeight="1" x14ac:dyDescent="0.25">
      <c r="A1430" s="71" t="s">
        <v>620</v>
      </c>
      <c r="B1430" s="71"/>
      <c r="C1430" s="71"/>
      <c r="D1430" s="71"/>
      <c r="E1430" s="71"/>
      <c r="F1430" s="71"/>
      <c r="G1430" s="71"/>
      <c r="H1430" s="71"/>
    </row>
    <row r="1431" spans="1:20" ht="11.1" customHeight="1" x14ac:dyDescent="0.25">
      <c r="O1431" s="59" t="s">
        <v>313</v>
      </c>
      <c r="P1431" s="62">
        <v>4840.79</v>
      </c>
      <c r="R1431" s="62">
        <v>968.16</v>
      </c>
      <c r="S1431" s="61">
        <v>0</v>
      </c>
      <c r="T1431" s="62">
        <v>33.130000000000003</v>
      </c>
    </row>
    <row r="1432" spans="1:20" ht="11.1" customHeight="1" x14ac:dyDescent="0.25">
      <c r="O1432" s="59" t="s">
        <v>436</v>
      </c>
      <c r="P1432" s="62">
        <v>639.1</v>
      </c>
      <c r="R1432" s="62">
        <v>33.130000000000003</v>
      </c>
      <c r="S1432" s="61">
        <v>0</v>
      </c>
      <c r="T1432" s="62">
        <v>0</v>
      </c>
    </row>
    <row r="1433" spans="1:20" ht="11.1" customHeight="1" x14ac:dyDescent="0.25">
      <c r="A1433" s="56">
        <v>108939</v>
      </c>
      <c r="B1433" s="72">
        <v>46036</v>
      </c>
      <c r="C1433" s="68">
        <v>46036</v>
      </c>
      <c r="D1433" s="58" t="s">
        <v>1445</v>
      </c>
      <c r="E1433" s="59" t="s">
        <v>352</v>
      </c>
      <c r="F1433" s="56">
        <v>36</v>
      </c>
      <c r="G1433" s="73">
        <v>191</v>
      </c>
      <c r="H1433" s="74" t="s">
        <v>1446</v>
      </c>
      <c r="I1433" s="59" t="s">
        <v>1447</v>
      </c>
      <c r="J1433" s="59" t="s">
        <v>1448</v>
      </c>
      <c r="K1433" s="69">
        <v>5102</v>
      </c>
      <c r="L1433" s="56">
        <v>205</v>
      </c>
      <c r="M1433" s="59" t="s">
        <v>26</v>
      </c>
      <c r="N1433" s="61">
        <v>1294.17</v>
      </c>
      <c r="O1433" s="59" t="s">
        <v>313</v>
      </c>
      <c r="P1433" s="62">
        <v>1294.17</v>
      </c>
      <c r="Q1433" s="63">
        <v>20</v>
      </c>
      <c r="R1433" s="62">
        <v>258.83</v>
      </c>
      <c r="S1433" s="61">
        <v>0</v>
      </c>
      <c r="T1433" s="62">
        <v>0</v>
      </c>
    </row>
    <row r="1434" spans="1:20" ht="11.1" customHeight="1" x14ac:dyDescent="0.25">
      <c r="A1434" s="56">
        <v>109184</v>
      </c>
      <c r="B1434" s="72">
        <v>46043</v>
      </c>
      <c r="C1434" s="68">
        <v>46043</v>
      </c>
      <c r="D1434" s="58" t="s">
        <v>1449</v>
      </c>
      <c r="E1434" s="59" t="s">
        <v>352</v>
      </c>
      <c r="F1434" s="56">
        <v>36</v>
      </c>
      <c r="G1434" s="73">
        <v>191</v>
      </c>
      <c r="H1434" s="74" t="s">
        <v>1446</v>
      </c>
      <c r="I1434" s="59" t="s">
        <v>1447</v>
      </c>
      <c r="J1434" s="59" t="s">
        <v>1448</v>
      </c>
      <c r="K1434" s="69">
        <v>5102</v>
      </c>
      <c r="L1434" s="56">
        <v>205</v>
      </c>
      <c r="M1434" s="59" t="s">
        <v>26</v>
      </c>
      <c r="N1434" s="61">
        <v>1273.3699999999999</v>
      </c>
      <c r="O1434" s="59" t="s">
        <v>313</v>
      </c>
      <c r="P1434" s="62">
        <v>1273.3699999999999</v>
      </c>
      <c r="Q1434" s="63">
        <v>20</v>
      </c>
      <c r="R1434" s="62">
        <v>254.67</v>
      </c>
      <c r="S1434" s="61">
        <v>0</v>
      </c>
      <c r="T1434" s="62">
        <v>0</v>
      </c>
    </row>
    <row r="1435" spans="1:20" ht="11.85" customHeight="1" x14ac:dyDescent="0.25">
      <c r="A1435" s="71" t="s">
        <v>620</v>
      </c>
      <c r="B1435" s="71"/>
      <c r="C1435" s="71"/>
      <c r="D1435" s="71"/>
      <c r="E1435" s="71"/>
      <c r="F1435" s="71"/>
      <c r="G1435" s="71"/>
      <c r="H1435" s="71"/>
    </row>
    <row r="1436" spans="1:20" ht="11.1" customHeight="1" x14ac:dyDescent="0.25">
      <c r="O1436" s="59" t="s">
        <v>313</v>
      </c>
      <c r="P1436" s="62">
        <v>2567.54</v>
      </c>
      <c r="R1436" s="62">
        <v>513.5</v>
      </c>
      <c r="S1436" s="61">
        <v>0</v>
      </c>
      <c r="T1436" s="62">
        <v>0</v>
      </c>
    </row>
    <row r="1437" spans="1:20" ht="11.1" customHeight="1" x14ac:dyDescent="0.25">
      <c r="A1437" s="56">
        <v>109059</v>
      </c>
      <c r="B1437" s="72">
        <v>46038</v>
      </c>
      <c r="C1437" s="68">
        <v>46038</v>
      </c>
      <c r="D1437" s="58" t="s">
        <v>1450</v>
      </c>
      <c r="E1437" s="59" t="s">
        <v>352</v>
      </c>
      <c r="F1437" s="56">
        <v>36</v>
      </c>
      <c r="G1437" s="73">
        <v>813</v>
      </c>
      <c r="H1437" s="74" t="s">
        <v>1451</v>
      </c>
      <c r="I1437" s="59" t="s">
        <v>1452</v>
      </c>
      <c r="J1437" s="59" t="s">
        <v>1453</v>
      </c>
      <c r="K1437" s="69">
        <v>5102</v>
      </c>
      <c r="L1437" s="56">
        <v>205</v>
      </c>
      <c r="M1437" s="59" t="s">
        <v>26</v>
      </c>
      <c r="N1437" s="61">
        <v>657.8</v>
      </c>
      <c r="O1437" s="59" t="s">
        <v>313</v>
      </c>
      <c r="P1437" s="62">
        <v>657.8</v>
      </c>
      <c r="Q1437" s="63">
        <v>20</v>
      </c>
      <c r="R1437" s="62">
        <v>131.56</v>
      </c>
      <c r="S1437" s="61">
        <v>0</v>
      </c>
      <c r="T1437" s="62">
        <v>0</v>
      </c>
    </row>
    <row r="1438" spans="1:20" ht="11.85" customHeight="1" x14ac:dyDescent="0.25">
      <c r="A1438" s="71" t="s">
        <v>620</v>
      </c>
      <c r="B1438" s="71"/>
      <c r="C1438" s="71"/>
      <c r="D1438" s="71"/>
      <c r="E1438" s="71"/>
      <c r="F1438" s="71"/>
      <c r="G1438" s="71"/>
      <c r="H1438" s="71"/>
    </row>
    <row r="1439" spans="1:20" ht="11.1" customHeight="1" x14ac:dyDescent="0.25">
      <c r="O1439" s="59" t="s">
        <v>313</v>
      </c>
      <c r="P1439" s="62">
        <v>657.8</v>
      </c>
      <c r="R1439" s="62">
        <v>131.56</v>
      </c>
      <c r="S1439" s="61">
        <v>0</v>
      </c>
      <c r="T1439" s="62">
        <v>0</v>
      </c>
    </row>
    <row r="1440" spans="1:20" ht="11.1" customHeight="1" x14ac:dyDescent="0.25">
      <c r="A1440" s="56">
        <v>108541</v>
      </c>
      <c r="B1440" s="72">
        <v>46028</v>
      </c>
      <c r="C1440" s="68">
        <v>46028</v>
      </c>
      <c r="D1440" s="58" t="s">
        <v>1454</v>
      </c>
      <c r="E1440" s="59" t="s">
        <v>352</v>
      </c>
      <c r="F1440" s="56">
        <v>36</v>
      </c>
      <c r="G1440" s="73">
        <v>77</v>
      </c>
      <c r="H1440" s="74" t="s">
        <v>1455</v>
      </c>
      <c r="I1440" s="59" t="s">
        <v>1456</v>
      </c>
      <c r="J1440" s="59" t="s">
        <v>1457</v>
      </c>
      <c r="K1440" s="69">
        <v>6403</v>
      </c>
      <c r="L1440" s="56">
        <v>207</v>
      </c>
      <c r="M1440" s="59" t="s">
        <v>34</v>
      </c>
      <c r="N1440" s="61">
        <v>2549.77</v>
      </c>
      <c r="O1440" s="59" t="s">
        <v>313</v>
      </c>
      <c r="P1440" s="62">
        <v>2213.4</v>
      </c>
      <c r="Q1440" s="63">
        <v>12</v>
      </c>
      <c r="R1440" s="62">
        <v>265.60000000000002</v>
      </c>
      <c r="S1440" s="61">
        <v>0</v>
      </c>
      <c r="T1440" s="62">
        <v>336.37</v>
      </c>
    </row>
    <row r="1441" spans="1:20" ht="11.1" customHeight="1" x14ac:dyDescent="0.25">
      <c r="O1441" s="59" t="s">
        <v>436</v>
      </c>
      <c r="P1441" s="62">
        <v>3168.26</v>
      </c>
      <c r="Q1441" s="63">
        <v>19</v>
      </c>
      <c r="R1441" s="62">
        <v>336.37</v>
      </c>
      <c r="S1441" s="61">
        <v>0</v>
      </c>
      <c r="T1441" s="62">
        <v>0</v>
      </c>
    </row>
    <row r="1442" spans="1:20" ht="11.1" customHeight="1" x14ac:dyDescent="0.25">
      <c r="A1442" s="56">
        <v>108542</v>
      </c>
      <c r="B1442" s="72">
        <v>46028</v>
      </c>
      <c r="C1442" s="68">
        <v>46028</v>
      </c>
      <c r="D1442" s="58" t="s">
        <v>1454</v>
      </c>
      <c r="E1442" s="59" t="s">
        <v>352</v>
      </c>
      <c r="F1442" s="56">
        <v>36</v>
      </c>
      <c r="G1442" s="73">
        <v>77</v>
      </c>
      <c r="H1442" s="74" t="s">
        <v>1455</v>
      </c>
      <c r="I1442" s="59" t="s">
        <v>1456</v>
      </c>
      <c r="J1442" s="59" t="s">
        <v>1457</v>
      </c>
      <c r="K1442" s="69">
        <v>6102</v>
      </c>
      <c r="L1442" s="56">
        <v>238</v>
      </c>
      <c r="M1442" s="59" t="s">
        <v>34</v>
      </c>
      <c r="N1442" s="61">
        <v>389.14</v>
      </c>
      <c r="O1442" s="59" t="s">
        <v>313</v>
      </c>
      <c r="P1442" s="62">
        <v>389.14</v>
      </c>
      <c r="Q1442" s="63">
        <v>12</v>
      </c>
      <c r="R1442" s="62">
        <v>46.7</v>
      </c>
      <c r="S1442" s="61">
        <v>0</v>
      </c>
      <c r="T1442" s="62">
        <v>0</v>
      </c>
    </row>
    <row r="1443" spans="1:20" ht="11.85" customHeight="1" x14ac:dyDescent="0.25">
      <c r="A1443" s="71" t="s">
        <v>620</v>
      </c>
      <c r="B1443" s="71"/>
      <c r="C1443" s="71"/>
      <c r="D1443" s="71"/>
      <c r="E1443" s="71"/>
      <c r="F1443" s="71"/>
      <c r="G1443" s="71"/>
      <c r="H1443" s="71"/>
    </row>
    <row r="1444" spans="1:20" ht="11.1" customHeight="1" x14ac:dyDescent="0.25">
      <c r="O1444" s="59" t="s">
        <v>313</v>
      </c>
      <c r="P1444" s="62">
        <v>2602.54</v>
      </c>
      <c r="R1444" s="62">
        <v>312.3</v>
      </c>
      <c r="S1444" s="61">
        <v>0</v>
      </c>
      <c r="T1444" s="62">
        <v>336.37</v>
      </c>
    </row>
    <row r="1445" spans="1:20" ht="11.1" customHeight="1" x14ac:dyDescent="0.25">
      <c r="O1445" s="59" t="s">
        <v>436</v>
      </c>
      <c r="P1445" s="62">
        <v>3168.26</v>
      </c>
      <c r="R1445" s="62">
        <v>336.37</v>
      </c>
      <c r="S1445" s="61">
        <v>0</v>
      </c>
      <c r="T1445" s="62">
        <v>0</v>
      </c>
    </row>
    <row r="1446" spans="1:20" ht="11.1" customHeight="1" x14ac:dyDescent="0.25">
      <c r="A1446" s="56">
        <v>109060</v>
      </c>
      <c r="B1446" s="72">
        <v>46038</v>
      </c>
      <c r="C1446" s="68">
        <v>46038</v>
      </c>
      <c r="D1446" s="58" t="s">
        <v>1458</v>
      </c>
      <c r="E1446" s="59" t="s">
        <v>352</v>
      </c>
      <c r="F1446" s="56">
        <v>36</v>
      </c>
      <c r="G1446" s="73">
        <v>820</v>
      </c>
      <c r="H1446" s="74" t="s">
        <v>1459</v>
      </c>
      <c r="I1446" s="59" t="s">
        <v>1460</v>
      </c>
      <c r="J1446" s="59" t="s">
        <v>1461</v>
      </c>
      <c r="K1446" s="69">
        <v>5102</v>
      </c>
      <c r="L1446" s="56">
        <v>205</v>
      </c>
      <c r="M1446" s="59" t="s">
        <v>26</v>
      </c>
      <c r="N1446" s="61">
        <v>356.69</v>
      </c>
      <c r="O1446" s="59" t="s">
        <v>313</v>
      </c>
      <c r="P1446" s="62">
        <v>356.69</v>
      </c>
      <c r="Q1446" s="63">
        <v>20</v>
      </c>
      <c r="R1446" s="62">
        <v>71.34</v>
      </c>
      <c r="S1446" s="61">
        <v>0</v>
      </c>
      <c r="T1446" s="62">
        <v>0</v>
      </c>
    </row>
    <row r="1447" spans="1:20" ht="11.1" customHeight="1" x14ac:dyDescent="0.25">
      <c r="A1447" s="56">
        <v>109061</v>
      </c>
      <c r="B1447" s="72">
        <v>46038</v>
      </c>
      <c r="C1447" s="68">
        <v>46038</v>
      </c>
      <c r="D1447" s="58" t="s">
        <v>1458</v>
      </c>
      <c r="E1447" s="59" t="s">
        <v>352</v>
      </c>
      <c r="F1447" s="56">
        <v>36</v>
      </c>
      <c r="G1447" s="73">
        <v>820</v>
      </c>
      <c r="H1447" s="74" t="s">
        <v>1459</v>
      </c>
      <c r="I1447" s="59" t="s">
        <v>1460</v>
      </c>
      <c r="J1447" s="59" t="s">
        <v>1461</v>
      </c>
      <c r="K1447" s="69">
        <v>5403</v>
      </c>
      <c r="L1447" s="56">
        <v>207</v>
      </c>
      <c r="M1447" s="59" t="s">
        <v>26</v>
      </c>
      <c r="N1447" s="61">
        <v>429.41</v>
      </c>
      <c r="O1447" s="59" t="s">
        <v>313</v>
      </c>
      <c r="P1447" s="62">
        <v>401.32</v>
      </c>
      <c r="Q1447" s="63">
        <v>20</v>
      </c>
      <c r="R1447" s="62">
        <v>80.27</v>
      </c>
      <c r="S1447" s="61">
        <v>0</v>
      </c>
      <c r="T1447" s="62">
        <v>28.09</v>
      </c>
    </row>
    <row r="1448" spans="1:20" ht="11.1" customHeight="1" x14ac:dyDescent="0.25">
      <c r="O1448" s="59" t="s">
        <v>436</v>
      </c>
      <c r="P1448" s="62">
        <v>541.78</v>
      </c>
      <c r="Q1448" s="63">
        <v>20</v>
      </c>
      <c r="R1448" s="62">
        <v>28.09</v>
      </c>
      <c r="S1448" s="61">
        <v>0</v>
      </c>
      <c r="T1448" s="62">
        <v>0</v>
      </c>
    </row>
    <row r="1449" spans="1:20" ht="11.85" customHeight="1" x14ac:dyDescent="0.25">
      <c r="A1449" s="71" t="s">
        <v>620</v>
      </c>
      <c r="B1449" s="71"/>
      <c r="C1449" s="71"/>
      <c r="D1449" s="71"/>
      <c r="E1449" s="71"/>
      <c r="F1449" s="71"/>
      <c r="G1449" s="71"/>
      <c r="H1449" s="71"/>
    </row>
    <row r="1450" spans="1:20" ht="11.1" customHeight="1" x14ac:dyDescent="0.25">
      <c r="O1450" s="59" t="s">
        <v>313</v>
      </c>
      <c r="P1450" s="62">
        <v>758.01</v>
      </c>
      <c r="R1450" s="62">
        <v>151.61000000000001</v>
      </c>
      <c r="S1450" s="61">
        <v>0</v>
      </c>
      <c r="T1450" s="62">
        <v>28.09</v>
      </c>
    </row>
    <row r="1451" spans="1:20" ht="11.1" customHeight="1" x14ac:dyDescent="0.25">
      <c r="O1451" s="59" t="s">
        <v>436</v>
      </c>
      <c r="P1451" s="62">
        <v>541.78</v>
      </c>
      <c r="R1451" s="62">
        <v>28.09</v>
      </c>
      <c r="S1451" s="61">
        <v>0</v>
      </c>
      <c r="T1451" s="62">
        <v>0</v>
      </c>
    </row>
    <row r="1452" spans="1:20" ht="11.1" customHeight="1" x14ac:dyDescent="0.25">
      <c r="A1452" s="56">
        <v>108593</v>
      </c>
      <c r="B1452" s="72">
        <v>46029</v>
      </c>
      <c r="C1452" s="68">
        <v>46029</v>
      </c>
      <c r="D1452" s="58" t="s">
        <v>1462</v>
      </c>
      <c r="E1452" s="59" t="s">
        <v>352</v>
      </c>
      <c r="F1452" s="56">
        <v>36</v>
      </c>
      <c r="G1452" s="73">
        <v>912</v>
      </c>
      <c r="H1452" s="74" t="s">
        <v>1463</v>
      </c>
      <c r="I1452" s="59" t="s">
        <v>1464</v>
      </c>
      <c r="J1452" s="59" t="s">
        <v>1465</v>
      </c>
      <c r="K1452" s="69">
        <v>5102</v>
      </c>
      <c r="L1452" s="56">
        <v>205</v>
      </c>
      <c r="M1452" s="59" t="s">
        <v>26</v>
      </c>
      <c r="N1452" s="61">
        <v>52.28</v>
      </c>
      <c r="O1452" s="59" t="s">
        <v>313</v>
      </c>
      <c r="P1452" s="62">
        <v>52.28</v>
      </c>
      <c r="Q1452" s="63">
        <v>20</v>
      </c>
      <c r="R1452" s="62">
        <v>10.46</v>
      </c>
      <c r="S1452" s="61">
        <v>0</v>
      </c>
      <c r="T1452" s="62">
        <v>0</v>
      </c>
    </row>
    <row r="1453" spans="1:20" ht="11.85" customHeight="1" x14ac:dyDescent="0.25">
      <c r="A1453" s="71" t="s">
        <v>620</v>
      </c>
      <c r="B1453" s="71"/>
      <c r="C1453" s="71"/>
      <c r="D1453" s="71"/>
      <c r="E1453" s="71"/>
      <c r="F1453" s="71"/>
      <c r="G1453" s="71"/>
      <c r="H1453" s="71"/>
    </row>
    <row r="1454" spans="1:20" ht="11.1" customHeight="1" x14ac:dyDescent="0.25">
      <c r="O1454" s="59" t="s">
        <v>313</v>
      </c>
      <c r="P1454" s="62">
        <v>52.28</v>
      </c>
      <c r="R1454" s="62">
        <v>10.46</v>
      </c>
      <c r="S1454" s="61">
        <v>0</v>
      </c>
      <c r="T1454" s="62">
        <v>0</v>
      </c>
    </row>
    <row r="1455" spans="1:20" ht="11.1" customHeight="1" x14ac:dyDescent="0.25">
      <c r="A1455" s="56">
        <v>108443</v>
      </c>
      <c r="B1455" s="72">
        <v>46027</v>
      </c>
      <c r="C1455" s="68">
        <v>46027</v>
      </c>
      <c r="D1455" s="58" t="s">
        <v>1466</v>
      </c>
      <c r="E1455" s="59" t="s">
        <v>352</v>
      </c>
      <c r="F1455" s="56">
        <v>36</v>
      </c>
      <c r="G1455" s="73">
        <v>364</v>
      </c>
      <c r="H1455" s="74" t="s">
        <v>1467</v>
      </c>
      <c r="I1455" s="59" t="s">
        <v>1468</v>
      </c>
      <c r="J1455" s="59" t="s">
        <v>1469</v>
      </c>
      <c r="K1455" s="69">
        <v>5403</v>
      </c>
      <c r="L1455" s="56">
        <v>207</v>
      </c>
      <c r="M1455" s="59" t="s">
        <v>26</v>
      </c>
      <c r="N1455" s="61">
        <v>255.61</v>
      </c>
      <c r="O1455" s="59" t="s">
        <v>313</v>
      </c>
      <c r="P1455" s="62">
        <v>238.89</v>
      </c>
      <c r="Q1455" s="63">
        <v>20</v>
      </c>
      <c r="R1455" s="62">
        <v>47.78</v>
      </c>
      <c r="S1455" s="61">
        <v>0</v>
      </c>
      <c r="T1455" s="62">
        <v>16.72</v>
      </c>
    </row>
    <row r="1456" spans="1:20" ht="11.1" customHeight="1" x14ac:dyDescent="0.25">
      <c r="O1456" s="59" t="s">
        <v>436</v>
      </c>
      <c r="P1456" s="62">
        <v>322.5</v>
      </c>
      <c r="Q1456" s="63">
        <v>20</v>
      </c>
      <c r="R1456" s="62">
        <v>16.72</v>
      </c>
      <c r="S1456" s="61">
        <v>0</v>
      </c>
      <c r="T1456" s="62">
        <v>0</v>
      </c>
    </row>
    <row r="1457" spans="1:20" ht="11.1" customHeight="1" x14ac:dyDescent="0.25">
      <c r="A1457" s="56">
        <v>108580</v>
      </c>
      <c r="B1457" s="72">
        <v>46029</v>
      </c>
      <c r="C1457" s="68">
        <v>46029</v>
      </c>
      <c r="D1457" s="58" t="s">
        <v>1470</v>
      </c>
      <c r="E1457" s="59" t="s">
        <v>352</v>
      </c>
      <c r="F1457" s="56">
        <v>36</v>
      </c>
      <c r="G1457" s="73">
        <v>364</v>
      </c>
      <c r="H1457" s="74" t="s">
        <v>1467</v>
      </c>
      <c r="I1457" s="59" t="s">
        <v>1468</v>
      </c>
      <c r="J1457" s="59" t="s">
        <v>1469</v>
      </c>
      <c r="K1457" s="69">
        <v>5403</v>
      </c>
      <c r="L1457" s="56">
        <v>207</v>
      </c>
      <c r="M1457" s="59" t="s">
        <v>26</v>
      </c>
      <c r="N1457" s="61">
        <v>4607.1499999999996</v>
      </c>
      <c r="O1457" s="59" t="s">
        <v>313</v>
      </c>
      <c r="P1457" s="62">
        <v>4305.75</v>
      </c>
      <c r="Q1457" s="63">
        <v>20</v>
      </c>
      <c r="R1457" s="62">
        <v>861.15</v>
      </c>
      <c r="S1457" s="61">
        <v>0</v>
      </c>
      <c r="T1457" s="62">
        <v>301.39999999999998</v>
      </c>
    </row>
    <row r="1458" spans="1:20" ht="11.1" customHeight="1" x14ac:dyDescent="0.25">
      <c r="O1458" s="59" t="s">
        <v>436</v>
      </c>
      <c r="P1458" s="62">
        <v>5812.76</v>
      </c>
      <c r="Q1458" s="63">
        <v>20</v>
      </c>
      <c r="R1458" s="62">
        <v>301.39999999999998</v>
      </c>
      <c r="S1458" s="61">
        <v>0</v>
      </c>
      <c r="T1458" s="62">
        <v>0</v>
      </c>
    </row>
    <row r="1459" spans="1:20" ht="11.1" customHeight="1" x14ac:dyDescent="0.25">
      <c r="A1459" s="56">
        <v>108785</v>
      </c>
      <c r="B1459" s="72">
        <v>46034</v>
      </c>
      <c r="C1459" s="68">
        <v>46034</v>
      </c>
      <c r="D1459" s="58" t="s">
        <v>1471</v>
      </c>
      <c r="E1459" s="59" t="s">
        <v>352</v>
      </c>
      <c r="F1459" s="56">
        <v>36</v>
      </c>
      <c r="G1459" s="73">
        <v>364</v>
      </c>
      <c r="H1459" s="74" t="s">
        <v>1467</v>
      </c>
      <c r="I1459" s="59" t="s">
        <v>1468</v>
      </c>
      <c r="J1459" s="59" t="s">
        <v>1469</v>
      </c>
      <c r="K1459" s="69">
        <v>5403</v>
      </c>
      <c r="L1459" s="56">
        <v>207</v>
      </c>
      <c r="M1459" s="59" t="s">
        <v>26</v>
      </c>
      <c r="N1459" s="61">
        <v>1474.29</v>
      </c>
      <c r="O1459" s="59" t="s">
        <v>313</v>
      </c>
      <c r="P1459" s="62">
        <v>1377.84</v>
      </c>
      <c r="Q1459" s="63">
        <v>20</v>
      </c>
      <c r="R1459" s="62">
        <v>275.57</v>
      </c>
      <c r="S1459" s="61">
        <v>0</v>
      </c>
      <c r="T1459" s="62">
        <v>96.45</v>
      </c>
    </row>
    <row r="1460" spans="1:20" ht="11.1" customHeight="1" x14ac:dyDescent="0.25">
      <c r="O1460" s="59" t="s">
        <v>436</v>
      </c>
      <c r="P1460" s="62">
        <v>1860.08</v>
      </c>
      <c r="Q1460" s="63">
        <v>20</v>
      </c>
      <c r="R1460" s="62">
        <v>96.45</v>
      </c>
      <c r="S1460" s="61">
        <v>0</v>
      </c>
      <c r="T1460" s="62">
        <v>0</v>
      </c>
    </row>
    <row r="1461" spans="1:20" ht="11.1" customHeight="1" x14ac:dyDescent="0.25">
      <c r="A1461" s="56">
        <v>109053</v>
      </c>
      <c r="B1461" s="72">
        <v>46038</v>
      </c>
      <c r="C1461" s="68">
        <v>46038</v>
      </c>
      <c r="D1461" s="58" t="s">
        <v>1472</v>
      </c>
      <c r="E1461" s="59" t="s">
        <v>352</v>
      </c>
      <c r="F1461" s="56">
        <v>36</v>
      </c>
      <c r="G1461" s="73">
        <v>364</v>
      </c>
      <c r="H1461" s="74" t="s">
        <v>1467</v>
      </c>
      <c r="I1461" s="59" t="s">
        <v>1468</v>
      </c>
      <c r="J1461" s="59" t="s">
        <v>1469</v>
      </c>
      <c r="K1461" s="69">
        <v>5403</v>
      </c>
      <c r="L1461" s="56">
        <v>207</v>
      </c>
      <c r="M1461" s="59" t="s">
        <v>26</v>
      </c>
      <c r="N1461" s="61">
        <v>3186.39</v>
      </c>
      <c r="O1461" s="59" t="s">
        <v>313</v>
      </c>
      <c r="P1461" s="62">
        <v>2977.9</v>
      </c>
      <c r="Q1461" s="63">
        <v>20</v>
      </c>
      <c r="R1461" s="62">
        <v>595.55999999999995</v>
      </c>
      <c r="S1461" s="61">
        <v>0</v>
      </c>
      <c r="T1461" s="62">
        <v>208.49</v>
      </c>
    </row>
    <row r="1462" spans="1:20" ht="11.1" customHeight="1" x14ac:dyDescent="0.25">
      <c r="O1462" s="59" t="s">
        <v>436</v>
      </c>
      <c r="P1462" s="62">
        <v>4020.16</v>
      </c>
      <c r="Q1462" s="63">
        <v>20</v>
      </c>
      <c r="R1462" s="62">
        <v>208.49</v>
      </c>
      <c r="S1462" s="61">
        <v>0</v>
      </c>
      <c r="T1462" s="62">
        <v>0</v>
      </c>
    </row>
    <row r="1463" spans="1:20" ht="11.1" customHeight="1" x14ac:dyDescent="0.25">
      <c r="A1463" s="56">
        <v>109565</v>
      </c>
      <c r="B1463" s="72">
        <v>46050</v>
      </c>
      <c r="C1463" s="68">
        <v>46050</v>
      </c>
      <c r="D1463" s="58" t="s">
        <v>1473</v>
      </c>
      <c r="E1463" s="59" t="s">
        <v>352</v>
      </c>
      <c r="F1463" s="56">
        <v>36</v>
      </c>
      <c r="G1463" s="73">
        <v>364</v>
      </c>
      <c r="H1463" s="74" t="s">
        <v>1467</v>
      </c>
      <c r="I1463" s="59" t="s">
        <v>1468</v>
      </c>
      <c r="J1463" s="59" t="s">
        <v>1469</v>
      </c>
      <c r="K1463" s="69">
        <v>5403</v>
      </c>
      <c r="L1463" s="56">
        <v>207</v>
      </c>
      <c r="M1463" s="59" t="s">
        <v>26</v>
      </c>
      <c r="N1463" s="61">
        <v>375.29</v>
      </c>
      <c r="O1463" s="59" t="s">
        <v>313</v>
      </c>
      <c r="P1463" s="62">
        <v>350.74</v>
      </c>
      <c r="Q1463" s="63">
        <v>20</v>
      </c>
      <c r="R1463" s="62">
        <v>70.150000000000006</v>
      </c>
      <c r="S1463" s="61">
        <v>0</v>
      </c>
      <c r="T1463" s="62">
        <v>24.55</v>
      </c>
    </row>
    <row r="1464" spans="1:20" ht="11.1" customHeight="1" x14ac:dyDescent="0.25">
      <c r="O1464" s="59" t="s">
        <v>436</v>
      </c>
      <c r="P1464" s="62">
        <v>473.5</v>
      </c>
      <c r="Q1464" s="63">
        <v>20</v>
      </c>
      <c r="R1464" s="62">
        <v>24.55</v>
      </c>
      <c r="S1464" s="61">
        <v>0</v>
      </c>
      <c r="T1464" s="62">
        <v>0</v>
      </c>
    </row>
    <row r="1465" spans="1:20" ht="11.85" customHeight="1" x14ac:dyDescent="0.25">
      <c r="A1465" s="71" t="s">
        <v>620</v>
      </c>
      <c r="B1465" s="71"/>
      <c r="C1465" s="71"/>
      <c r="D1465" s="71"/>
      <c r="E1465" s="71"/>
      <c r="F1465" s="71"/>
      <c r="G1465" s="71"/>
      <c r="H1465" s="71"/>
    </row>
    <row r="1466" spans="1:20" ht="11.1" customHeight="1" x14ac:dyDescent="0.25">
      <c r="O1466" s="59" t="s">
        <v>313</v>
      </c>
      <c r="P1466" s="62">
        <v>9251.1200000000008</v>
      </c>
      <c r="R1466" s="62">
        <v>1850.21</v>
      </c>
      <c r="S1466" s="61">
        <v>0</v>
      </c>
      <c r="T1466" s="62">
        <v>647.61</v>
      </c>
    </row>
    <row r="1467" spans="1:20" ht="11.1" customHeight="1" x14ac:dyDescent="0.25">
      <c r="O1467" s="59" t="s">
        <v>436</v>
      </c>
      <c r="P1467" s="62">
        <v>12489</v>
      </c>
      <c r="R1467" s="62">
        <v>647.61</v>
      </c>
      <c r="S1467" s="61">
        <v>0</v>
      </c>
      <c r="T1467" s="62">
        <v>0</v>
      </c>
    </row>
    <row r="1468" spans="1:20" ht="11.1" customHeight="1" x14ac:dyDescent="0.25">
      <c r="A1468" s="56">
        <v>109160</v>
      </c>
      <c r="B1468" s="72">
        <v>46042</v>
      </c>
      <c r="C1468" s="68">
        <v>46042</v>
      </c>
      <c r="D1468" s="58" t="s">
        <v>1474</v>
      </c>
      <c r="E1468" s="59" t="s">
        <v>352</v>
      </c>
      <c r="F1468" s="56">
        <v>36</v>
      </c>
      <c r="G1468" s="73">
        <v>317</v>
      </c>
      <c r="H1468" s="74" t="s">
        <v>1475</v>
      </c>
      <c r="I1468" s="59" t="s">
        <v>1476</v>
      </c>
      <c r="J1468" s="59" t="s">
        <v>1477</v>
      </c>
      <c r="K1468" s="69">
        <v>6403</v>
      </c>
      <c r="L1468" s="56">
        <v>207</v>
      </c>
      <c r="M1468" s="59" t="s">
        <v>34</v>
      </c>
      <c r="N1468" s="61">
        <v>1064.3499999999999</v>
      </c>
      <c r="O1468" s="59" t="s">
        <v>313</v>
      </c>
      <c r="P1468" s="62">
        <v>923.94</v>
      </c>
      <c r="Q1468" s="63">
        <v>12</v>
      </c>
      <c r="R1468" s="62">
        <v>110.87</v>
      </c>
      <c r="S1468" s="61">
        <v>0</v>
      </c>
      <c r="T1468" s="62">
        <v>140.41</v>
      </c>
    </row>
    <row r="1469" spans="1:20" ht="11.1" customHeight="1" x14ac:dyDescent="0.25">
      <c r="O1469" s="59" t="s">
        <v>436</v>
      </c>
      <c r="P1469" s="62">
        <v>1322.53</v>
      </c>
      <c r="Q1469" s="63">
        <v>19</v>
      </c>
      <c r="R1469" s="62">
        <v>140.41</v>
      </c>
      <c r="S1469" s="61">
        <v>0</v>
      </c>
      <c r="T1469" s="62">
        <v>0</v>
      </c>
    </row>
    <row r="1470" spans="1:20" ht="11.1" customHeight="1" x14ac:dyDescent="0.25">
      <c r="A1470" s="56">
        <v>109161</v>
      </c>
      <c r="B1470" s="72">
        <v>46042</v>
      </c>
      <c r="C1470" s="68">
        <v>46042</v>
      </c>
      <c r="D1470" s="58" t="s">
        <v>1474</v>
      </c>
      <c r="E1470" s="59" t="s">
        <v>352</v>
      </c>
      <c r="F1470" s="56">
        <v>36</v>
      </c>
      <c r="G1470" s="73">
        <v>317</v>
      </c>
      <c r="H1470" s="74" t="s">
        <v>1475</v>
      </c>
      <c r="I1470" s="59" t="s">
        <v>1476</v>
      </c>
      <c r="J1470" s="59" t="s">
        <v>1477</v>
      </c>
      <c r="K1470" s="69">
        <v>6102</v>
      </c>
      <c r="L1470" s="56">
        <v>238</v>
      </c>
      <c r="M1470" s="59" t="s">
        <v>34</v>
      </c>
      <c r="N1470" s="61">
        <v>5137.7</v>
      </c>
      <c r="O1470" s="59" t="s">
        <v>313</v>
      </c>
      <c r="P1470" s="62">
        <v>5137.7</v>
      </c>
      <c r="Q1470" s="63">
        <v>12</v>
      </c>
      <c r="R1470" s="62">
        <v>616.52</v>
      </c>
      <c r="S1470" s="61">
        <v>0</v>
      </c>
      <c r="T1470" s="62">
        <v>0</v>
      </c>
    </row>
    <row r="1471" spans="1:20" ht="11.85" customHeight="1" x14ac:dyDescent="0.25">
      <c r="A1471" s="71" t="s">
        <v>620</v>
      </c>
      <c r="B1471" s="71"/>
      <c r="C1471" s="71"/>
      <c r="D1471" s="71"/>
      <c r="E1471" s="71"/>
      <c r="F1471" s="71"/>
      <c r="G1471" s="71"/>
      <c r="H1471" s="71"/>
    </row>
    <row r="1472" spans="1:20" ht="11.1" customHeight="1" x14ac:dyDescent="0.25">
      <c r="O1472" s="59" t="s">
        <v>313</v>
      </c>
      <c r="P1472" s="62">
        <v>6061.64</v>
      </c>
      <c r="R1472" s="62">
        <v>727.39</v>
      </c>
      <c r="S1472" s="61">
        <v>0</v>
      </c>
      <c r="T1472" s="62">
        <v>140.41</v>
      </c>
    </row>
    <row r="1473" spans="1:20" ht="11.1" customHeight="1" x14ac:dyDescent="0.25">
      <c r="O1473" s="59" t="s">
        <v>436</v>
      </c>
      <c r="P1473" s="62">
        <v>1322.53</v>
      </c>
      <c r="R1473" s="62">
        <v>140.41</v>
      </c>
      <c r="S1473" s="61">
        <v>0</v>
      </c>
      <c r="T1473" s="62">
        <v>0</v>
      </c>
    </row>
    <row r="1474" spans="1:20" ht="11.1" customHeight="1" x14ac:dyDescent="0.25">
      <c r="A1474" s="56">
        <v>108453</v>
      </c>
      <c r="B1474" s="72">
        <v>46027</v>
      </c>
      <c r="C1474" s="68">
        <v>46027</v>
      </c>
      <c r="D1474" s="58" t="s">
        <v>1478</v>
      </c>
      <c r="E1474" s="59" t="s">
        <v>352</v>
      </c>
      <c r="F1474" s="56">
        <v>36</v>
      </c>
      <c r="G1474" s="73">
        <v>659</v>
      </c>
      <c r="H1474" s="74" t="s">
        <v>1479</v>
      </c>
      <c r="I1474" s="59" t="s">
        <v>1480</v>
      </c>
      <c r="J1474" s="59" t="s">
        <v>1481</v>
      </c>
      <c r="K1474" s="69">
        <v>6403</v>
      </c>
      <c r="L1474" s="56">
        <v>207</v>
      </c>
      <c r="M1474" s="59" t="s">
        <v>34</v>
      </c>
      <c r="N1474" s="61">
        <v>563.45000000000005</v>
      </c>
      <c r="O1474" s="59" t="s">
        <v>313</v>
      </c>
      <c r="P1474" s="62">
        <v>489.12</v>
      </c>
      <c r="Q1474" s="63">
        <v>12</v>
      </c>
      <c r="R1474" s="62">
        <v>58.69</v>
      </c>
      <c r="S1474" s="61">
        <v>0</v>
      </c>
      <c r="T1474" s="62">
        <v>74.33</v>
      </c>
    </row>
    <row r="1475" spans="1:20" ht="11.1" customHeight="1" x14ac:dyDescent="0.25">
      <c r="O1475" s="59" t="s">
        <v>436</v>
      </c>
      <c r="P1475" s="62">
        <v>700.13</v>
      </c>
      <c r="Q1475" s="63">
        <v>19</v>
      </c>
      <c r="R1475" s="62">
        <v>74.33</v>
      </c>
      <c r="S1475" s="61">
        <v>0</v>
      </c>
      <c r="T1475" s="62">
        <v>0</v>
      </c>
    </row>
    <row r="1476" spans="1:20" ht="11.85" customHeight="1" x14ac:dyDescent="0.25">
      <c r="A1476" s="71" t="s">
        <v>620</v>
      </c>
      <c r="B1476" s="71"/>
      <c r="C1476" s="71"/>
      <c r="D1476" s="71"/>
      <c r="E1476" s="71"/>
      <c r="F1476" s="71"/>
      <c r="G1476" s="71"/>
      <c r="H1476" s="71"/>
    </row>
    <row r="1477" spans="1:20" ht="11.1" customHeight="1" x14ac:dyDescent="0.25">
      <c r="O1477" s="59" t="s">
        <v>313</v>
      </c>
      <c r="P1477" s="62">
        <v>489.12</v>
      </c>
      <c r="R1477" s="62">
        <v>58.69</v>
      </c>
      <c r="S1477" s="61">
        <v>0</v>
      </c>
      <c r="T1477" s="62">
        <v>74.33</v>
      </c>
    </row>
    <row r="1478" spans="1:20" ht="11.1" customHeight="1" x14ac:dyDescent="0.25">
      <c r="O1478" s="59" t="s">
        <v>436</v>
      </c>
      <c r="P1478" s="62">
        <v>700.13</v>
      </c>
      <c r="R1478" s="62">
        <v>74.33</v>
      </c>
      <c r="S1478" s="61">
        <v>0</v>
      </c>
      <c r="T1478" s="62">
        <v>0</v>
      </c>
    </row>
    <row r="1479" spans="1:20" ht="11.1" customHeight="1" x14ac:dyDescent="0.25">
      <c r="A1479" s="56">
        <v>109590</v>
      </c>
      <c r="B1479" s="72">
        <v>46050</v>
      </c>
      <c r="C1479" s="68">
        <v>46050</v>
      </c>
      <c r="D1479" s="58" t="s">
        <v>1482</v>
      </c>
      <c r="E1479" s="59" t="s">
        <v>352</v>
      </c>
      <c r="F1479" s="56">
        <v>36</v>
      </c>
      <c r="G1479" s="73">
        <v>928</v>
      </c>
      <c r="H1479" s="74" t="s">
        <v>1483</v>
      </c>
      <c r="I1479" s="59" t="s">
        <v>1484</v>
      </c>
      <c r="J1479" s="59" t="s">
        <v>1485</v>
      </c>
      <c r="K1479" s="69">
        <v>5102</v>
      </c>
      <c r="L1479" s="56">
        <v>205</v>
      </c>
      <c r="M1479" s="59" t="s">
        <v>26</v>
      </c>
      <c r="N1479" s="61">
        <v>1048.8900000000001</v>
      </c>
      <c r="O1479" s="59" t="s">
        <v>313</v>
      </c>
      <c r="P1479" s="62">
        <v>1048.8900000000001</v>
      </c>
      <c r="Q1479" s="63">
        <v>20</v>
      </c>
      <c r="R1479" s="62">
        <v>209.79</v>
      </c>
      <c r="S1479" s="61">
        <v>0</v>
      </c>
      <c r="T1479" s="62">
        <v>0</v>
      </c>
    </row>
    <row r="1480" spans="1:20" ht="11.1" customHeight="1" x14ac:dyDescent="0.25">
      <c r="A1480" s="56">
        <v>109591</v>
      </c>
      <c r="B1480" s="72">
        <v>46050</v>
      </c>
      <c r="C1480" s="68">
        <v>46050</v>
      </c>
      <c r="D1480" s="58" t="s">
        <v>1482</v>
      </c>
      <c r="E1480" s="59" t="s">
        <v>352</v>
      </c>
      <c r="F1480" s="56">
        <v>36</v>
      </c>
      <c r="G1480" s="73">
        <v>928</v>
      </c>
      <c r="H1480" s="74" t="s">
        <v>1483</v>
      </c>
      <c r="I1480" s="59" t="s">
        <v>1484</v>
      </c>
      <c r="J1480" s="59" t="s">
        <v>1485</v>
      </c>
      <c r="K1480" s="69">
        <v>5403</v>
      </c>
      <c r="L1480" s="56">
        <v>207</v>
      </c>
      <c r="M1480" s="59" t="s">
        <v>26</v>
      </c>
      <c r="N1480" s="61">
        <v>360.37</v>
      </c>
      <c r="O1480" s="59" t="s">
        <v>313</v>
      </c>
      <c r="P1480" s="62">
        <v>336.79</v>
      </c>
      <c r="Q1480" s="63">
        <v>20</v>
      </c>
      <c r="R1480" s="62">
        <v>67.349999999999994</v>
      </c>
      <c r="S1480" s="61">
        <v>0</v>
      </c>
      <c r="T1480" s="62">
        <v>23.58</v>
      </c>
    </row>
    <row r="1481" spans="1:20" ht="11.1" customHeight="1" x14ac:dyDescent="0.25">
      <c r="O1481" s="59" t="s">
        <v>436</v>
      </c>
      <c r="P1481" s="62">
        <v>454.67</v>
      </c>
      <c r="Q1481" s="63">
        <v>20</v>
      </c>
      <c r="R1481" s="62">
        <v>23.58</v>
      </c>
      <c r="S1481" s="61">
        <v>0</v>
      </c>
      <c r="T1481" s="62">
        <v>0</v>
      </c>
    </row>
    <row r="1482" spans="1:20" ht="11.85" customHeight="1" x14ac:dyDescent="0.25">
      <c r="A1482" s="71" t="s">
        <v>620</v>
      </c>
      <c r="B1482" s="71"/>
      <c r="C1482" s="71"/>
      <c r="D1482" s="71"/>
      <c r="E1482" s="71"/>
      <c r="F1482" s="71"/>
      <c r="G1482" s="71"/>
      <c r="H1482" s="71"/>
    </row>
    <row r="1483" spans="1:20" ht="11.1" customHeight="1" x14ac:dyDescent="0.25">
      <c r="O1483" s="59" t="s">
        <v>313</v>
      </c>
      <c r="P1483" s="62">
        <v>1385.68</v>
      </c>
      <c r="R1483" s="62">
        <v>277.14</v>
      </c>
      <c r="S1483" s="61">
        <v>0</v>
      </c>
      <c r="T1483" s="62">
        <v>23.58</v>
      </c>
    </row>
    <row r="1484" spans="1:20" ht="11.1" customHeight="1" x14ac:dyDescent="0.25">
      <c r="O1484" s="59" t="s">
        <v>436</v>
      </c>
      <c r="P1484" s="62">
        <v>454.67</v>
      </c>
      <c r="R1484" s="62">
        <v>23.58</v>
      </c>
      <c r="S1484" s="61">
        <v>0</v>
      </c>
      <c r="T1484" s="62">
        <v>0</v>
      </c>
    </row>
    <row r="1485" spans="1:20" ht="11.1" customHeight="1" x14ac:dyDescent="0.25">
      <c r="A1485" s="56">
        <v>109587</v>
      </c>
      <c r="B1485" s="72">
        <v>46050</v>
      </c>
      <c r="C1485" s="68">
        <v>46050</v>
      </c>
      <c r="D1485" s="58" t="s">
        <v>1486</v>
      </c>
      <c r="E1485" s="59" t="s">
        <v>352</v>
      </c>
      <c r="F1485" s="56">
        <v>36</v>
      </c>
      <c r="G1485" s="73">
        <v>434</v>
      </c>
      <c r="H1485" s="74" t="s">
        <v>1487</v>
      </c>
      <c r="I1485" s="59" t="s">
        <v>1488</v>
      </c>
      <c r="J1485" s="59" t="s">
        <v>1489</v>
      </c>
      <c r="K1485" s="69">
        <v>5102</v>
      </c>
      <c r="L1485" s="56">
        <v>205</v>
      </c>
      <c r="M1485" s="59" t="s">
        <v>26</v>
      </c>
      <c r="N1485" s="61">
        <v>768.89</v>
      </c>
      <c r="O1485" s="59" t="s">
        <v>313</v>
      </c>
      <c r="P1485" s="62">
        <v>768.89</v>
      </c>
      <c r="Q1485" s="63">
        <v>20</v>
      </c>
      <c r="R1485" s="62">
        <v>153.79</v>
      </c>
      <c r="S1485" s="61">
        <v>0</v>
      </c>
      <c r="T1485" s="62">
        <v>0</v>
      </c>
    </row>
    <row r="1486" spans="1:20" ht="11.85" customHeight="1" x14ac:dyDescent="0.25">
      <c r="A1486" s="71" t="s">
        <v>620</v>
      </c>
      <c r="B1486" s="71"/>
      <c r="C1486" s="71"/>
      <c r="D1486" s="71"/>
      <c r="E1486" s="71"/>
      <c r="F1486" s="71"/>
      <c r="G1486" s="71"/>
      <c r="H1486" s="71"/>
    </row>
    <row r="1487" spans="1:20" ht="11.1" customHeight="1" x14ac:dyDescent="0.25">
      <c r="O1487" s="59" t="s">
        <v>313</v>
      </c>
      <c r="P1487" s="62">
        <v>768.89</v>
      </c>
      <c r="R1487" s="62">
        <v>153.79</v>
      </c>
      <c r="S1487" s="61">
        <v>0</v>
      </c>
      <c r="T1487" s="62">
        <v>0</v>
      </c>
    </row>
    <row r="1488" spans="1:20" ht="11.1" customHeight="1" x14ac:dyDescent="0.25">
      <c r="A1488" s="56">
        <v>108483</v>
      </c>
      <c r="B1488" s="72">
        <v>46028</v>
      </c>
      <c r="C1488" s="68">
        <v>46028</v>
      </c>
      <c r="D1488" s="58" t="s">
        <v>1490</v>
      </c>
      <c r="E1488" s="59" t="s">
        <v>352</v>
      </c>
      <c r="F1488" s="56">
        <v>36</v>
      </c>
      <c r="G1488" s="73">
        <v>623</v>
      </c>
      <c r="H1488" s="74" t="s">
        <v>1491</v>
      </c>
      <c r="I1488" s="59" t="s">
        <v>1492</v>
      </c>
      <c r="J1488" s="59" t="s">
        <v>1493</v>
      </c>
      <c r="K1488" s="69">
        <v>5102</v>
      </c>
      <c r="L1488" s="56">
        <v>205</v>
      </c>
      <c r="M1488" s="59" t="s">
        <v>26</v>
      </c>
      <c r="N1488" s="61">
        <v>384.07</v>
      </c>
      <c r="O1488" s="59" t="s">
        <v>313</v>
      </c>
      <c r="P1488" s="62">
        <v>384.07</v>
      </c>
      <c r="Q1488" s="63">
        <v>20</v>
      </c>
      <c r="R1488" s="62">
        <v>76.819999999999993</v>
      </c>
      <c r="S1488" s="61">
        <v>0</v>
      </c>
      <c r="T1488" s="62">
        <v>0</v>
      </c>
    </row>
    <row r="1489" spans="1:20" ht="11.1" customHeight="1" x14ac:dyDescent="0.25">
      <c r="A1489" s="56">
        <v>108484</v>
      </c>
      <c r="B1489" s="72">
        <v>46028</v>
      </c>
      <c r="C1489" s="68">
        <v>46028</v>
      </c>
      <c r="D1489" s="58" t="s">
        <v>1490</v>
      </c>
      <c r="E1489" s="59" t="s">
        <v>352</v>
      </c>
      <c r="F1489" s="56">
        <v>36</v>
      </c>
      <c r="G1489" s="73">
        <v>623</v>
      </c>
      <c r="H1489" s="74" t="s">
        <v>1491</v>
      </c>
      <c r="I1489" s="59" t="s">
        <v>1492</v>
      </c>
      <c r="J1489" s="59" t="s">
        <v>1493</v>
      </c>
      <c r="K1489" s="69">
        <v>5403</v>
      </c>
      <c r="L1489" s="56">
        <v>207</v>
      </c>
      <c r="M1489" s="59" t="s">
        <v>26</v>
      </c>
      <c r="N1489" s="61">
        <v>137.31</v>
      </c>
      <c r="O1489" s="59" t="s">
        <v>313</v>
      </c>
      <c r="P1489" s="62">
        <v>128.32</v>
      </c>
      <c r="Q1489" s="63">
        <v>20</v>
      </c>
      <c r="R1489" s="62">
        <v>25.66</v>
      </c>
      <c r="S1489" s="61">
        <v>0</v>
      </c>
      <c r="T1489" s="62">
        <v>8.99</v>
      </c>
    </row>
    <row r="1490" spans="1:20" ht="11.1" customHeight="1" x14ac:dyDescent="0.25">
      <c r="O1490" s="59" t="s">
        <v>436</v>
      </c>
      <c r="P1490" s="62">
        <v>173.23</v>
      </c>
      <c r="Q1490" s="63">
        <v>20</v>
      </c>
      <c r="R1490" s="62">
        <v>8.99</v>
      </c>
      <c r="S1490" s="61">
        <v>0</v>
      </c>
      <c r="T1490" s="62">
        <v>0</v>
      </c>
    </row>
    <row r="1491" spans="1:20" ht="11.85" customHeight="1" x14ac:dyDescent="0.25">
      <c r="A1491" s="71" t="s">
        <v>620</v>
      </c>
      <c r="B1491" s="71"/>
      <c r="C1491" s="71"/>
      <c r="D1491" s="71"/>
      <c r="E1491" s="71"/>
      <c r="F1491" s="71"/>
      <c r="G1491" s="71"/>
      <c r="H1491" s="71"/>
    </row>
    <row r="1492" spans="1:20" ht="11.1" customHeight="1" x14ac:dyDescent="0.25">
      <c r="O1492" s="59" t="s">
        <v>313</v>
      </c>
      <c r="P1492" s="62">
        <v>512.39</v>
      </c>
      <c r="R1492" s="62">
        <v>102.48</v>
      </c>
      <c r="S1492" s="61">
        <v>0</v>
      </c>
      <c r="T1492" s="62">
        <v>8.99</v>
      </c>
    </row>
    <row r="1493" spans="1:20" ht="11.1" customHeight="1" x14ac:dyDescent="0.25">
      <c r="O1493" s="59" t="s">
        <v>436</v>
      </c>
      <c r="P1493" s="62">
        <v>173.23</v>
      </c>
      <c r="R1493" s="62">
        <v>8.99</v>
      </c>
      <c r="S1493" s="61">
        <v>0</v>
      </c>
      <c r="T1493" s="62">
        <v>0</v>
      </c>
    </row>
    <row r="1494" spans="1:20" ht="11.1" customHeight="1" x14ac:dyDescent="0.25">
      <c r="A1494" s="56">
        <v>108682</v>
      </c>
      <c r="B1494" s="72">
        <v>46030</v>
      </c>
      <c r="C1494" s="68">
        <v>46030</v>
      </c>
      <c r="D1494" s="58" t="s">
        <v>1494</v>
      </c>
      <c r="E1494" s="59" t="s">
        <v>352</v>
      </c>
      <c r="F1494" s="56">
        <v>36</v>
      </c>
      <c r="G1494" s="73">
        <v>222</v>
      </c>
      <c r="H1494" s="74" t="s">
        <v>1495</v>
      </c>
      <c r="I1494" s="59" t="s">
        <v>1496</v>
      </c>
      <c r="J1494" s="59" t="s">
        <v>1497</v>
      </c>
      <c r="K1494" s="69">
        <v>6403</v>
      </c>
      <c r="L1494" s="56">
        <v>207</v>
      </c>
      <c r="M1494" s="59" t="s">
        <v>38</v>
      </c>
      <c r="N1494" s="61">
        <v>386.26</v>
      </c>
      <c r="O1494" s="59" t="s">
        <v>313</v>
      </c>
      <c r="P1494" s="62">
        <v>322.74</v>
      </c>
      <c r="Q1494" s="63">
        <v>12</v>
      </c>
      <c r="R1494" s="62">
        <v>38.729999999999997</v>
      </c>
      <c r="S1494" s="61">
        <v>0</v>
      </c>
      <c r="T1494" s="62">
        <v>63.52</v>
      </c>
    </row>
    <row r="1495" spans="1:20" ht="11.1" customHeight="1" x14ac:dyDescent="0.25">
      <c r="O1495" s="59" t="s">
        <v>436</v>
      </c>
      <c r="P1495" s="62">
        <v>568.02</v>
      </c>
      <c r="Q1495" s="63">
        <v>18</v>
      </c>
      <c r="R1495" s="62">
        <v>63.52</v>
      </c>
      <c r="S1495" s="61">
        <v>0</v>
      </c>
      <c r="T1495" s="62">
        <v>0</v>
      </c>
    </row>
    <row r="1496" spans="1:20" ht="11.1" customHeight="1" x14ac:dyDescent="0.25">
      <c r="A1496" s="56">
        <v>108683</v>
      </c>
      <c r="B1496" s="72">
        <v>46030</v>
      </c>
      <c r="C1496" s="68">
        <v>46030</v>
      </c>
      <c r="D1496" s="58" t="s">
        <v>1494</v>
      </c>
      <c r="E1496" s="59" t="s">
        <v>352</v>
      </c>
      <c r="F1496" s="56">
        <v>36</v>
      </c>
      <c r="G1496" s="73">
        <v>222</v>
      </c>
      <c r="H1496" s="74" t="s">
        <v>1495</v>
      </c>
      <c r="I1496" s="59" t="s">
        <v>1496</v>
      </c>
      <c r="J1496" s="59" t="s">
        <v>1497</v>
      </c>
      <c r="K1496" s="69">
        <v>6102</v>
      </c>
      <c r="L1496" s="56">
        <v>238</v>
      </c>
      <c r="M1496" s="59" t="s">
        <v>38</v>
      </c>
      <c r="N1496" s="61">
        <v>1265.9000000000001</v>
      </c>
      <c r="O1496" s="59" t="s">
        <v>313</v>
      </c>
      <c r="P1496" s="62">
        <v>1265.9000000000001</v>
      </c>
      <c r="Q1496" s="63">
        <v>12</v>
      </c>
      <c r="R1496" s="62">
        <v>151.9</v>
      </c>
      <c r="S1496" s="61">
        <v>0</v>
      </c>
      <c r="T1496" s="62">
        <v>0</v>
      </c>
    </row>
    <row r="1497" spans="1:20" ht="11.1" customHeight="1" x14ac:dyDescent="0.25">
      <c r="A1497" s="56">
        <v>109310</v>
      </c>
      <c r="B1497" s="72">
        <v>46044</v>
      </c>
      <c r="C1497" s="68">
        <v>46044</v>
      </c>
      <c r="D1497" s="58" t="s">
        <v>1498</v>
      </c>
      <c r="E1497" s="59" t="s">
        <v>352</v>
      </c>
      <c r="F1497" s="56">
        <v>36</v>
      </c>
      <c r="G1497" s="73">
        <v>222</v>
      </c>
      <c r="H1497" s="74" t="s">
        <v>1495</v>
      </c>
      <c r="I1497" s="59" t="s">
        <v>1496</v>
      </c>
      <c r="J1497" s="59" t="s">
        <v>1497</v>
      </c>
      <c r="K1497" s="69">
        <v>6102</v>
      </c>
      <c r="L1497" s="56">
        <v>238</v>
      </c>
      <c r="M1497" s="59" t="s">
        <v>38</v>
      </c>
      <c r="N1497" s="61">
        <v>1009.81</v>
      </c>
      <c r="O1497" s="59" t="s">
        <v>313</v>
      </c>
      <c r="P1497" s="62">
        <v>1009.81</v>
      </c>
      <c r="Q1497" s="63">
        <v>12</v>
      </c>
      <c r="R1497" s="62">
        <v>121.18</v>
      </c>
      <c r="S1497" s="61">
        <v>0</v>
      </c>
      <c r="T1497" s="62">
        <v>0</v>
      </c>
    </row>
    <row r="1498" spans="1:20" ht="11.1" customHeight="1" x14ac:dyDescent="0.25">
      <c r="A1498" s="56">
        <v>109642</v>
      </c>
      <c r="B1498" s="72">
        <v>46051</v>
      </c>
      <c r="C1498" s="68">
        <v>46051</v>
      </c>
      <c r="D1498" s="58" t="s">
        <v>1499</v>
      </c>
      <c r="E1498" s="59" t="s">
        <v>352</v>
      </c>
      <c r="F1498" s="56">
        <v>36</v>
      </c>
      <c r="G1498" s="73">
        <v>222</v>
      </c>
      <c r="H1498" s="74" t="s">
        <v>1495</v>
      </c>
      <c r="I1498" s="59" t="s">
        <v>1496</v>
      </c>
      <c r="J1498" s="59" t="s">
        <v>1497</v>
      </c>
      <c r="K1498" s="69">
        <v>6403</v>
      </c>
      <c r="L1498" s="56">
        <v>207</v>
      </c>
      <c r="M1498" s="59" t="s">
        <v>38</v>
      </c>
      <c r="N1498" s="61">
        <v>301.58999999999997</v>
      </c>
      <c r="O1498" s="59" t="s">
        <v>313</v>
      </c>
      <c r="P1498" s="62">
        <v>252</v>
      </c>
      <c r="Q1498" s="63">
        <v>12</v>
      </c>
      <c r="R1498" s="62">
        <v>30.24</v>
      </c>
      <c r="S1498" s="61">
        <v>0</v>
      </c>
      <c r="T1498" s="62">
        <v>49.59</v>
      </c>
    </row>
    <row r="1499" spans="1:20" ht="11.1" customHeight="1" x14ac:dyDescent="0.25">
      <c r="O1499" s="59" t="s">
        <v>436</v>
      </c>
      <c r="P1499" s="62">
        <v>443.52</v>
      </c>
      <c r="Q1499" s="63">
        <v>18</v>
      </c>
      <c r="R1499" s="62">
        <v>49.59</v>
      </c>
      <c r="S1499" s="61">
        <v>0</v>
      </c>
      <c r="T1499" s="62">
        <v>0</v>
      </c>
    </row>
    <row r="1500" spans="1:20" ht="11.1" customHeight="1" x14ac:dyDescent="0.25">
      <c r="A1500" s="56">
        <v>109643</v>
      </c>
      <c r="B1500" s="72">
        <v>46051</v>
      </c>
      <c r="C1500" s="68">
        <v>46051</v>
      </c>
      <c r="D1500" s="58" t="s">
        <v>1499</v>
      </c>
      <c r="E1500" s="59" t="s">
        <v>352</v>
      </c>
      <c r="F1500" s="56">
        <v>36</v>
      </c>
      <c r="G1500" s="73">
        <v>222</v>
      </c>
      <c r="H1500" s="74" t="s">
        <v>1495</v>
      </c>
      <c r="I1500" s="59" t="s">
        <v>1496</v>
      </c>
      <c r="J1500" s="59" t="s">
        <v>1497</v>
      </c>
      <c r="K1500" s="69">
        <v>6102</v>
      </c>
      <c r="L1500" s="56">
        <v>238</v>
      </c>
      <c r="M1500" s="59" t="s">
        <v>38</v>
      </c>
      <c r="N1500" s="61">
        <v>1666.87</v>
      </c>
      <c r="O1500" s="59" t="s">
        <v>313</v>
      </c>
      <c r="P1500" s="62">
        <v>1666.87</v>
      </c>
      <c r="Q1500" s="63">
        <v>12</v>
      </c>
      <c r="R1500" s="62">
        <v>200.03</v>
      </c>
      <c r="S1500" s="61">
        <v>0</v>
      </c>
      <c r="T1500" s="62">
        <v>0</v>
      </c>
    </row>
    <row r="1501" spans="1:20" ht="11.85" customHeight="1" x14ac:dyDescent="0.25">
      <c r="A1501" s="71" t="s">
        <v>620</v>
      </c>
      <c r="B1501" s="71"/>
      <c r="C1501" s="71"/>
      <c r="D1501" s="71"/>
      <c r="E1501" s="71"/>
      <c r="F1501" s="71"/>
      <c r="G1501" s="71"/>
      <c r="H1501" s="71"/>
    </row>
    <row r="1502" spans="1:20" ht="11.1" customHeight="1" x14ac:dyDescent="0.25">
      <c r="O1502" s="59" t="s">
        <v>313</v>
      </c>
      <c r="P1502" s="62">
        <v>4517.32</v>
      </c>
      <c r="R1502" s="62">
        <v>542.08000000000004</v>
      </c>
      <c r="S1502" s="61">
        <v>0</v>
      </c>
      <c r="T1502" s="62">
        <v>113.11</v>
      </c>
    </row>
    <row r="1503" spans="1:20" ht="11.1" customHeight="1" x14ac:dyDescent="0.25">
      <c r="O1503" s="59" t="s">
        <v>436</v>
      </c>
      <c r="P1503" s="62">
        <v>1011.54</v>
      </c>
      <c r="R1503" s="62">
        <v>113.11</v>
      </c>
      <c r="S1503" s="61">
        <v>0</v>
      </c>
      <c r="T1503" s="62">
        <v>0</v>
      </c>
    </row>
    <row r="1504" spans="1:20" ht="11.1" customHeight="1" x14ac:dyDescent="0.25">
      <c r="A1504" s="56">
        <v>109592</v>
      </c>
      <c r="B1504" s="72">
        <v>46050</v>
      </c>
      <c r="C1504" s="68">
        <v>46050</v>
      </c>
      <c r="D1504" s="58" t="s">
        <v>1500</v>
      </c>
      <c r="E1504" s="59" t="s">
        <v>352</v>
      </c>
      <c r="F1504" s="56">
        <v>36</v>
      </c>
      <c r="G1504" s="73">
        <v>46</v>
      </c>
      <c r="H1504" s="74" t="s">
        <v>1501</v>
      </c>
      <c r="I1504" s="59" t="s">
        <v>1502</v>
      </c>
      <c r="J1504" s="59" t="s">
        <v>1503</v>
      </c>
      <c r="K1504" s="69">
        <v>5102</v>
      </c>
      <c r="L1504" s="56">
        <v>205</v>
      </c>
      <c r="M1504" s="59" t="s">
        <v>26</v>
      </c>
      <c r="N1504" s="61">
        <v>1045.96</v>
      </c>
      <c r="O1504" s="59" t="s">
        <v>313</v>
      </c>
      <c r="P1504" s="62">
        <v>1045.96</v>
      </c>
      <c r="Q1504" s="63">
        <v>20</v>
      </c>
      <c r="R1504" s="62">
        <v>209.19</v>
      </c>
      <c r="S1504" s="61">
        <v>0</v>
      </c>
      <c r="T1504" s="62">
        <v>0</v>
      </c>
    </row>
    <row r="1505" spans="1:20" ht="11.1" customHeight="1" x14ac:dyDescent="0.25">
      <c r="A1505" s="56">
        <v>109593</v>
      </c>
      <c r="B1505" s="72">
        <v>46050</v>
      </c>
      <c r="C1505" s="68">
        <v>46050</v>
      </c>
      <c r="D1505" s="58" t="s">
        <v>1500</v>
      </c>
      <c r="E1505" s="59" t="s">
        <v>352</v>
      </c>
      <c r="F1505" s="56">
        <v>36</v>
      </c>
      <c r="G1505" s="73">
        <v>46</v>
      </c>
      <c r="H1505" s="74" t="s">
        <v>1501</v>
      </c>
      <c r="I1505" s="59" t="s">
        <v>1502</v>
      </c>
      <c r="J1505" s="59" t="s">
        <v>1503</v>
      </c>
      <c r="K1505" s="69">
        <v>5403</v>
      </c>
      <c r="L1505" s="56">
        <v>207</v>
      </c>
      <c r="M1505" s="59" t="s">
        <v>26</v>
      </c>
      <c r="N1505" s="61">
        <v>409.53</v>
      </c>
      <c r="O1505" s="59" t="s">
        <v>313</v>
      </c>
      <c r="P1505" s="62">
        <v>382.74</v>
      </c>
      <c r="Q1505" s="63">
        <v>20</v>
      </c>
      <c r="R1505" s="62">
        <v>76.55</v>
      </c>
      <c r="S1505" s="61">
        <v>0</v>
      </c>
      <c r="T1505" s="62">
        <v>26.79</v>
      </c>
    </row>
    <row r="1506" spans="1:20" ht="11.1" customHeight="1" x14ac:dyDescent="0.25">
      <c r="O1506" s="59" t="s">
        <v>436</v>
      </c>
      <c r="P1506" s="62">
        <v>516.70000000000005</v>
      </c>
      <c r="Q1506" s="63">
        <v>20</v>
      </c>
      <c r="R1506" s="62">
        <v>26.79</v>
      </c>
      <c r="S1506" s="61">
        <v>0</v>
      </c>
      <c r="T1506" s="62">
        <v>0</v>
      </c>
    </row>
    <row r="1507" spans="1:20" ht="11.85" customHeight="1" x14ac:dyDescent="0.25">
      <c r="A1507" s="71" t="s">
        <v>620</v>
      </c>
      <c r="B1507" s="71"/>
      <c r="C1507" s="71"/>
      <c r="D1507" s="71"/>
      <c r="E1507" s="71"/>
      <c r="F1507" s="71"/>
      <c r="G1507" s="71"/>
      <c r="H1507" s="71"/>
    </row>
    <row r="1508" spans="1:20" ht="11.1" customHeight="1" x14ac:dyDescent="0.25">
      <c r="O1508" s="59" t="s">
        <v>313</v>
      </c>
      <c r="P1508" s="62">
        <v>1428.7</v>
      </c>
      <c r="R1508" s="62">
        <v>285.74</v>
      </c>
      <c r="S1508" s="61">
        <v>0</v>
      </c>
      <c r="T1508" s="62">
        <v>26.79</v>
      </c>
    </row>
    <row r="1509" spans="1:20" ht="11.1" customHeight="1" x14ac:dyDescent="0.25">
      <c r="O1509" s="59" t="s">
        <v>436</v>
      </c>
      <c r="P1509" s="62">
        <v>516.70000000000005</v>
      </c>
      <c r="R1509" s="62">
        <v>26.79</v>
      </c>
      <c r="S1509" s="61">
        <v>0</v>
      </c>
      <c r="T1509" s="62">
        <v>0</v>
      </c>
    </row>
    <row r="1510" spans="1:20" ht="11.1" customHeight="1" x14ac:dyDescent="0.25">
      <c r="A1510" s="56">
        <v>108727</v>
      </c>
      <c r="B1510" s="72">
        <v>46031</v>
      </c>
      <c r="C1510" s="68">
        <v>46031</v>
      </c>
      <c r="D1510" s="58" t="s">
        <v>1504</v>
      </c>
      <c r="E1510" s="59" t="s">
        <v>352</v>
      </c>
      <c r="F1510" s="56">
        <v>36</v>
      </c>
      <c r="G1510" s="73">
        <v>503</v>
      </c>
      <c r="H1510" s="74" t="s">
        <v>1505</v>
      </c>
      <c r="I1510" s="59" t="s">
        <v>1506</v>
      </c>
      <c r="J1510" s="59" t="s">
        <v>1507</v>
      </c>
      <c r="K1510" s="69">
        <v>5102</v>
      </c>
      <c r="L1510" s="56">
        <v>205</v>
      </c>
      <c r="M1510" s="59" t="s">
        <v>26</v>
      </c>
      <c r="N1510" s="61">
        <v>114.73</v>
      </c>
      <c r="O1510" s="59" t="s">
        <v>313</v>
      </c>
      <c r="P1510" s="62">
        <v>114.73</v>
      </c>
      <c r="Q1510" s="63">
        <v>20</v>
      </c>
      <c r="R1510" s="62">
        <v>22.95</v>
      </c>
      <c r="S1510" s="61">
        <v>0</v>
      </c>
      <c r="T1510" s="62">
        <v>0</v>
      </c>
    </row>
    <row r="1511" spans="1:20" ht="11.1" customHeight="1" x14ac:dyDescent="0.25">
      <c r="A1511" s="56">
        <v>108728</v>
      </c>
      <c r="B1511" s="72">
        <v>46031</v>
      </c>
      <c r="C1511" s="68">
        <v>46031</v>
      </c>
      <c r="D1511" s="58" t="s">
        <v>1504</v>
      </c>
      <c r="E1511" s="59" t="s">
        <v>352</v>
      </c>
      <c r="F1511" s="56">
        <v>36</v>
      </c>
      <c r="G1511" s="73">
        <v>503</v>
      </c>
      <c r="H1511" s="74" t="s">
        <v>1505</v>
      </c>
      <c r="I1511" s="59" t="s">
        <v>1506</v>
      </c>
      <c r="J1511" s="59" t="s">
        <v>1507</v>
      </c>
      <c r="K1511" s="69">
        <v>5403</v>
      </c>
      <c r="L1511" s="56">
        <v>207</v>
      </c>
      <c r="M1511" s="59" t="s">
        <v>26</v>
      </c>
      <c r="N1511" s="61">
        <v>334.49</v>
      </c>
      <c r="O1511" s="59" t="s">
        <v>313</v>
      </c>
      <c r="P1511" s="62">
        <v>312.63</v>
      </c>
      <c r="Q1511" s="63">
        <v>20</v>
      </c>
      <c r="R1511" s="62">
        <v>62.54</v>
      </c>
      <c r="S1511" s="61">
        <v>0</v>
      </c>
      <c r="T1511" s="62">
        <v>21.86</v>
      </c>
    </row>
    <row r="1512" spans="1:20" ht="11.1" customHeight="1" x14ac:dyDescent="0.25">
      <c r="O1512" s="59" t="s">
        <v>436</v>
      </c>
      <c r="P1512" s="62">
        <v>422.04</v>
      </c>
      <c r="Q1512" s="63">
        <v>20</v>
      </c>
      <c r="R1512" s="62">
        <v>21.86</v>
      </c>
      <c r="S1512" s="61">
        <v>0</v>
      </c>
      <c r="T1512" s="62">
        <v>0</v>
      </c>
    </row>
    <row r="1513" spans="1:20" ht="11.85" customHeight="1" x14ac:dyDescent="0.25">
      <c r="A1513" s="71" t="s">
        <v>620</v>
      </c>
      <c r="B1513" s="71"/>
      <c r="C1513" s="71"/>
      <c r="D1513" s="71"/>
      <c r="E1513" s="71"/>
      <c r="F1513" s="71"/>
      <c r="G1513" s="71"/>
      <c r="H1513" s="71"/>
    </row>
    <row r="1514" spans="1:20" ht="11.1" customHeight="1" x14ac:dyDescent="0.25">
      <c r="O1514" s="59" t="s">
        <v>313</v>
      </c>
      <c r="P1514" s="62">
        <v>427.36</v>
      </c>
      <c r="R1514" s="62">
        <v>85.49</v>
      </c>
      <c r="S1514" s="61">
        <v>0</v>
      </c>
      <c r="T1514" s="62">
        <v>21.86</v>
      </c>
    </row>
    <row r="1515" spans="1:20" ht="11.1" customHeight="1" x14ac:dyDescent="0.25">
      <c r="O1515" s="59" t="s">
        <v>436</v>
      </c>
      <c r="P1515" s="62">
        <v>422.04</v>
      </c>
      <c r="R1515" s="62">
        <v>21.86</v>
      </c>
      <c r="S1515" s="61">
        <v>0</v>
      </c>
      <c r="T1515" s="62">
        <v>0</v>
      </c>
    </row>
    <row r="1516" spans="1:20" ht="11.1" customHeight="1" x14ac:dyDescent="0.25">
      <c r="A1516" s="56">
        <v>109005</v>
      </c>
      <c r="B1516" s="72">
        <v>46037</v>
      </c>
      <c r="C1516" s="68">
        <v>46037</v>
      </c>
      <c r="D1516" s="58" t="s">
        <v>1508</v>
      </c>
      <c r="E1516" s="59" t="s">
        <v>352</v>
      </c>
      <c r="F1516" s="56">
        <v>36</v>
      </c>
      <c r="G1516" s="73">
        <v>921</v>
      </c>
      <c r="H1516" s="74" t="s">
        <v>1509</v>
      </c>
      <c r="I1516" s="59" t="s">
        <v>1510</v>
      </c>
      <c r="J1516" s="59" t="s">
        <v>1511</v>
      </c>
      <c r="K1516" s="69">
        <v>5102</v>
      </c>
      <c r="L1516" s="56">
        <v>205</v>
      </c>
      <c r="M1516" s="59" t="s">
        <v>26</v>
      </c>
      <c r="N1516" s="61">
        <v>492</v>
      </c>
      <c r="O1516" s="59" t="s">
        <v>313</v>
      </c>
      <c r="P1516" s="62">
        <v>492</v>
      </c>
      <c r="Q1516" s="63">
        <v>20</v>
      </c>
      <c r="R1516" s="62">
        <v>98.4</v>
      </c>
      <c r="S1516" s="61">
        <v>0</v>
      </c>
      <c r="T1516" s="62">
        <v>0</v>
      </c>
    </row>
    <row r="1517" spans="1:20" ht="11.85" customHeight="1" x14ac:dyDescent="0.25">
      <c r="A1517" s="71" t="s">
        <v>620</v>
      </c>
      <c r="B1517" s="71"/>
      <c r="C1517" s="71"/>
      <c r="D1517" s="71"/>
      <c r="E1517" s="71"/>
      <c r="F1517" s="71"/>
      <c r="G1517" s="71"/>
      <c r="H1517" s="71"/>
    </row>
    <row r="1518" spans="1:20" ht="11.1" customHeight="1" x14ac:dyDescent="0.25">
      <c r="O1518" s="59" t="s">
        <v>313</v>
      </c>
      <c r="P1518" s="62">
        <v>492</v>
      </c>
      <c r="R1518" s="62">
        <v>98.4</v>
      </c>
      <c r="S1518" s="61">
        <v>0</v>
      </c>
      <c r="T1518" s="62">
        <v>0</v>
      </c>
    </row>
    <row r="1519" spans="1:20" ht="11.1" customHeight="1" x14ac:dyDescent="0.25">
      <c r="A1519" s="56">
        <v>109226</v>
      </c>
      <c r="B1519" s="72">
        <v>46043</v>
      </c>
      <c r="C1519" s="68">
        <v>46043</v>
      </c>
      <c r="D1519" s="58" t="s">
        <v>1512</v>
      </c>
      <c r="E1519" s="59" t="s">
        <v>352</v>
      </c>
      <c r="F1519" s="56">
        <v>36</v>
      </c>
      <c r="G1519" s="73">
        <v>925</v>
      </c>
      <c r="H1519" s="74" t="s">
        <v>1513</v>
      </c>
      <c r="I1519" s="59" t="s">
        <v>1514</v>
      </c>
      <c r="J1519" s="59" t="s">
        <v>75</v>
      </c>
      <c r="K1519" s="69">
        <v>6108</v>
      </c>
      <c r="L1519" s="56">
        <v>237</v>
      </c>
      <c r="M1519" s="59" t="s">
        <v>34</v>
      </c>
      <c r="N1519" s="61">
        <v>94</v>
      </c>
      <c r="O1519" s="59" t="s">
        <v>313</v>
      </c>
      <c r="P1519" s="62">
        <v>94</v>
      </c>
      <c r="Q1519" s="63">
        <v>12</v>
      </c>
      <c r="R1519" s="62">
        <v>11.28</v>
      </c>
      <c r="S1519" s="61">
        <v>0</v>
      </c>
      <c r="T1519" s="62">
        <v>0</v>
      </c>
    </row>
    <row r="1520" spans="1:20" ht="11.85" customHeight="1" x14ac:dyDescent="0.25">
      <c r="A1520" s="71" t="s">
        <v>620</v>
      </c>
      <c r="B1520" s="71"/>
      <c r="C1520" s="71"/>
      <c r="D1520" s="71"/>
      <c r="E1520" s="71"/>
      <c r="F1520" s="71"/>
      <c r="G1520" s="71"/>
      <c r="H1520" s="71"/>
    </row>
    <row r="1521" spans="1:20" ht="11.1" customHeight="1" x14ac:dyDescent="0.25">
      <c r="O1521" s="59" t="s">
        <v>313</v>
      </c>
      <c r="P1521" s="62">
        <v>94</v>
      </c>
      <c r="R1521" s="62">
        <v>11.28</v>
      </c>
      <c r="S1521" s="61">
        <v>0</v>
      </c>
      <c r="T1521" s="62">
        <v>0</v>
      </c>
    </row>
    <row r="1522" spans="1:20" ht="11.1" customHeight="1" x14ac:dyDescent="0.25">
      <c r="A1522" s="56">
        <v>109050</v>
      </c>
      <c r="B1522" s="72">
        <v>46038</v>
      </c>
      <c r="C1522" s="68">
        <v>46038</v>
      </c>
      <c r="D1522" s="58" t="s">
        <v>1515</v>
      </c>
      <c r="E1522" s="59" t="s">
        <v>352</v>
      </c>
      <c r="F1522" s="56">
        <v>36</v>
      </c>
      <c r="G1522" s="73">
        <v>868</v>
      </c>
      <c r="H1522" s="74" t="s">
        <v>1516</v>
      </c>
      <c r="I1522" s="59" t="s">
        <v>1517</v>
      </c>
      <c r="J1522" s="59" t="s">
        <v>1518</v>
      </c>
      <c r="K1522" s="69">
        <v>6403</v>
      </c>
      <c r="L1522" s="56">
        <v>207</v>
      </c>
      <c r="M1522" s="59" t="s">
        <v>34</v>
      </c>
      <c r="N1522" s="61">
        <v>63.03</v>
      </c>
      <c r="O1522" s="59" t="s">
        <v>313</v>
      </c>
      <c r="P1522" s="62">
        <v>54.72</v>
      </c>
      <c r="Q1522" s="63">
        <v>12</v>
      </c>
      <c r="R1522" s="62">
        <v>6.57</v>
      </c>
      <c r="S1522" s="61">
        <v>0</v>
      </c>
      <c r="T1522" s="62">
        <v>8.31</v>
      </c>
    </row>
    <row r="1523" spans="1:20" ht="11.1" customHeight="1" x14ac:dyDescent="0.25">
      <c r="O1523" s="59" t="s">
        <v>436</v>
      </c>
      <c r="P1523" s="62">
        <v>78.33</v>
      </c>
      <c r="Q1523" s="63">
        <v>19</v>
      </c>
      <c r="R1523" s="62">
        <v>8.31</v>
      </c>
      <c r="S1523" s="61">
        <v>0</v>
      </c>
      <c r="T1523" s="62">
        <v>0</v>
      </c>
    </row>
    <row r="1524" spans="1:20" ht="11.1" customHeight="1" x14ac:dyDescent="0.25">
      <c r="A1524" s="56">
        <v>109051</v>
      </c>
      <c r="B1524" s="72">
        <v>46038</v>
      </c>
      <c r="C1524" s="68">
        <v>46038</v>
      </c>
      <c r="D1524" s="58" t="s">
        <v>1515</v>
      </c>
      <c r="E1524" s="59" t="s">
        <v>352</v>
      </c>
      <c r="F1524" s="56">
        <v>36</v>
      </c>
      <c r="G1524" s="73">
        <v>868</v>
      </c>
      <c r="H1524" s="74" t="s">
        <v>1516</v>
      </c>
      <c r="I1524" s="59" t="s">
        <v>1517</v>
      </c>
      <c r="J1524" s="59" t="s">
        <v>1518</v>
      </c>
      <c r="K1524" s="69">
        <v>6102</v>
      </c>
      <c r="L1524" s="56">
        <v>238</v>
      </c>
      <c r="M1524" s="59" t="s">
        <v>34</v>
      </c>
      <c r="N1524" s="61">
        <v>775.32</v>
      </c>
      <c r="O1524" s="59" t="s">
        <v>313</v>
      </c>
      <c r="P1524" s="62">
        <v>775.32</v>
      </c>
      <c r="Q1524" s="63">
        <v>12</v>
      </c>
      <c r="R1524" s="62">
        <v>93.04</v>
      </c>
      <c r="S1524" s="61">
        <v>0</v>
      </c>
      <c r="T1524" s="62">
        <v>0</v>
      </c>
    </row>
    <row r="1525" spans="1:20" ht="11.1" customHeight="1" x14ac:dyDescent="0.25">
      <c r="A1525" s="56">
        <v>109514</v>
      </c>
      <c r="B1525" s="72">
        <v>46049</v>
      </c>
      <c r="C1525" s="68">
        <v>46049</v>
      </c>
      <c r="D1525" s="58" t="s">
        <v>1519</v>
      </c>
      <c r="E1525" s="59" t="s">
        <v>352</v>
      </c>
      <c r="F1525" s="56">
        <v>36</v>
      </c>
      <c r="G1525" s="73">
        <v>868</v>
      </c>
      <c r="H1525" s="74" t="s">
        <v>1516</v>
      </c>
      <c r="I1525" s="59" t="s">
        <v>1517</v>
      </c>
      <c r="J1525" s="59" t="s">
        <v>1518</v>
      </c>
      <c r="K1525" s="69">
        <v>6102</v>
      </c>
      <c r="L1525" s="56">
        <v>238</v>
      </c>
      <c r="M1525" s="59" t="s">
        <v>34</v>
      </c>
      <c r="N1525" s="61">
        <v>1436.71</v>
      </c>
      <c r="O1525" s="59" t="s">
        <v>313</v>
      </c>
      <c r="P1525" s="62">
        <v>1436.71</v>
      </c>
      <c r="Q1525" s="63">
        <v>12</v>
      </c>
      <c r="R1525" s="62">
        <v>172.41</v>
      </c>
      <c r="S1525" s="61">
        <v>0</v>
      </c>
      <c r="T1525" s="62">
        <v>0</v>
      </c>
    </row>
    <row r="1526" spans="1:20" ht="11.1" customHeight="1" x14ac:dyDescent="0.25">
      <c r="A1526" s="56">
        <v>109726</v>
      </c>
      <c r="B1526" s="72">
        <v>46049</v>
      </c>
      <c r="C1526" s="68">
        <v>46049</v>
      </c>
      <c r="D1526" s="58" t="s">
        <v>1520</v>
      </c>
      <c r="E1526" s="59" t="s">
        <v>352</v>
      </c>
      <c r="F1526" s="56">
        <v>36</v>
      </c>
      <c r="G1526" s="73">
        <v>868</v>
      </c>
      <c r="H1526" s="74" t="s">
        <v>1516</v>
      </c>
      <c r="I1526" s="59" t="s">
        <v>1517</v>
      </c>
      <c r="J1526" s="59" t="s">
        <v>1518</v>
      </c>
      <c r="K1526" s="69">
        <v>6102</v>
      </c>
      <c r="L1526" s="56">
        <v>238</v>
      </c>
      <c r="M1526" s="59" t="s">
        <v>34</v>
      </c>
      <c r="N1526" s="61">
        <v>0</v>
      </c>
      <c r="O1526" s="59" t="s">
        <v>313</v>
      </c>
      <c r="P1526" s="62">
        <v>0</v>
      </c>
      <c r="Q1526" s="63">
        <v>0</v>
      </c>
      <c r="R1526" s="62">
        <v>0</v>
      </c>
      <c r="S1526" s="61">
        <v>0</v>
      </c>
      <c r="T1526" s="62">
        <v>0</v>
      </c>
    </row>
    <row r="1527" spans="1:20" ht="11.85" customHeight="1" x14ac:dyDescent="0.25">
      <c r="A1527" s="71" t="s">
        <v>620</v>
      </c>
      <c r="B1527" s="71"/>
      <c r="C1527" s="71"/>
      <c r="D1527" s="71"/>
      <c r="E1527" s="71"/>
      <c r="F1527" s="71"/>
      <c r="G1527" s="71"/>
      <c r="H1527" s="71"/>
    </row>
    <row r="1528" spans="1:20" ht="11.1" customHeight="1" x14ac:dyDescent="0.25">
      <c r="O1528" s="59" t="s">
        <v>313</v>
      </c>
      <c r="P1528" s="62">
        <v>2266.75</v>
      </c>
      <c r="R1528" s="62">
        <v>272.02</v>
      </c>
      <c r="S1528" s="61">
        <v>0</v>
      </c>
      <c r="T1528" s="62">
        <v>8.31</v>
      </c>
    </row>
    <row r="1529" spans="1:20" ht="11.1" customHeight="1" x14ac:dyDescent="0.25">
      <c r="O1529" s="59" t="s">
        <v>436</v>
      </c>
      <c r="P1529" s="62">
        <v>78.33</v>
      </c>
      <c r="R1529" s="62">
        <v>8.31</v>
      </c>
      <c r="S1529" s="61">
        <v>0</v>
      </c>
      <c r="T1529" s="62">
        <v>0</v>
      </c>
    </row>
    <row r="1530" spans="1:20" ht="11.1" customHeight="1" x14ac:dyDescent="0.25">
      <c r="A1530" s="56">
        <v>108401</v>
      </c>
      <c r="B1530" s="72">
        <v>46024</v>
      </c>
      <c r="C1530" s="68">
        <v>46024</v>
      </c>
      <c r="D1530" s="58" t="s">
        <v>1521</v>
      </c>
      <c r="E1530" s="59" t="s">
        <v>352</v>
      </c>
      <c r="F1530" s="56">
        <v>36</v>
      </c>
      <c r="G1530" s="73">
        <v>580</v>
      </c>
      <c r="H1530" s="74" t="s">
        <v>1522</v>
      </c>
      <c r="I1530" s="59" t="s">
        <v>1523</v>
      </c>
      <c r="J1530" s="59" t="s">
        <v>1524</v>
      </c>
      <c r="K1530" s="69">
        <v>5403</v>
      </c>
      <c r="L1530" s="56">
        <v>207</v>
      </c>
      <c r="M1530" s="59" t="s">
        <v>26</v>
      </c>
      <c r="N1530" s="61">
        <v>164.77</v>
      </c>
      <c r="O1530" s="59" t="s">
        <v>313</v>
      </c>
      <c r="P1530" s="62">
        <v>153.99</v>
      </c>
      <c r="Q1530" s="63">
        <v>20</v>
      </c>
      <c r="R1530" s="62">
        <v>30.8</v>
      </c>
      <c r="S1530" s="61">
        <v>0</v>
      </c>
      <c r="T1530" s="62">
        <v>10.78</v>
      </c>
    </row>
    <row r="1531" spans="1:20" ht="11.1" customHeight="1" x14ac:dyDescent="0.25">
      <c r="O1531" s="59" t="s">
        <v>436</v>
      </c>
      <c r="P1531" s="62">
        <v>207.89</v>
      </c>
      <c r="Q1531" s="63">
        <v>20</v>
      </c>
      <c r="R1531" s="62">
        <v>10.78</v>
      </c>
      <c r="S1531" s="61">
        <v>0</v>
      </c>
      <c r="T1531" s="62">
        <v>0</v>
      </c>
    </row>
    <row r="1532" spans="1:20" ht="11.1" customHeight="1" x14ac:dyDescent="0.25">
      <c r="A1532" s="56">
        <v>108442</v>
      </c>
      <c r="B1532" s="72">
        <v>46027</v>
      </c>
      <c r="C1532" s="68">
        <v>46027</v>
      </c>
      <c r="D1532" s="58" t="s">
        <v>1525</v>
      </c>
      <c r="E1532" s="59" t="s">
        <v>352</v>
      </c>
      <c r="F1532" s="56">
        <v>36</v>
      </c>
      <c r="G1532" s="73">
        <v>580</v>
      </c>
      <c r="H1532" s="74" t="s">
        <v>1522</v>
      </c>
      <c r="I1532" s="59" t="s">
        <v>1523</v>
      </c>
      <c r="J1532" s="59" t="s">
        <v>1524</v>
      </c>
      <c r="K1532" s="69">
        <v>5403</v>
      </c>
      <c r="L1532" s="56">
        <v>207</v>
      </c>
      <c r="M1532" s="59" t="s">
        <v>26</v>
      </c>
      <c r="N1532" s="61">
        <v>164.77</v>
      </c>
      <c r="O1532" s="59" t="s">
        <v>313</v>
      </c>
      <c r="P1532" s="62">
        <v>153.99</v>
      </c>
      <c r="Q1532" s="63">
        <v>20</v>
      </c>
      <c r="R1532" s="62">
        <v>30.8</v>
      </c>
      <c r="S1532" s="61">
        <v>0</v>
      </c>
      <c r="T1532" s="62">
        <v>10.78</v>
      </c>
    </row>
    <row r="1533" spans="1:20" ht="11.1" customHeight="1" x14ac:dyDescent="0.25">
      <c r="O1533" s="59" t="s">
        <v>436</v>
      </c>
      <c r="P1533" s="62">
        <v>207.89</v>
      </c>
      <c r="Q1533" s="63">
        <v>20</v>
      </c>
      <c r="R1533" s="62">
        <v>10.78</v>
      </c>
      <c r="S1533" s="61">
        <v>0</v>
      </c>
      <c r="T1533" s="62">
        <v>0</v>
      </c>
    </row>
    <row r="1534" spans="1:20" ht="11.1" customHeight="1" x14ac:dyDescent="0.25">
      <c r="A1534" s="56">
        <v>108964</v>
      </c>
      <c r="B1534" s="72">
        <v>46037</v>
      </c>
      <c r="C1534" s="68">
        <v>46037</v>
      </c>
      <c r="D1534" s="58" t="s">
        <v>1526</v>
      </c>
      <c r="E1534" s="59" t="s">
        <v>352</v>
      </c>
      <c r="F1534" s="56">
        <v>36</v>
      </c>
      <c r="G1534" s="73">
        <v>580</v>
      </c>
      <c r="H1534" s="74" t="s">
        <v>1522</v>
      </c>
      <c r="I1534" s="59" t="s">
        <v>1523</v>
      </c>
      <c r="J1534" s="59" t="s">
        <v>1524</v>
      </c>
      <c r="K1534" s="69">
        <v>5102</v>
      </c>
      <c r="L1534" s="56">
        <v>205</v>
      </c>
      <c r="M1534" s="59" t="s">
        <v>26</v>
      </c>
      <c r="N1534" s="61">
        <v>29.74</v>
      </c>
      <c r="O1534" s="59" t="s">
        <v>313</v>
      </c>
      <c r="P1534" s="62">
        <v>29.74</v>
      </c>
      <c r="Q1534" s="63">
        <v>20</v>
      </c>
      <c r="R1534" s="62">
        <v>5.95</v>
      </c>
      <c r="S1534" s="61">
        <v>0</v>
      </c>
      <c r="T1534" s="62">
        <v>0</v>
      </c>
    </row>
    <row r="1535" spans="1:20" ht="11.1" customHeight="1" x14ac:dyDescent="0.25">
      <c r="A1535" s="56">
        <v>108965</v>
      </c>
      <c r="B1535" s="72">
        <v>46037</v>
      </c>
      <c r="C1535" s="68">
        <v>46037</v>
      </c>
      <c r="D1535" s="58" t="s">
        <v>1526</v>
      </c>
      <c r="E1535" s="59" t="s">
        <v>352</v>
      </c>
      <c r="F1535" s="56">
        <v>36</v>
      </c>
      <c r="G1535" s="73">
        <v>580</v>
      </c>
      <c r="H1535" s="74" t="s">
        <v>1522</v>
      </c>
      <c r="I1535" s="59" t="s">
        <v>1523</v>
      </c>
      <c r="J1535" s="59" t="s">
        <v>1524</v>
      </c>
      <c r="K1535" s="69">
        <v>5403</v>
      </c>
      <c r="L1535" s="56">
        <v>207</v>
      </c>
      <c r="M1535" s="59" t="s">
        <v>26</v>
      </c>
      <c r="N1535" s="61">
        <v>166.48</v>
      </c>
      <c r="O1535" s="59" t="s">
        <v>313</v>
      </c>
      <c r="P1535" s="62">
        <v>155.59</v>
      </c>
      <c r="Q1535" s="63">
        <v>20</v>
      </c>
      <c r="R1535" s="62">
        <v>31.12</v>
      </c>
      <c r="S1535" s="61">
        <v>0</v>
      </c>
      <c r="T1535" s="62">
        <v>10.89</v>
      </c>
    </row>
    <row r="1536" spans="1:20" ht="11.1" customHeight="1" x14ac:dyDescent="0.25">
      <c r="O1536" s="59" t="s">
        <v>436</v>
      </c>
      <c r="P1536" s="62">
        <v>210.05</v>
      </c>
      <c r="Q1536" s="63">
        <v>20</v>
      </c>
      <c r="R1536" s="62">
        <v>10.89</v>
      </c>
      <c r="S1536" s="61">
        <v>0</v>
      </c>
      <c r="T1536" s="62">
        <v>0</v>
      </c>
    </row>
    <row r="1537" spans="1:20" ht="11.1" customHeight="1" x14ac:dyDescent="0.25">
      <c r="A1537" s="56">
        <v>109062</v>
      </c>
      <c r="B1537" s="72">
        <v>46038</v>
      </c>
      <c r="C1537" s="68">
        <v>46038</v>
      </c>
      <c r="D1537" s="58" t="s">
        <v>1527</v>
      </c>
      <c r="E1537" s="59" t="s">
        <v>352</v>
      </c>
      <c r="F1537" s="56">
        <v>36</v>
      </c>
      <c r="G1537" s="73">
        <v>580</v>
      </c>
      <c r="H1537" s="74" t="s">
        <v>1522</v>
      </c>
      <c r="I1537" s="59" t="s">
        <v>1523</v>
      </c>
      <c r="J1537" s="59" t="s">
        <v>1524</v>
      </c>
      <c r="K1537" s="69">
        <v>5403</v>
      </c>
      <c r="L1537" s="56">
        <v>207</v>
      </c>
      <c r="M1537" s="59" t="s">
        <v>26</v>
      </c>
      <c r="N1537" s="61">
        <v>166.48</v>
      </c>
      <c r="O1537" s="59" t="s">
        <v>313</v>
      </c>
      <c r="P1537" s="62">
        <v>155.59</v>
      </c>
      <c r="Q1537" s="63">
        <v>20</v>
      </c>
      <c r="R1537" s="62">
        <v>31.12</v>
      </c>
      <c r="S1537" s="61">
        <v>0</v>
      </c>
      <c r="T1537" s="62">
        <v>10.89</v>
      </c>
    </row>
    <row r="1538" spans="1:20" ht="11.1" customHeight="1" x14ac:dyDescent="0.25">
      <c r="O1538" s="59" t="s">
        <v>436</v>
      </c>
      <c r="P1538" s="62">
        <v>210.05</v>
      </c>
      <c r="Q1538" s="63">
        <v>20</v>
      </c>
      <c r="R1538" s="62">
        <v>10.89</v>
      </c>
      <c r="S1538" s="61">
        <v>0</v>
      </c>
      <c r="T1538" s="62">
        <v>0</v>
      </c>
    </row>
    <row r="1539" spans="1:20" ht="11.1" customHeight="1" x14ac:dyDescent="0.25">
      <c r="A1539" s="56">
        <v>109110</v>
      </c>
      <c r="B1539" s="72">
        <v>46041</v>
      </c>
      <c r="C1539" s="68">
        <v>46041</v>
      </c>
      <c r="D1539" s="58" t="s">
        <v>1528</v>
      </c>
      <c r="E1539" s="59" t="s">
        <v>352</v>
      </c>
      <c r="F1539" s="56">
        <v>36</v>
      </c>
      <c r="G1539" s="73">
        <v>580</v>
      </c>
      <c r="H1539" s="74" t="s">
        <v>1522</v>
      </c>
      <c r="I1539" s="59" t="s">
        <v>1523</v>
      </c>
      <c r="J1539" s="59" t="s">
        <v>1524</v>
      </c>
      <c r="K1539" s="69">
        <v>5102</v>
      </c>
      <c r="L1539" s="56">
        <v>205</v>
      </c>
      <c r="M1539" s="59" t="s">
        <v>26</v>
      </c>
      <c r="N1539" s="61">
        <v>34.75</v>
      </c>
      <c r="O1539" s="59" t="s">
        <v>313</v>
      </c>
      <c r="P1539" s="62">
        <v>34.75</v>
      </c>
      <c r="Q1539" s="63">
        <v>20</v>
      </c>
      <c r="R1539" s="62">
        <v>6.95</v>
      </c>
      <c r="S1539" s="61">
        <v>0</v>
      </c>
      <c r="T1539" s="62">
        <v>0</v>
      </c>
    </row>
    <row r="1540" spans="1:20" ht="11.1" customHeight="1" x14ac:dyDescent="0.25">
      <c r="A1540" s="56">
        <v>109111</v>
      </c>
      <c r="B1540" s="72">
        <v>46041</v>
      </c>
      <c r="C1540" s="68">
        <v>46041</v>
      </c>
      <c r="D1540" s="58" t="s">
        <v>1528</v>
      </c>
      <c r="E1540" s="59" t="s">
        <v>352</v>
      </c>
      <c r="F1540" s="56">
        <v>36</v>
      </c>
      <c r="G1540" s="73">
        <v>580</v>
      </c>
      <c r="H1540" s="74" t="s">
        <v>1522</v>
      </c>
      <c r="I1540" s="59" t="s">
        <v>1523</v>
      </c>
      <c r="J1540" s="59" t="s">
        <v>1524</v>
      </c>
      <c r="K1540" s="69">
        <v>5403</v>
      </c>
      <c r="L1540" s="56">
        <v>207</v>
      </c>
      <c r="M1540" s="59" t="s">
        <v>26</v>
      </c>
      <c r="N1540" s="61">
        <v>332.96</v>
      </c>
      <c r="O1540" s="59" t="s">
        <v>313</v>
      </c>
      <c r="P1540" s="62">
        <v>311.18</v>
      </c>
      <c r="Q1540" s="63">
        <v>20</v>
      </c>
      <c r="R1540" s="62">
        <v>62.24</v>
      </c>
      <c r="S1540" s="61">
        <v>0</v>
      </c>
      <c r="T1540" s="62">
        <v>21.78</v>
      </c>
    </row>
    <row r="1541" spans="1:20" ht="11.1" customHeight="1" x14ac:dyDescent="0.25">
      <c r="O1541" s="59" t="s">
        <v>436</v>
      </c>
      <c r="P1541" s="62">
        <v>420.09</v>
      </c>
      <c r="Q1541" s="63">
        <v>20</v>
      </c>
      <c r="R1541" s="62">
        <v>21.78</v>
      </c>
      <c r="S1541" s="61">
        <v>0</v>
      </c>
      <c r="T1541" s="62">
        <v>0</v>
      </c>
    </row>
    <row r="1542" spans="1:20" ht="11.85" customHeight="1" x14ac:dyDescent="0.25">
      <c r="A1542" s="71" t="s">
        <v>620</v>
      </c>
      <c r="B1542" s="71"/>
      <c r="C1542" s="71"/>
      <c r="D1542" s="71"/>
      <c r="E1542" s="71"/>
      <c r="F1542" s="71"/>
      <c r="G1542" s="71"/>
      <c r="H1542" s="71"/>
    </row>
    <row r="1543" spans="1:20" ht="11.1" customHeight="1" x14ac:dyDescent="0.25">
      <c r="O1543" s="59" t="s">
        <v>313</v>
      </c>
      <c r="P1543" s="62">
        <v>994.83</v>
      </c>
      <c r="R1543" s="62">
        <v>198.98</v>
      </c>
      <c r="S1543" s="61">
        <v>0</v>
      </c>
      <c r="T1543" s="62">
        <v>65.12</v>
      </c>
    </row>
    <row r="1544" spans="1:20" ht="11.1" customHeight="1" x14ac:dyDescent="0.25">
      <c r="O1544" s="59" t="s">
        <v>436</v>
      </c>
      <c r="P1544" s="62">
        <v>1255.97</v>
      </c>
      <c r="R1544" s="62">
        <v>65.12</v>
      </c>
      <c r="S1544" s="61">
        <v>0</v>
      </c>
      <c r="T1544" s="62">
        <v>0</v>
      </c>
    </row>
    <row r="1545" spans="1:20" ht="11.1" customHeight="1" x14ac:dyDescent="0.25">
      <c r="A1545" s="56">
        <v>108667</v>
      </c>
      <c r="B1545" s="72">
        <v>46030</v>
      </c>
      <c r="C1545" s="68">
        <v>46030</v>
      </c>
      <c r="D1545" s="58" t="s">
        <v>1529</v>
      </c>
      <c r="E1545" s="59" t="s">
        <v>352</v>
      </c>
      <c r="F1545" s="56">
        <v>36</v>
      </c>
      <c r="G1545" s="73">
        <v>855</v>
      </c>
      <c r="H1545" s="74" t="s">
        <v>1530</v>
      </c>
      <c r="I1545" s="59" t="s">
        <v>1531</v>
      </c>
      <c r="J1545" s="59" t="s">
        <v>1532</v>
      </c>
      <c r="K1545" s="69">
        <v>6403</v>
      </c>
      <c r="L1545" s="56">
        <v>207</v>
      </c>
      <c r="M1545" s="59" t="s">
        <v>34</v>
      </c>
      <c r="N1545" s="61">
        <v>1040.67</v>
      </c>
      <c r="O1545" s="59" t="s">
        <v>313</v>
      </c>
      <c r="P1545" s="62">
        <v>903.39</v>
      </c>
      <c r="Q1545" s="63">
        <v>12</v>
      </c>
      <c r="R1545" s="62">
        <v>108.41</v>
      </c>
      <c r="S1545" s="61">
        <v>0</v>
      </c>
      <c r="T1545" s="62">
        <v>137.28</v>
      </c>
    </row>
    <row r="1546" spans="1:20" ht="11.1" customHeight="1" x14ac:dyDescent="0.25">
      <c r="O1546" s="59" t="s">
        <v>436</v>
      </c>
      <c r="P1546" s="62">
        <v>1293.1099999999999</v>
      </c>
      <c r="Q1546" s="63">
        <v>19</v>
      </c>
      <c r="R1546" s="62">
        <v>137.28</v>
      </c>
      <c r="S1546" s="61">
        <v>0</v>
      </c>
      <c r="T1546" s="62">
        <v>0</v>
      </c>
    </row>
    <row r="1547" spans="1:20" ht="11.85" customHeight="1" x14ac:dyDescent="0.25">
      <c r="A1547" s="71" t="s">
        <v>620</v>
      </c>
      <c r="B1547" s="71"/>
      <c r="C1547" s="71"/>
      <c r="D1547" s="71"/>
      <c r="E1547" s="71"/>
      <c r="F1547" s="71"/>
      <c r="G1547" s="71"/>
      <c r="H1547" s="71"/>
    </row>
    <row r="1548" spans="1:20" ht="11.1" customHeight="1" x14ac:dyDescent="0.25">
      <c r="O1548" s="59" t="s">
        <v>313</v>
      </c>
      <c r="P1548" s="62">
        <v>903.39</v>
      </c>
      <c r="R1548" s="62">
        <v>108.41</v>
      </c>
      <c r="S1548" s="61">
        <v>0</v>
      </c>
      <c r="T1548" s="62">
        <v>137.28</v>
      </c>
    </row>
    <row r="1549" spans="1:20" ht="11.1" customHeight="1" x14ac:dyDescent="0.25">
      <c r="O1549" s="59" t="s">
        <v>436</v>
      </c>
      <c r="P1549" s="62">
        <v>1293.1099999999999</v>
      </c>
      <c r="R1549" s="62">
        <v>137.28</v>
      </c>
      <c r="S1549" s="61">
        <v>0</v>
      </c>
      <c r="T1549" s="62">
        <v>0</v>
      </c>
    </row>
    <row r="1550" spans="1:20" ht="11.1" customHeight="1" x14ac:dyDescent="0.25">
      <c r="A1550" s="56">
        <v>109356</v>
      </c>
      <c r="B1550" s="72">
        <v>46045</v>
      </c>
      <c r="C1550" s="68">
        <v>46045</v>
      </c>
      <c r="D1550" s="58" t="s">
        <v>1533</v>
      </c>
      <c r="E1550" s="59" t="s">
        <v>352</v>
      </c>
      <c r="F1550" s="56">
        <v>36</v>
      </c>
      <c r="G1550" s="73">
        <v>495</v>
      </c>
      <c r="H1550" s="74" t="s">
        <v>1534</v>
      </c>
      <c r="I1550" s="59" t="s">
        <v>1535</v>
      </c>
      <c r="J1550" s="59" t="s">
        <v>1536</v>
      </c>
      <c r="K1550" s="69">
        <v>5102</v>
      </c>
      <c r="L1550" s="56">
        <v>205</v>
      </c>
      <c r="M1550" s="59" t="s">
        <v>26</v>
      </c>
      <c r="N1550" s="61">
        <v>278.56</v>
      </c>
      <c r="O1550" s="59" t="s">
        <v>313</v>
      </c>
      <c r="P1550" s="62">
        <v>278.56</v>
      </c>
      <c r="Q1550" s="63">
        <v>20</v>
      </c>
      <c r="R1550" s="62">
        <v>55.71</v>
      </c>
      <c r="S1550" s="61">
        <v>0</v>
      </c>
      <c r="T1550" s="62">
        <v>0</v>
      </c>
    </row>
    <row r="1551" spans="1:20" ht="11.1" customHeight="1" x14ac:dyDescent="0.25">
      <c r="A1551" s="56">
        <v>109357</v>
      </c>
      <c r="B1551" s="72">
        <v>46045</v>
      </c>
      <c r="C1551" s="68">
        <v>46045</v>
      </c>
      <c r="D1551" s="58" t="s">
        <v>1533</v>
      </c>
      <c r="E1551" s="59" t="s">
        <v>352</v>
      </c>
      <c r="F1551" s="56">
        <v>36</v>
      </c>
      <c r="G1551" s="73">
        <v>495</v>
      </c>
      <c r="H1551" s="74" t="s">
        <v>1534</v>
      </c>
      <c r="I1551" s="59" t="s">
        <v>1535</v>
      </c>
      <c r="J1551" s="59" t="s">
        <v>1536</v>
      </c>
      <c r="K1551" s="69">
        <v>5403</v>
      </c>
      <c r="L1551" s="56">
        <v>207</v>
      </c>
      <c r="M1551" s="59" t="s">
        <v>26</v>
      </c>
      <c r="N1551" s="61">
        <v>1054.77</v>
      </c>
      <c r="O1551" s="59" t="s">
        <v>313</v>
      </c>
      <c r="P1551" s="62">
        <v>985.77</v>
      </c>
      <c r="Q1551" s="63">
        <v>20</v>
      </c>
      <c r="R1551" s="62">
        <v>197.15</v>
      </c>
      <c r="S1551" s="61">
        <v>0</v>
      </c>
      <c r="T1551" s="62">
        <v>69</v>
      </c>
    </row>
    <row r="1552" spans="1:20" ht="11.1" customHeight="1" x14ac:dyDescent="0.25">
      <c r="O1552" s="59" t="s">
        <v>436</v>
      </c>
      <c r="P1552" s="62">
        <v>1330.79</v>
      </c>
      <c r="Q1552" s="63">
        <v>20</v>
      </c>
      <c r="R1552" s="62">
        <v>69</v>
      </c>
      <c r="S1552" s="61">
        <v>0</v>
      </c>
      <c r="T1552" s="62">
        <v>0</v>
      </c>
    </row>
    <row r="1553" spans="1:20" ht="11.85" customHeight="1" x14ac:dyDescent="0.25">
      <c r="A1553" s="71" t="s">
        <v>620</v>
      </c>
      <c r="B1553" s="71"/>
      <c r="C1553" s="71"/>
      <c r="D1553" s="71"/>
      <c r="E1553" s="71"/>
      <c r="F1553" s="71"/>
      <c r="G1553" s="71"/>
      <c r="H1553" s="71"/>
    </row>
    <row r="1554" spans="1:20" ht="11.1" customHeight="1" x14ac:dyDescent="0.25">
      <c r="O1554" s="59" t="s">
        <v>313</v>
      </c>
      <c r="P1554" s="62">
        <v>1264.33</v>
      </c>
      <c r="R1554" s="62">
        <v>252.86</v>
      </c>
      <c r="S1554" s="61">
        <v>0</v>
      </c>
      <c r="T1554" s="62">
        <v>69</v>
      </c>
    </row>
    <row r="1555" spans="1:20" ht="11.1" customHeight="1" x14ac:dyDescent="0.25">
      <c r="O1555" s="59" t="s">
        <v>436</v>
      </c>
      <c r="P1555" s="62">
        <v>1330.79</v>
      </c>
      <c r="R1555" s="62">
        <v>69</v>
      </c>
      <c r="S1555" s="61">
        <v>0</v>
      </c>
      <c r="T1555" s="62">
        <v>0</v>
      </c>
    </row>
    <row r="1556" spans="1:20" ht="11.1" customHeight="1" x14ac:dyDescent="0.25">
      <c r="A1556" s="56">
        <v>108555</v>
      </c>
      <c r="B1556" s="72">
        <v>46028</v>
      </c>
      <c r="C1556" s="68">
        <v>46028</v>
      </c>
      <c r="D1556" s="58" t="s">
        <v>1537</v>
      </c>
      <c r="E1556" s="59" t="s">
        <v>352</v>
      </c>
      <c r="F1556" s="56">
        <v>36</v>
      </c>
      <c r="G1556" s="73">
        <v>489</v>
      </c>
      <c r="H1556" s="74" t="s">
        <v>1538</v>
      </c>
      <c r="I1556" s="59" t="s">
        <v>1539</v>
      </c>
      <c r="J1556" s="59" t="s">
        <v>1540</v>
      </c>
      <c r="K1556" s="69">
        <v>5102</v>
      </c>
      <c r="L1556" s="56">
        <v>205</v>
      </c>
      <c r="M1556" s="59" t="s">
        <v>26</v>
      </c>
      <c r="N1556" s="61">
        <v>2572.64</v>
      </c>
      <c r="O1556" s="59" t="s">
        <v>313</v>
      </c>
      <c r="P1556" s="62">
        <v>2572.64</v>
      </c>
      <c r="Q1556" s="63">
        <v>20</v>
      </c>
      <c r="R1556" s="62">
        <v>514.52</v>
      </c>
      <c r="S1556" s="61">
        <v>0</v>
      </c>
      <c r="T1556" s="62">
        <v>0</v>
      </c>
    </row>
    <row r="1557" spans="1:20" ht="11.1" customHeight="1" x14ac:dyDescent="0.25">
      <c r="A1557" s="56">
        <v>108594</v>
      </c>
      <c r="B1557" s="72">
        <v>46029</v>
      </c>
      <c r="C1557" s="68">
        <v>46029</v>
      </c>
      <c r="D1557" s="58" t="s">
        <v>1541</v>
      </c>
      <c r="E1557" s="59" t="s">
        <v>352</v>
      </c>
      <c r="F1557" s="56">
        <v>36</v>
      </c>
      <c r="G1557" s="73">
        <v>489</v>
      </c>
      <c r="H1557" s="74" t="s">
        <v>1538</v>
      </c>
      <c r="I1557" s="59" t="s">
        <v>1539</v>
      </c>
      <c r="J1557" s="59" t="s">
        <v>1540</v>
      </c>
      <c r="K1557" s="69">
        <v>5102</v>
      </c>
      <c r="L1557" s="56">
        <v>205</v>
      </c>
      <c r="M1557" s="59" t="s">
        <v>26</v>
      </c>
      <c r="N1557" s="61">
        <v>530.51</v>
      </c>
      <c r="O1557" s="59" t="s">
        <v>313</v>
      </c>
      <c r="P1557" s="62">
        <v>530.51</v>
      </c>
      <c r="Q1557" s="63">
        <v>20</v>
      </c>
      <c r="R1557" s="62">
        <v>106.1</v>
      </c>
      <c r="S1557" s="61">
        <v>0</v>
      </c>
      <c r="T1557" s="62">
        <v>0</v>
      </c>
    </row>
    <row r="1558" spans="1:20" ht="11.1" customHeight="1" x14ac:dyDescent="0.25">
      <c r="A1558" s="56">
        <v>108767</v>
      </c>
      <c r="B1558" s="72">
        <v>46034</v>
      </c>
      <c r="C1558" s="68">
        <v>46034</v>
      </c>
      <c r="D1558" s="58" t="s">
        <v>1542</v>
      </c>
      <c r="E1558" s="59" t="s">
        <v>352</v>
      </c>
      <c r="F1558" s="56">
        <v>36</v>
      </c>
      <c r="G1558" s="73">
        <v>489</v>
      </c>
      <c r="H1558" s="74" t="s">
        <v>1538</v>
      </c>
      <c r="I1558" s="59" t="s">
        <v>1539</v>
      </c>
      <c r="J1558" s="59" t="s">
        <v>1540</v>
      </c>
      <c r="K1558" s="69">
        <v>5102</v>
      </c>
      <c r="L1558" s="56">
        <v>205</v>
      </c>
      <c r="M1558" s="59" t="s">
        <v>26</v>
      </c>
      <c r="N1558" s="61">
        <v>662.3</v>
      </c>
      <c r="O1558" s="59" t="s">
        <v>313</v>
      </c>
      <c r="P1558" s="62">
        <v>662.3</v>
      </c>
      <c r="Q1558" s="63">
        <v>20</v>
      </c>
      <c r="R1558" s="62">
        <v>132.46</v>
      </c>
      <c r="S1558" s="61">
        <v>0</v>
      </c>
      <c r="T1558" s="62">
        <v>0</v>
      </c>
    </row>
    <row r="1559" spans="1:20" ht="11.1" customHeight="1" x14ac:dyDescent="0.25">
      <c r="A1559" s="56">
        <v>109333</v>
      </c>
      <c r="B1559" s="72">
        <v>46045</v>
      </c>
      <c r="C1559" s="68">
        <v>46045</v>
      </c>
      <c r="D1559" s="58" t="s">
        <v>1543</v>
      </c>
      <c r="E1559" s="59" t="s">
        <v>352</v>
      </c>
      <c r="F1559" s="56">
        <v>36</v>
      </c>
      <c r="G1559" s="73">
        <v>489</v>
      </c>
      <c r="H1559" s="74" t="s">
        <v>1538</v>
      </c>
      <c r="I1559" s="59" t="s">
        <v>1539</v>
      </c>
      <c r="J1559" s="59" t="s">
        <v>1540</v>
      </c>
      <c r="K1559" s="69">
        <v>5102</v>
      </c>
      <c r="L1559" s="56">
        <v>205</v>
      </c>
      <c r="M1559" s="59" t="s">
        <v>26</v>
      </c>
      <c r="N1559" s="61">
        <v>775.32</v>
      </c>
      <c r="O1559" s="59" t="s">
        <v>313</v>
      </c>
      <c r="P1559" s="62">
        <v>775.32</v>
      </c>
      <c r="Q1559" s="63">
        <v>20</v>
      </c>
      <c r="R1559" s="62">
        <v>155.06</v>
      </c>
      <c r="S1559" s="61">
        <v>0</v>
      </c>
      <c r="T1559" s="62">
        <v>0</v>
      </c>
    </row>
    <row r="1560" spans="1:20" ht="11.1" customHeight="1" x14ac:dyDescent="0.25">
      <c r="A1560" s="56">
        <v>109616</v>
      </c>
      <c r="B1560" s="72">
        <v>46051</v>
      </c>
      <c r="C1560" s="68">
        <v>46051</v>
      </c>
      <c r="D1560" s="58" t="s">
        <v>1544</v>
      </c>
      <c r="E1560" s="59" t="s">
        <v>352</v>
      </c>
      <c r="F1560" s="56">
        <v>36</v>
      </c>
      <c r="G1560" s="73">
        <v>489</v>
      </c>
      <c r="H1560" s="74" t="s">
        <v>1538</v>
      </c>
      <c r="I1560" s="59" t="s">
        <v>1539</v>
      </c>
      <c r="J1560" s="59" t="s">
        <v>1540</v>
      </c>
      <c r="K1560" s="69">
        <v>5102</v>
      </c>
      <c r="L1560" s="56">
        <v>205</v>
      </c>
      <c r="M1560" s="59" t="s">
        <v>26</v>
      </c>
      <c r="N1560" s="61">
        <v>775.32</v>
      </c>
      <c r="O1560" s="59" t="s">
        <v>313</v>
      </c>
      <c r="P1560" s="62">
        <v>775.32</v>
      </c>
      <c r="Q1560" s="63">
        <v>20</v>
      </c>
      <c r="R1560" s="62">
        <v>155.06</v>
      </c>
      <c r="S1560" s="61">
        <v>0</v>
      </c>
      <c r="T1560" s="62">
        <v>0</v>
      </c>
    </row>
    <row r="1561" spans="1:20" ht="11.85" customHeight="1" x14ac:dyDescent="0.25">
      <c r="A1561" s="71" t="s">
        <v>620</v>
      </c>
      <c r="B1561" s="71"/>
      <c r="C1561" s="71"/>
      <c r="D1561" s="71"/>
      <c r="E1561" s="71"/>
      <c r="F1561" s="71"/>
      <c r="G1561" s="71"/>
      <c r="H1561" s="71"/>
    </row>
    <row r="1562" spans="1:20" ht="11.1" customHeight="1" x14ac:dyDescent="0.25">
      <c r="O1562" s="59" t="s">
        <v>313</v>
      </c>
      <c r="P1562" s="62">
        <v>5316.09</v>
      </c>
      <c r="R1562" s="62">
        <v>1063.2</v>
      </c>
      <c r="S1562" s="61">
        <v>0</v>
      </c>
      <c r="T1562" s="62">
        <v>0</v>
      </c>
    </row>
    <row r="1563" spans="1:20" ht="11.1" customHeight="1" x14ac:dyDescent="0.25">
      <c r="A1563" s="56">
        <v>108425</v>
      </c>
      <c r="B1563" s="72">
        <v>46024</v>
      </c>
      <c r="C1563" s="68">
        <v>46024</v>
      </c>
      <c r="D1563" s="58" t="s">
        <v>1545</v>
      </c>
      <c r="E1563" s="59" t="s">
        <v>352</v>
      </c>
      <c r="F1563" s="56">
        <v>36</v>
      </c>
      <c r="G1563" s="73">
        <v>680</v>
      </c>
      <c r="H1563" s="74" t="s">
        <v>1546</v>
      </c>
      <c r="I1563" s="59" t="s">
        <v>1547</v>
      </c>
      <c r="J1563" s="59" t="s">
        <v>1548</v>
      </c>
      <c r="K1563" s="69">
        <v>5403</v>
      </c>
      <c r="L1563" s="56">
        <v>207</v>
      </c>
      <c r="M1563" s="59" t="s">
        <v>26</v>
      </c>
      <c r="N1563" s="61">
        <v>262.97000000000003</v>
      </c>
      <c r="O1563" s="59" t="s">
        <v>313</v>
      </c>
      <c r="P1563" s="62">
        <v>245.76</v>
      </c>
      <c r="Q1563" s="63">
        <v>20</v>
      </c>
      <c r="R1563" s="62">
        <v>49.15</v>
      </c>
      <c r="S1563" s="61">
        <v>0</v>
      </c>
      <c r="T1563" s="62">
        <v>17.21</v>
      </c>
    </row>
    <row r="1564" spans="1:20" ht="11.1" customHeight="1" x14ac:dyDescent="0.25">
      <c r="O1564" s="59" t="s">
        <v>436</v>
      </c>
      <c r="P1564" s="62">
        <v>331.78</v>
      </c>
      <c r="Q1564" s="63">
        <v>20</v>
      </c>
      <c r="R1564" s="62">
        <v>17.21</v>
      </c>
      <c r="S1564" s="61">
        <v>0</v>
      </c>
      <c r="T1564" s="62">
        <v>0</v>
      </c>
    </row>
    <row r="1565" spans="1:20" ht="11.1" customHeight="1" x14ac:dyDescent="0.25">
      <c r="A1565" s="56">
        <v>109686</v>
      </c>
      <c r="B1565" s="72">
        <v>46052</v>
      </c>
      <c r="C1565" s="68">
        <v>46052</v>
      </c>
      <c r="D1565" s="58" t="s">
        <v>1549</v>
      </c>
      <c r="E1565" s="59" t="s">
        <v>352</v>
      </c>
      <c r="F1565" s="56">
        <v>36</v>
      </c>
      <c r="G1565" s="73">
        <v>680</v>
      </c>
      <c r="H1565" s="74" t="s">
        <v>1546</v>
      </c>
      <c r="I1565" s="59" t="s">
        <v>1547</v>
      </c>
      <c r="J1565" s="59" t="s">
        <v>1548</v>
      </c>
      <c r="K1565" s="69">
        <v>5403</v>
      </c>
      <c r="L1565" s="56">
        <v>207</v>
      </c>
      <c r="M1565" s="59" t="s">
        <v>26</v>
      </c>
      <c r="N1565" s="61">
        <v>329.53</v>
      </c>
      <c r="O1565" s="59" t="s">
        <v>313</v>
      </c>
      <c r="P1565" s="62">
        <v>307.98</v>
      </c>
      <c r="Q1565" s="63">
        <v>20</v>
      </c>
      <c r="R1565" s="62">
        <v>61.6</v>
      </c>
      <c r="S1565" s="61">
        <v>0</v>
      </c>
      <c r="T1565" s="62">
        <v>21.55</v>
      </c>
    </row>
    <row r="1566" spans="1:20" ht="11.1" customHeight="1" x14ac:dyDescent="0.25">
      <c r="O1566" s="59" t="s">
        <v>436</v>
      </c>
      <c r="P1566" s="62">
        <v>415.77</v>
      </c>
      <c r="Q1566" s="63">
        <v>20</v>
      </c>
      <c r="R1566" s="62">
        <v>21.55</v>
      </c>
      <c r="S1566" s="61">
        <v>0</v>
      </c>
      <c r="T1566" s="62">
        <v>0</v>
      </c>
    </row>
    <row r="1567" spans="1:20" ht="11.85" customHeight="1" x14ac:dyDescent="0.25">
      <c r="A1567" s="71" t="s">
        <v>620</v>
      </c>
      <c r="B1567" s="71"/>
      <c r="C1567" s="71"/>
      <c r="D1567" s="71"/>
      <c r="E1567" s="71"/>
      <c r="F1567" s="71"/>
      <c r="G1567" s="71"/>
      <c r="H1567" s="71"/>
    </row>
    <row r="1568" spans="1:20" ht="11.1" customHeight="1" x14ac:dyDescent="0.25">
      <c r="O1568" s="59" t="s">
        <v>313</v>
      </c>
      <c r="P1568" s="62">
        <v>553.74</v>
      </c>
      <c r="R1568" s="62">
        <v>110.75</v>
      </c>
      <c r="S1568" s="61">
        <v>0</v>
      </c>
      <c r="T1568" s="62">
        <v>38.76</v>
      </c>
    </row>
    <row r="1569" spans="1:20" ht="11.1" customHeight="1" x14ac:dyDescent="0.25">
      <c r="O1569" s="59" t="s">
        <v>436</v>
      </c>
      <c r="P1569" s="62">
        <v>747.55</v>
      </c>
      <c r="R1569" s="62">
        <v>38.76</v>
      </c>
      <c r="S1569" s="61">
        <v>0</v>
      </c>
      <c r="T1569" s="62">
        <v>0</v>
      </c>
    </row>
    <row r="1570" spans="1:20" ht="11.1" customHeight="1" x14ac:dyDescent="0.25">
      <c r="A1570" s="56">
        <v>108589</v>
      </c>
      <c r="B1570" s="72">
        <v>46029</v>
      </c>
      <c r="C1570" s="68">
        <v>46029</v>
      </c>
      <c r="D1570" s="58" t="s">
        <v>1550</v>
      </c>
      <c r="E1570" s="59" t="s">
        <v>352</v>
      </c>
      <c r="F1570" s="56">
        <v>36</v>
      </c>
      <c r="G1570" s="73">
        <v>533</v>
      </c>
      <c r="H1570" s="74" t="s">
        <v>1551</v>
      </c>
      <c r="I1570" s="59" t="s">
        <v>1552</v>
      </c>
      <c r="J1570" s="59" t="s">
        <v>1553</v>
      </c>
      <c r="K1570" s="69">
        <v>5102</v>
      </c>
      <c r="L1570" s="56">
        <v>205</v>
      </c>
      <c r="M1570" s="59" t="s">
        <v>26</v>
      </c>
      <c r="N1570" s="61">
        <v>1126.19</v>
      </c>
      <c r="O1570" s="59" t="s">
        <v>313</v>
      </c>
      <c r="P1570" s="62">
        <v>1126.19</v>
      </c>
      <c r="Q1570" s="63">
        <v>20</v>
      </c>
      <c r="R1570" s="62">
        <v>225.24</v>
      </c>
      <c r="S1570" s="61">
        <v>0</v>
      </c>
      <c r="T1570" s="62">
        <v>0</v>
      </c>
    </row>
    <row r="1571" spans="1:20" ht="11.85" customHeight="1" x14ac:dyDescent="0.25">
      <c r="A1571" s="71" t="s">
        <v>620</v>
      </c>
      <c r="B1571" s="71"/>
      <c r="C1571" s="71"/>
      <c r="D1571" s="71"/>
      <c r="E1571" s="71"/>
      <c r="F1571" s="71"/>
      <c r="G1571" s="71"/>
      <c r="H1571" s="71"/>
    </row>
    <row r="1572" spans="1:20" ht="11.1" customHeight="1" x14ac:dyDescent="0.25">
      <c r="O1572" s="59" t="s">
        <v>313</v>
      </c>
      <c r="P1572" s="62">
        <v>1126.19</v>
      </c>
      <c r="R1572" s="62">
        <v>225.24</v>
      </c>
      <c r="S1572" s="61">
        <v>0</v>
      </c>
      <c r="T1572" s="62">
        <v>0</v>
      </c>
    </row>
    <row r="1573" spans="1:20" ht="11.1" customHeight="1" x14ac:dyDescent="0.25">
      <c r="A1573" s="56">
        <v>109189</v>
      </c>
      <c r="B1573" s="72">
        <v>46043</v>
      </c>
      <c r="C1573" s="68">
        <v>46043</v>
      </c>
      <c r="D1573" s="58" t="s">
        <v>1554</v>
      </c>
      <c r="E1573" s="59" t="s">
        <v>352</v>
      </c>
      <c r="F1573" s="56">
        <v>36</v>
      </c>
      <c r="G1573" s="73">
        <v>48</v>
      </c>
      <c r="H1573" s="74" t="s">
        <v>490</v>
      </c>
      <c r="I1573" s="59" t="s">
        <v>1555</v>
      </c>
      <c r="J1573" s="59" t="s">
        <v>1556</v>
      </c>
      <c r="K1573" s="69">
        <v>5102</v>
      </c>
      <c r="L1573" s="56">
        <v>205</v>
      </c>
      <c r="M1573" s="59" t="s">
        <v>26</v>
      </c>
      <c r="N1573" s="61">
        <v>2660.4</v>
      </c>
      <c r="O1573" s="59" t="s">
        <v>313</v>
      </c>
      <c r="P1573" s="62">
        <v>2660.4</v>
      </c>
      <c r="Q1573" s="63">
        <v>20</v>
      </c>
      <c r="R1573" s="62">
        <v>532.08000000000004</v>
      </c>
      <c r="S1573" s="61">
        <v>0</v>
      </c>
      <c r="T1573" s="62">
        <v>0</v>
      </c>
    </row>
    <row r="1574" spans="1:20" ht="11.1" customHeight="1" x14ac:dyDescent="0.25">
      <c r="A1574" s="56">
        <v>109303</v>
      </c>
      <c r="B1574" s="72">
        <v>46044</v>
      </c>
      <c r="C1574" s="68">
        <v>46044</v>
      </c>
      <c r="D1574" s="58" t="s">
        <v>1557</v>
      </c>
      <c r="E1574" s="59" t="s">
        <v>352</v>
      </c>
      <c r="F1574" s="56">
        <v>36</v>
      </c>
      <c r="G1574" s="73">
        <v>48</v>
      </c>
      <c r="H1574" s="74" t="s">
        <v>490</v>
      </c>
      <c r="I1574" s="59" t="s">
        <v>1555</v>
      </c>
      <c r="J1574" s="59" t="s">
        <v>1556</v>
      </c>
      <c r="K1574" s="69">
        <v>5102</v>
      </c>
      <c r="L1574" s="56">
        <v>205</v>
      </c>
      <c r="M1574" s="59" t="s">
        <v>26</v>
      </c>
      <c r="N1574" s="61">
        <v>3133.66</v>
      </c>
      <c r="O1574" s="59" t="s">
        <v>313</v>
      </c>
      <c r="P1574" s="62">
        <v>3133.66</v>
      </c>
      <c r="Q1574" s="63">
        <v>20</v>
      </c>
      <c r="R1574" s="62">
        <v>626.72</v>
      </c>
      <c r="S1574" s="61">
        <v>0</v>
      </c>
      <c r="T1574" s="62">
        <v>0</v>
      </c>
    </row>
    <row r="1575" spans="1:20" ht="11.1" customHeight="1" x14ac:dyDescent="0.25">
      <c r="A1575" s="56">
        <v>109714</v>
      </c>
      <c r="B1575" s="72">
        <v>46043</v>
      </c>
      <c r="C1575" s="68">
        <v>46043</v>
      </c>
      <c r="D1575" s="58" t="s">
        <v>1558</v>
      </c>
      <c r="E1575" s="59" t="s">
        <v>352</v>
      </c>
      <c r="F1575" s="56">
        <v>36</v>
      </c>
      <c r="G1575" s="73">
        <v>48</v>
      </c>
      <c r="H1575" s="74" t="s">
        <v>490</v>
      </c>
      <c r="I1575" s="59" t="s">
        <v>1555</v>
      </c>
      <c r="J1575" s="59" t="s">
        <v>1556</v>
      </c>
      <c r="K1575" s="69">
        <v>5102</v>
      </c>
      <c r="L1575" s="56">
        <v>205</v>
      </c>
      <c r="M1575" s="59" t="s">
        <v>26</v>
      </c>
      <c r="N1575" s="61">
        <v>0</v>
      </c>
      <c r="O1575" s="59" t="s">
        <v>313</v>
      </c>
      <c r="P1575" s="62">
        <v>0</v>
      </c>
      <c r="Q1575" s="63">
        <v>0</v>
      </c>
      <c r="R1575" s="62">
        <v>0</v>
      </c>
      <c r="S1575" s="61">
        <v>0</v>
      </c>
      <c r="T1575" s="62">
        <v>0</v>
      </c>
    </row>
    <row r="1576" spans="1:20" ht="11.85" customHeight="1" x14ac:dyDescent="0.25">
      <c r="A1576" s="71" t="s">
        <v>620</v>
      </c>
      <c r="B1576" s="71"/>
      <c r="C1576" s="71"/>
      <c r="D1576" s="71"/>
      <c r="E1576" s="71"/>
      <c r="F1576" s="71"/>
      <c r="G1576" s="71"/>
      <c r="H1576" s="71"/>
    </row>
    <row r="1577" spans="1:20" ht="11.1" customHeight="1" x14ac:dyDescent="0.25">
      <c r="O1577" s="59" t="s">
        <v>313</v>
      </c>
      <c r="P1577" s="62">
        <v>5794.06</v>
      </c>
      <c r="R1577" s="62">
        <v>1158.8</v>
      </c>
      <c r="S1577" s="61">
        <v>0</v>
      </c>
      <c r="T1577" s="62">
        <v>0</v>
      </c>
    </row>
    <row r="1578" spans="1:20" ht="11.1" customHeight="1" x14ac:dyDescent="0.25">
      <c r="A1578" s="56">
        <v>108819</v>
      </c>
      <c r="B1578" s="72">
        <v>46035</v>
      </c>
      <c r="C1578" s="68">
        <v>46035</v>
      </c>
      <c r="D1578" s="58" t="s">
        <v>1559</v>
      </c>
      <c r="E1578" s="59" t="s">
        <v>352</v>
      </c>
      <c r="F1578" s="56">
        <v>36</v>
      </c>
      <c r="G1578" s="73">
        <v>916</v>
      </c>
      <c r="H1578" s="74" t="s">
        <v>1560</v>
      </c>
      <c r="I1578" s="59" t="s">
        <v>1561</v>
      </c>
      <c r="J1578" s="59" t="s">
        <v>1562</v>
      </c>
      <c r="K1578" s="69">
        <v>5102</v>
      </c>
      <c r="L1578" s="56">
        <v>205</v>
      </c>
      <c r="M1578" s="59" t="s">
        <v>26</v>
      </c>
      <c r="N1578" s="61">
        <v>1329.95</v>
      </c>
      <c r="O1578" s="59" t="s">
        <v>313</v>
      </c>
      <c r="P1578" s="62">
        <v>1329.95</v>
      </c>
      <c r="Q1578" s="63">
        <v>20</v>
      </c>
      <c r="R1578" s="62">
        <v>265.99</v>
      </c>
      <c r="S1578" s="61">
        <v>0</v>
      </c>
      <c r="T1578" s="62">
        <v>0</v>
      </c>
    </row>
    <row r="1579" spans="1:20" ht="11.1" customHeight="1" x14ac:dyDescent="0.25">
      <c r="A1579" s="56">
        <v>109529</v>
      </c>
      <c r="B1579" s="72">
        <v>46050</v>
      </c>
      <c r="C1579" s="68">
        <v>46050</v>
      </c>
      <c r="D1579" s="58" t="s">
        <v>1563</v>
      </c>
      <c r="E1579" s="59" t="s">
        <v>352</v>
      </c>
      <c r="F1579" s="56">
        <v>36</v>
      </c>
      <c r="G1579" s="73">
        <v>916</v>
      </c>
      <c r="H1579" s="74" t="s">
        <v>1560</v>
      </c>
      <c r="I1579" s="59" t="s">
        <v>1561</v>
      </c>
      <c r="J1579" s="59" t="s">
        <v>1562</v>
      </c>
      <c r="K1579" s="69">
        <v>5102</v>
      </c>
      <c r="L1579" s="56">
        <v>205</v>
      </c>
      <c r="M1579" s="59" t="s">
        <v>26</v>
      </c>
      <c r="N1579" s="61">
        <v>554.63</v>
      </c>
      <c r="O1579" s="59" t="s">
        <v>313</v>
      </c>
      <c r="P1579" s="62">
        <v>554.63</v>
      </c>
      <c r="Q1579" s="63">
        <v>20</v>
      </c>
      <c r="R1579" s="62">
        <v>110.93</v>
      </c>
      <c r="S1579" s="61">
        <v>0</v>
      </c>
      <c r="T1579" s="62">
        <v>0</v>
      </c>
    </row>
    <row r="1580" spans="1:20" ht="11.85" customHeight="1" x14ac:dyDescent="0.25">
      <c r="A1580" s="71" t="s">
        <v>620</v>
      </c>
      <c r="B1580" s="71"/>
      <c r="C1580" s="71"/>
      <c r="D1580" s="71"/>
      <c r="E1580" s="71"/>
      <c r="F1580" s="71"/>
      <c r="G1580" s="71"/>
      <c r="H1580" s="71"/>
    </row>
    <row r="1581" spans="1:20" ht="11.1" customHeight="1" x14ac:dyDescent="0.25">
      <c r="O1581" s="59" t="s">
        <v>313</v>
      </c>
      <c r="P1581" s="62">
        <v>1884.58</v>
      </c>
      <c r="R1581" s="62">
        <v>376.92</v>
      </c>
      <c r="S1581" s="61">
        <v>0</v>
      </c>
      <c r="T1581" s="62">
        <v>0</v>
      </c>
    </row>
    <row r="1582" spans="1:20" ht="11.1" customHeight="1" x14ac:dyDescent="0.25">
      <c r="A1582" s="56">
        <v>108820</v>
      </c>
      <c r="B1582" s="72">
        <v>46035</v>
      </c>
      <c r="C1582" s="68">
        <v>46035</v>
      </c>
      <c r="D1582" s="58" t="s">
        <v>1564</v>
      </c>
      <c r="E1582" s="59" t="s">
        <v>352</v>
      </c>
      <c r="F1582" s="56">
        <v>36</v>
      </c>
      <c r="G1582" s="73">
        <v>28</v>
      </c>
      <c r="H1582" s="74" t="s">
        <v>1565</v>
      </c>
      <c r="I1582" s="59" t="s">
        <v>1566</v>
      </c>
      <c r="J1582" s="59" t="s">
        <v>1567</v>
      </c>
      <c r="K1582" s="69">
        <v>5102</v>
      </c>
      <c r="L1582" s="56">
        <v>205</v>
      </c>
      <c r="M1582" s="59" t="s">
        <v>26</v>
      </c>
      <c r="N1582" s="61">
        <v>1419.4</v>
      </c>
      <c r="O1582" s="59" t="s">
        <v>313</v>
      </c>
      <c r="P1582" s="62">
        <v>1419.4</v>
      </c>
      <c r="Q1582" s="63">
        <v>20</v>
      </c>
      <c r="R1582" s="62">
        <v>283.88</v>
      </c>
      <c r="S1582" s="61">
        <v>0</v>
      </c>
      <c r="T1582" s="62">
        <v>0</v>
      </c>
    </row>
    <row r="1583" spans="1:20" ht="11.1" customHeight="1" x14ac:dyDescent="0.25">
      <c r="A1583" s="56">
        <v>108821</v>
      </c>
      <c r="B1583" s="72">
        <v>46035</v>
      </c>
      <c r="C1583" s="68">
        <v>46035</v>
      </c>
      <c r="D1583" s="58" t="s">
        <v>1564</v>
      </c>
      <c r="E1583" s="59" t="s">
        <v>352</v>
      </c>
      <c r="F1583" s="56">
        <v>36</v>
      </c>
      <c r="G1583" s="73">
        <v>28</v>
      </c>
      <c r="H1583" s="74" t="s">
        <v>1565</v>
      </c>
      <c r="I1583" s="59" t="s">
        <v>1566</v>
      </c>
      <c r="J1583" s="59" t="s">
        <v>1567</v>
      </c>
      <c r="K1583" s="69">
        <v>5403</v>
      </c>
      <c r="L1583" s="56">
        <v>207</v>
      </c>
      <c r="M1583" s="59" t="s">
        <v>26</v>
      </c>
      <c r="N1583" s="61">
        <v>204.86</v>
      </c>
      <c r="O1583" s="59" t="s">
        <v>313</v>
      </c>
      <c r="P1583" s="62">
        <v>191.46</v>
      </c>
      <c r="Q1583" s="63">
        <v>20</v>
      </c>
      <c r="R1583" s="62">
        <v>38.29</v>
      </c>
      <c r="S1583" s="61">
        <v>0</v>
      </c>
      <c r="T1583" s="62">
        <v>13.4</v>
      </c>
    </row>
    <row r="1584" spans="1:20" ht="11.1" customHeight="1" x14ac:dyDescent="0.25">
      <c r="O1584" s="59" t="s">
        <v>436</v>
      </c>
      <c r="P1584" s="62">
        <v>258.47000000000003</v>
      </c>
      <c r="Q1584" s="63">
        <v>20</v>
      </c>
      <c r="R1584" s="62">
        <v>13.4</v>
      </c>
      <c r="S1584" s="61">
        <v>0</v>
      </c>
      <c r="T1584" s="62">
        <v>0</v>
      </c>
    </row>
    <row r="1585" spans="1:20" ht="11.1" customHeight="1" x14ac:dyDescent="0.25">
      <c r="A1585" s="56">
        <v>109012</v>
      </c>
      <c r="B1585" s="72">
        <v>46038</v>
      </c>
      <c r="C1585" s="68">
        <v>46038</v>
      </c>
      <c r="D1585" s="58" t="s">
        <v>1568</v>
      </c>
      <c r="E1585" s="59" t="s">
        <v>352</v>
      </c>
      <c r="F1585" s="56">
        <v>36</v>
      </c>
      <c r="G1585" s="73">
        <v>28</v>
      </c>
      <c r="H1585" s="74" t="s">
        <v>1565</v>
      </c>
      <c r="I1585" s="59" t="s">
        <v>1566</v>
      </c>
      <c r="J1585" s="59" t="s">
        <v>1567</v>
      </c>
      <c r="K1585" s="69">
        <v>5102</v>
      </c>
      <c r="L1585" s="56">
        <v>205</v>
      </c>
      <c r="M1585" s="59" t="s">
        <v>26</v>
      </c>
      <c r="N1585" s="61">
        <v>3127.92</v>
      </c>
      <c r="O1585" s="59" t="s">
        <v>313</v>
      </c>
      <c r="P1585" s="62">
        <v>3127.92</v>
      </c>
      <c r="Q1585" s="63">
        <v>20</v>
      </c>
      <c r="R1585" s="62">
        <v>625.58000000000004</v>
      </c>
      <c r="S1585" s="61">
        <v>0</v>
      </c>
      <c r="T1585" s="62">
        <v>0</v>
      </c>
    </row>
    <row r="1586" spans="1:20" ht="11.1" customHeight="1" x14ac:dyDescent="0.25">
      <c r="A1586" s="56">
        <v>109013</v>
      </c>
      <c r="B1586" s="72">
        <v>46038</v>
      </c>
      <c r="C1586" s="68">
        <v>46038</v>
      </c>
      <c r="D1586" s="58" t="s">
        <v>1568</v>
      </c>
      <c r="E1586" s="59" t="s">
        <v>352</v>
      </c>
      <c r="F1586" s="56">
        <v>36</v>
      </c>
      <c r="G1586" s="73">
        <v>28</v>
      </c>
      <c r="H1586" s="74" t="s">
        <v>1565</v>
      </c>
      <c r="I1586" s="59" t="s">
        <v>1566</v>
      </c>
      <c r="J1586" s="59" t="s">
        <v>1567</v>
      </c>
      <c r="K1586" s="69">
        <v>5403</v>
      </c>
      <c r="L1586" s="56">
        <v>207</v>
      </c>
      <c r="M1586" s="59" t="s">
        <v>26</v>
      </c>
      <c r="N1586" s="61">
        <v>225.34</v>
      </c>
      <c r="O1586" s="59" t="s">
        <v>313</v>
      </c>
      <c r="P1586" s="62">
        <v>210.6</v>
      </c>
      <c r="Q1586" s="63">
        <v>20</v>
      </c>
      <c r="R1586" s="62">
        <v>42.12</v>
      </c>
      <c r="S1586" s="61">
        <v>0</v>
      </c>
      <c r="T1586" s="62">
        <v>14.74</v>
      </c>
    </row>
    <row r="1587" spans="1:20" ht="11.1" customHeight="1" x14ac:dyDescent="0.25">
      <c r="O1587" s="59" t="s">
        <v>436</v>
      </c>
      <c r="P1587" s="62">
        <v>284.31</v>
      </c>
      <c r="Q1587" s="63">
        <v>20</v>
      </c>
      <c r="R1587" s="62">
        <v>14.74</v>
      </c>
      <c r="S1587" s="61">
        <v>0</v>
      </c>
      <c r="T1587" s="62">
        <v>0</v>
      </c>
    </row>
    <row r="1588" spans="1:20" ht="11.1" customHeight="1" x14ac:dyDescent="0.25">
      <c r="A1588" s="56">
        <v>109403</v>
      </c>
      <c r="B1588" s="72">
        <v>46045</v>
      </c>
      <c r="C1588" s="68">
        <v>46045</v>
      </c>
      <c r="D1588" s="58" t="s">
        <v>1569</v>
      </c>
      <c r="E1588" s="59" t="s">
        <v>352</v>
      </c>
      <c r="F1588" s="56">
        <v>36</v>
      </c>
      <c r="G1588" s="73">
        <v>28</v>
      </c>
      <c r="H1588" s="74" t="s">
        <v>1565</v>
      </c>
      <c r="I1588" s="59" t="s">
        <v>1566</v>
      </c>
      <c r="J1588" s="59" t="s">
        <v>1567</v>
      </c>
      <c r="K1588" s="69">
        <v>5102</v>
      </c>
      <c r="L1588" s="56">
        <v>205</v>
      </c>
      <c r="M1588" s="59" t="s">
        <v>26</v>
      </c>
      <c r="N1588" s="61">
        <v>1357.85</v>
      </c>
      <c r="O1588" s="59" t="s">
        <v>313</v>
      </c>
      <c r="P1588" s="62">
        <v>1357.85</v>
      </c>
      <c r="Q1588" s="63">
        <v>20</v>
      </c>
      <c r="R1588" s="62">
        <v>271.57</v>
      </c>
      <c r="S1588" s="61">
        <v>0</v>
      </c>
      <c r="T1588" s="62">
        <v>0</v>
      </c>
    </row>
    <row r="1589" spans="1:20" ht="11.1" customHeight="1" x14ac:dyDescent="0.25">
      <c r="A1589" s="56">
        <v>109523</v>
      </c>
      <c r="B1589" s="72">
        <v>46050</v>
      </c>
      <c r="C1589" s="68">
        <v>46050</v>
      </c>
      <c r="D1589" s="58" t="s">
        <v>1570</v>
      </c>
      <c r="E1589" s="59" t="s">
        <v>352</v>
      </c>
      <c r="F1589" s="56">
        <v>36</v>
      </c>
      <c r="G1589" s="73">
        <v>28</v>
      </c>
      <c r="H1589" s="74" t="s">
        <v>1565</v>
      </c>
      <c r="I1589" s="59" t="s">
        <v>1566</v>
      </c>
      <c r="J1589" s="59" t="s">
        <v>1567</v>
      </c>
      <c r="K1589" s="69">
        <v>5102</v>
      </c>
      <c r="L1589" s="56">
        <v>205</v>
      </c>
      <c r="M1589" s="59" t="s">
        <v>26</v>
      </c>
      <c r="N1589" s="61">
        <v>706.5</v>
      </c>
      <c r="O1589" s="59" t="s">
        <v>313</v>
      </c>
      <c r="P1589" s="62">
        <v>706.5</v>
      </c>
      <c r="Q1589" s="63">
        <v>20</v>
      </c>
      <c r="R1589" s="62">
        <v>141.31</v>
      </c>
      <c r="S1589" s="61">
        <v>0</v>
      </c>
      <c r="T1589" s="62">
        <v>0</v>
      </c>
    </row>
    <row r="1590" spans="1:20" ht="11.1" customHeight="1" x14ac:dyDescent="0.25">
      <c r="A1590" s="56">
        <v>109524</v>
      </c>
      <c r="B1590" s="72">
        <v>46050</v>
      </c>
      <c r="C1590" s="68">
        <v>46050</v>
      </c>
      <c r="D1590" s="58" t="s">
        <v>1570</v>
      </c>
      <c r="E1590" s="59" t="s">
        <v>352</v>
      </c>
      <c r="F1590" s="56">
        <v>36</v>
      </c>
      <c r="G1590" s="73">
        <v>28</v>
      </c>
      <c r="H1590" s="74" t="s">
        <v>1565</v>
      </c>
      <c r="I1590" s="59" t="s">
        <v>1566</v>
      </c>
      <c r="J1590" s="59" t="s">
        <v>1567</v>
      </c>
      <c r="K1590" s="69">
        <v>5403</v>
      </c>
      <c r="L1590" s="56">
        <v>207</v>
      </c>
      <c r="M1590" s="59" t="s">
        <v>26</v>
      </c>
      <c r="N1590" s="61">
        <v>691.25</v>
      </c>
      <c r="O1590" s="59" t="s">
        <v>313</v>
      </c>
      <c r="P1590" s="62">
        <v>646.02</v>
      </c>
      <c r="Q1590" s="63">
        <v>20</v>
      </c>
      <c r="R1590" s="62">
        <v>129.19999999999999</v>
      </c>
      <c r="S1590" s="61">
        <v>0</v>
      </c>
      <c r="T1590" s="62">
        <v>45.23</v>
      </c>
    </row>
    <row r="1591" spans="1:20" ht="11.1" customHeight="1" x14ac:dyDescent="0.25">
      <c r="O1591" s="59" t="s">
        <v>436</v>
      </c>
      <c r="P1591" s="62">
        <v>872.13</v>
      </c>
      <c r="Q1591" s="63">
        <v>20</v>
      </c>
      <c r="R1591" s="62">
        <v>45.23</v>
      </c>
      <c r="S1591" s="61">
        <v>0</v>
      </c>
      <c r="T1591" s="62">
        <v>0</v>
      </c>
    </row>
    <row r="1592" spans="1:20" ht="11.85" customHeight="1" x14ac:dyDescent="0.25">
      <c r="A1592" s="71" t="s">
        <v>620</v>
      </c>
      <c r="B1592" s="71"/>
      <c r="C1592" s="71"/>
      <c r="D1592" s="71"/>
      <c r="E1592" s="71"/>
      <c r="F1592" s="71"/>
      <c r="G1592" s="71"/>
      <c r="H1592" s="71"/>
    </row>
    <row r="1593" spans="1:20" ht="11.1" customHeight="1" x14ac:dyDescent="0.25">
      <c r="O1593" s="59" t="s">
        <v>313</v>
      </c>
      <c r="P1593" s="62">
        <v>7659.75</v>
      </c>
      <c r="R1593" s="62">
        <v>1531.95</v>
      </c>
      <c r="S1593" s="61">
        <v>0</v>
      </c>
      <c r="T1593" s="62">
        <v>73.37</v>
      </c>
    </row>
    <row r="1594" spans="1:20" ht="11.1" customHeight="1" x14ac:dyDescent="0.25">
      <c r="O1594" s="59" t="s">
        <v>436</v>
      </c>
      <c r="P1594" s="62">
        <v>1414.91</v>
      </c>
      <c r="R1594" s="62">
        <v>73.37</v>
      </c>
      <c r="S1594" s="61">
        <v>0</v>
      </c>
      <c r="T1594" s="62">
        <v>0</v>
      </c>
    </row>
    <row r="1595" spans="1:20" ht="11.1" customHeight="1" x14ac:dyDescent="0.25">
      <c r="A1595" s="56">
        <v>108889</v>
      </c>
      <c r="B1595" s="72">
        <v>46035</v>
      </c>
      <c r="C1595" s="68">
        <v>46035</v>
      </c>
      <c r="D1595" s="58" t="s">
        <v>1571</v>
      </c>
      <c r="E1595" s="59" t="s">
        <v>352</v>
      </c>
      <c r="F1595" s="56">
        <v>36</v>
      </c>
      <c r="G1595" s="73">
        <v>376</v>
      </c>
      <c r="H1595" s="74" t="s">
        <v>1572</v>
      </c>
      <c r="I1595" s="59" t="s">
        <v>1573</v>
      </c>
      <c r="J1595" s="59" t="s">
        <v>1574</v>
      </c>
      <c r="K1595" s="69">
        <v>5102</v>
      </c>
      <c r="L1595" s="56">
        <v>205</v>
      </c>
      <c r="M1595" s="59" t="s">
        <v>26</v>
      </c>
      <c r="N1595" s="61">
        <v>160.84</v>
      </c>
      <c r="O1595" s="59" t="s">
        <v>313</v>
      </c>
      <c r="P1595" s="62">
        <v>160.84</v>
      </c>
      <c r="Q1595" s="63">
        <v>20</v>
      </c>
      <c r="R1595" s="62">
        <v>32.17</v>
      </c>
      <c r="S1595" s="61">
        <v>0</v>
      </c>
      <c r="T1595" s="62">
        <v>0</v>
      </c>
    </row>
    <row r="1596" spans="1:20" ht="11.1" customHeight="1" x14ac:dyDescent="0.25">
      <c r="A1596" s="56">
        <v>108890</v>
      </c>
      <c r="B1596" s="72">
        <v>46035</v>
      </c>
      <c r="C1596" s="68">
        <v>46035</v>
      </c>
      <c r="D1596" s="58" t="s">
        <v>1571</v>
      </c>
      <c r="E1596" s="59" t="s">
        <v>352</v>
      </c>
      <c r="F1596" s="56">
        <v>36</v>
      </c>
      <c r="G1596" s="73">
        <v>376</v>
      </c>
      <c r="H1596" s="74" t="s">
        <v>1572</v>
      </c>
      <c r="I1596" s="59" t="s">
        <v>1573</v>
      </c>
      <c r="J1596" s="59" t="s">
        <v>1574</v>
      </c>
      <c r="K1596" s="69">
        <v>5403</v>
      </c>
      <c r="L1596" s="56">
        <v>207</v>
      </c>
      <c r="M1596" s="59" t="s">
        <v>26</v>
      </c>
      <c r="N1596" s="61">
        <v>5599.2</v>
      </c>
      <c r="O1596" s="59" t="s">
        <v>313</v>
      </c>
      <c r="P1596" s="62">
        <v>5232.8999999999996</v>
      </c>
      <c r="Q1596" s="63">
        <v>20</v>
      </c>
      <c r="R1596" s="62">
        <v>1046.58</v>
      </c>
      <c r="S1596" s="61">
        <v>0</v>
      </c>
      <c r="T1596" s="62">
        <v>366.3</v>
      </c>
    </row>
    <row r="1597" spans="1:20" ht="11.1" customHeight="1" x14ac:dyDescent="0.25">
      <c r="O1597" s="59" t="s">
        <v>436</v>
      </c>
      <c r="P1597" s="62">
        <v>7064.42</v>
      </c>
      <c r="Q1597" s="63">
        <v>20</v>
      </c>
      <c r="R1597" s="62">
        <v>366.3</v>
      </c>
      <c r="S1597" s="61">
        <v>0</v>
      </c>
      <c r="T1597" s="62">
        <v>0</v>
      </c>
    </row>
    <row r="1598" spans="1:20" ht="11.1" customHeight="1" x14ac:dyDescent="0.25">
      <c r="A1598" s="56">
        <v>109316</v>
      </c>
      <c r="B1598" s="72">
        <v>46044</v>
      </c>
      <c r="C1598" s="68">
        <v>46044</v>
      </c>
      <c r="D1598" s="58" t="s">
        <v>1575</v>
      </c>
      <c r="E1598" s="59" t="s">
        <v>352</v>
      </c>
      <c r="F1598" s="56">
        <v>36</v>
      </c>
      <c r="G1598" s="73">
        <v>376</v>
      </c>
      <c r="H1598" s="74" t="s">
        <v>1572</v>
      </c>
      <c r="I1598" s="59" t="s">
        <v>1573</v>
      </c>
      <c r="J1598" s="59" t="s">
        <v>1574</v>
      </c>
      <c r="K1598" s="69">
        <v>5403</v>
      </c>
      <c r="L1598" s="56">
        <v>207</v>
      </c>
      <c r="M1598" s="59" t="s">
        <v>26</v>
      </c>
      <c r="N1598" s="61">
        <v>494.06</v>
      </c>
      <c r="O1598" s="59" t="s">
        <v>313</v>
      </c>
      <c r="P1598" s="62">
        <v>461.74</v>
      </c>
      <c r="Q1598" s="63">
        <v>20</v>
      </c>
      <c r="R1598" s="62">
        <v>92.35</v>
      </c>
      <c r="S1598" s="61">
        <v>0</v>
      </c>
      <c r="T1598" s="62">
        <v>32.32</v>
      </c>
    </row>
    <row r="1599" spans="1:20" ht="11.1" customHeight="1" x14ac:dyDescent="0.25">
      <c r="O1599" s="59" t="s">
        <v>436</v>
      </c>
      <c r="P1599" s="62">
        <v>623.35</v>
      </c>
      <c r="Q1599" s="63">
        <v>20</v>
      </c>
      <c r="R1599" s="62">
        <v>32.32</v>
      </c>
      <c r="S1599" s="61">
        <v>0</v>
      </c>
      <c r="T1599" s="62">
        <v>0</v>
      </c>
    </row>
    <row r="1600" spans="1:20" ht="11.85" customHeight="1" x14ac:dyDescent="0.25">
      <c r="A1600" s="71" t="s">
        <v>620</v>
      </c>
      <c r="B1600" s="71"/>
      <c r="C1600" s="71"/>
      <c r="D1600" s="71"/>
      <c r="E1600" s="71"/>
      <c r="F1600" s="71"/>
      <c r="G1600" s="71"/>
      <c r="H1600" s="71"/>
    </row>
    <row r="1601" spans="1:20" ht="11.1" customHeight="1" x14ac:dyDescent="0.25">
      <c r="O1601" s="59" t="s">
        <v>313</v>
      </c>
      <c r="P1601" s="62">
        <v>5855.48</v>
      </c>
      <c r="R1601" s="62">
        <v>1171.0999999999999</v>
      </c>
      <c r="S1601" s="61">
        <v>0</v>
      </c>
      <c r="T1601" s="62">
        <v>398.62</v>
      </c>
    </row>
    <row r="1602" spans="1:20" ht="11.1" customHeight="1" x14ac:dyDescent="0.25">
      <c r="O1602" s="59" t="s">
        <v>436</v>
      </c>
      <c r="P1602" s="62">
        <v>7687.77</v>
      </c>
      <c r="R1602" s="62">
        <v>398.62</v>
      </c>
      <c r="S1602" s="61">
        <v>0</v>
      </c>
      <c r="T1602" s="62">
        <v>0</v>
      </c>
    </row>
    <row r="1603" spans="1:20" ht="11.1" customHeight="1" x14ac:dyDescent="0.25">
      <c r="A1603" s="56">
        <v>108566</v>
      </c>
      <c r="B1603" s="72">
        <v>46029</v>
      </c>
      <c r="C1603" s="68">
        <v>46029</v>
      </c>
      <c r="D1603" s="58" t="s">
        <v>1576</v>
      </c>
      <c r="E1603" s="59" t="s">
        <v>352</v>
      </c>
      <c r="F1603" s="56">
        <v>36</v>
      </c>
      <c r="G1603" s="73">
        <v>342</v>
      </c>
      <c r="H1603" s="74" t="s">
        <v>1577</v>
      </c>
      <c r="I1603" s="59" t="s">
        <v>1578</v>
      </c>
      <c r="J1603" s="59" t="s">
        <v>1579</v>
      </c>
      <c r="K1603" s="69">
        <v>5102</v>
      </c>
      <c r="L1603" s="56">
        <v>205</v>
      </c>
      <c r="M1603" s="59" t="s">
        <v>26</v>
      </c>
      <c r="N1603" s="61">
        <v>167.16</v>
      </c>
      <c r="O1603" s="59" t="s">
        <v>313</v>
      </c>
      <c r="P1603" s="62">
        <v>167.16</v>
      </c>
      <c r="Q1603" s="63">
        <v>20</v>
      </c>
      <c r="R1603" s="62">
        <v>33.43</v>
      </c>
      <c r="S1603" s="61">
        <v>0</v>
      </c>
      <c r="T1603" s="62">
        <v>0</v>
      </c>
    </row>
    <row r="1604" spans="1:20" ht="11.1" customHeight="1" x14ac:dyDescent="0.25">
      <c r="A1604" s="56">
        <v>108567</v>
      </c>
      <c r="B1604" s="72">
        <v>46029</v>
      </c>
      <c r="C1604" s="68">
        <v>46029</v>
      </c>
      <c r="D1604" s="58" t="s">
        <v>1576</v>
      </c>
      <c r="E1604" s="59" t="s">
        <v>352</v>
      </c>
      <c r="F1604" s="56">
        <v>36</v>
      </c>
      <c r="G1604" s="73">
        <v>342</v>
      </c>
      <c r="H1604" s="74" t="s">
        <v>1577</v>
      </c>
      <c r="I1604" s="59" t="s">
        <v>1578</v>
      </c>
      <c r="J1604" s="59" t="s">
        <v>1579</v>
      </c>
      <c r="K1604" s="69">
        <v>5403</v>
      </c>
      <c r="L1604" s="56">
        <v>207</v>
      </c>
      <c r="M1604" s="59" t="s">
        <v>26</v>
      </c>
      <c r="N1604" s="61">
        <v>391.29</v>
      </c>
      <c r="O1604" s="59" t="s">
        <v>313</v>
      </c>
      <c r="P1604" s="62">
        <v>365.69</v>
      </c>
      <c r="Q1604" s="63">
        <v>20</v>
      </c>
      <c r="R1604" s="62">
        <v>73.14</v>
      </c>
      <c r="S1604" s="61">
        <v>0</v>
      </c>
      <c r="T1604" s="62">
        <v>25.6</v>
      </c>
    </row>
    <row r="1605" spans="1:20" ht="11.1" customHeight="1" x14ac:dyDescent="0.25">
      <c r="O1605" s="59" t="s">
        <v>436</v>
      </c>
      <c r="P1605" s="62">
        <v>493.68</v>
      </c>
      <c r="Q1605" s="63">
        <v>20</v>
      </c>
      <c r="R1605" s="62">
        <v>25.6</v>
      </c>
      <c r="S1605" s="61">
        <v>0</v>
      </c>
      <c r="T1605" s="62">
        <v>0</v>
      </c>
    </row>
    <row r="1606" spans="1:20" ht="11.1" customHeight="1" x14ac:dyDescent="0.25">
      <c r="A1606" s="56">
        <v>108752</v>
      </c>
      <c r="B1606" s="72">
        <v>46031</v>
      </c>
      <c r="C1606" s="68">
        <v>46031</v>
      </c>
      <c r="D1606" s="58" t="s">
        <v>1580</v>
      </c>
      <c r="E1606" s="59" t="s">
        <v>352</v>
      </c>
      <c r="F1606" s="56">
        <v>36</v>
      </c>
      <c r="G1606" s="73">
        <v>342</v>
      </c>
      <c r="H1606" s="74" t="s">
        <v>1577</v>
      </c>
      <c r="I1606" s="59" t="s">
        <v>1578</v>
      </c>
      <c r="J1606" s="59" t="s">
        <v>1579</v>
      </c>
      <c r="K1606" s="69">
        <v>5403</v>
      </c>
      <c r="L1606" s="56">
        <v>207</v>
      </c>
      <c r="M1606" s="59" t="s">
        <v>26</v>
      </c>
      <c r="N1606" s="61">
        <v>486.83</v>
      </c>
      <c r="O1606" s="59" t="s">
        <v>313</v>
      </c>
      <c r="P1606" s="62">
        <v>454.97</v>
      </c>
      <c r="Q1606" s="63">
        <v>20</v>
      </c>
      <c r="R1606" s="62">
        <v>90.99</v>
      </c>
      <c r="S1606" s="61">
        <v>0</v>
      </c>
      <c r="T1606" s="62">
        <v>31.86</v>
      </c>
    </row>
    <row r="1607" spans="1:20" ht="11.1" customHeight="1" x14ac:dyDescent="0.25">
      <c r="O1607" s="59" t="s">
        <v>436</v>
      </c>
      <c r="P1607" s="62">
        <v>614.21</v>
      </c>
      <c r="Q1607" s="63">
        <v>20</v>
      </c>
      <c r="R1607" s="62">
        <v>31.86</v>
      </c>
      <c r="S1607" s="61">
        <v>0</v>
      </c>
      <c r="T1607" s="62">
        <v>0</v>
      </c>
    </row>
    <row r="1608" spans="1:20" ht="11.1" customHeight="1" x14ac:dyDescent="0.25">
      <c r="A1608" s="56">
        <v>108771</v>
      </c>
      <c r="B1608" s="72">
        <v>46034</v>
      </c>
      <c r="C1608" s="68">
        <v>46034</v>
      </c>
      <c r="D1608" s="58" t="s">
        <v>1581</v>
      </c>
      <c r="E1608" s="59" t="s">
        <v>352</v>
      </c>
      <c r="F1608" s="56">
        <v>36</v>
      </c>
      <c r="G1608" s="73">
        <v>342</v>
      </c>
      <c r="H1608" s="74" t="s">
        <v>1577</v>
      </c>
      <c r="I1608" s="59" t="s">
        <v>1578</v>
      </c>
      <c r="J1608" s="59" t="s">
        <v>1579</v>
      </c>
      <c r="K1608" s="69">
        <v>5102</v>
      </c>
      <c r="L1608" s="56">
        <v>205</v>
      </c>
      <c r="M1608" s="59" t="s">
        <v>26</v>
      </c>
      <c r="N1608" s="61">
        <v>167.16</v>
      </c>
      <c r="O1608" s="59" t="s">
        <v>313</v>
      </c>
      <c r="P1608" s="62">
        <v>167.16</v>
      </c>
      <c r="Q1608" s="63">
        <v>20</v>
      </c>
      <c r="R1608" s="62">
        <v>33.43</v>
      </c>
      <c r="S1608" s="61">
        <v>0</v>
      </c>
      <c r="T1608" s="62">
        <v>0</v>
      </c>
    </row>
    <row r="1609" spans="1:20" ht="11.1" customHeight="1" x14ac:dyDescent="0.25">
      <c r="A1609" s="56">
        <v>108772</v>
      </c>
      <c r="B1609" s="72">
        <v>46034</v>
      </c>
      <c r="C1609" s="68">
        <v>46034</v>
      </c>
      <c r="D1609" s="58" t="s">
        <v>1581</v>
      </c>
      <c r="E1609" s="59" t="s">
        <v>352</v>
      </c>
      <c r="F1609" s="56">
        <v>36</v>
      </c>
      <c r="G1609" s="73">
        <v>342</v>
      </c>
      <c r="H1609" s="74" t="s">
        <v>1577</v>
      </c>
      <c r="I1609" s="59" t="s">
        <v>1578</v>
      </c>
      <c r="J1609" s="59" t="s">
        <v>1579</v>
      </c>
      <c r="K1609" s="69">
        <v>5403</v>
      </c>
      <c r="L1609" s="56">
        <v>207</v>
      </c>
      <c r="M1609" s="59" t="s">
        <v>26</v>
      </c>
      <c r="N1609" s="61">
        <v>1368.75</v>
      </c>
      <c r="O1609" s="59" t="s">
        <v>313</v>
      </c>
      <c r="P1609" s="62">
        <v>1279.2</v>
      </c>
      <c r="Q1609" s="63">
        <v>20</v>
      </c>
      <c r="R1609" s="62">
        <v>255.84</v>
      </c>
      <c r="S1609" s="61">
        <v>0</v>
      </c>
      <c r="T1609" s="62">
        <v>89.55</v>
      </c>
    </row>
    <row r="1610" spans="1:20" ht="11.1" customHeight="1" x14ac:dyDescent="0.25">
      <c r="O1610" s="59" t="s">
        <v>436</v>
      </c>
      <c r="P1610" s="62">
        <v>1726.93</v>
      </c>
      <c r="Q1610" s="63">
        <v>20</v>
      </c>
      <c r="R1610" s="62">
        <v>89.55</v>
      </c>
      <c r="S1610" s="61">
        <v>0</v>
      </c>
      <c r="T1610" s="62">
        <v>0</v>
      </c>
    </row>
    <row r="1611" spans="1:20" ht="11.1" customHeight="1" x14ac:dyDescent="0.25">
      <c r="A1611" s="56">
        <v>108843</v>
      </c>
      <c r="B1611" s="72">
        <v>46035</v>
      </c>
      <c r="C1611" s="68">
        <v>46035</v>
      </c>
      <c r="D1611" s="58" t="s">
        <v>1582</v>
      </c>
      <c r="E1611" s="59" t="s">
        <v>352</v>
      </c>
      <c r="F1611" s="56">
        <v>36</v>
      </c>
      <c r="G1611" s="73">
        <v>342</v>
      </c>
      <c r="H1611" s="74" t="s">
        <v>1577</v>
      </c>
      <c r="I1611" s="59" t="s">
        <v>1578</v>
      </c>
      <c r="J1611" s="59" t="s">
        <v>1579</v>
      </c>
      <c r="K1611" s="69">
        <v>5102</v>
      </c>
      <c r="L1611" s="56">
        <v>205</v>
      </c>
      <c r="M1611" s="59" t="s">
        <v>26</v>
      </c>
      <c r="N1611" s="61">
        <v>253.56</v>
      </c>
      <c r="O1611" s="59" t="s">
        <v>313</v>
      </c>
      <c r="P1611" s="62">
        <v>253.56</v>
      </c>
      <c r="Q1611" s="63">
        <v>20</v>
      </c>
      <c r="R1611" s="62">
        <v>50.71</v>
      </c>
      <c r="S1611" s="61">
        <v>0</v>
      </c>
      <c r="T1611" s="62">
        <v>0</v>
      </c>
    </row>
    <row r="1612" spans="1:20" ht="11.1" customHeight="1" x14ac:dyDescent="0.25">
      <c r="A1612" s="56">
        <v>108844</v>
      </c>
      <c r="B1612" s="72">
        <v>46035</v>
      </c>
      <c r="C1612" s="68">
        <v>46035</v>
      </c>
      <c r="D1612" s="58" t="s">
        <v>1582</v>
      </c>
      <c r="E1612" s="59" t="s">
        <v>352</v>
      </c>
      <c r="F1612" s="56">
        <v>36</v>
      </c>
      <c r="G1612" s="73">
        <v>342</v>
      </c>
      <c r="H1612" s="74" t="s">
        <v>1577</v>
      </c>
      <c r="I1612" s="59" t="s">
        <v>1578</v>
      </c>
      <c r="J1612" s="59" t="s">
        <v>1579</v>
      </c>
      <c r="K1612" s="69">
        <v>5403</v>
      </c>
      <c r="L1612" s="56">
        <v>207</v>
      </c>
      <c r="M1612" s="59" t="s">
        <v>26</v>
      </c>
      <c r="N1612" s="61">
        <v>942.77</v>
      </c>
      <c r="O1612" s="59" t="s">
        <v>313</v>
      </c>
      <c r="P1612" s="62">
        <v>881.1</v>
      </c>
      <c r="Q1612" s="63">
        <v>20</v>
      </c>
      <c r="R1612" s="62">
        <v>176.22</v>
      </c>
      <c r="S1612" s="61">
        <v>0</v>
      </c>
      <c r="T1612" s="62">
        <v>61.67</v>
      </c>
    </row>
    <row r="1613" spans="1:20" ht="11.1" customHeight="1" x14ac:dyDescent="0.25">
      <c r="O1613" s="59" t="s">
        <v>436</v>
      </c>
      <c r="P1613" s="62">
        <v>1189.49</v>
      </c>
      <c r="Q1613" s="63">
        <v>20</v>
      </c>
      <c r="R1613" s="62">
        <v>61.67</v>
      </c>
      <c r="S1613" s="61">
        <v>0</v>
      </c>
      <c r="T1613" s="62">
        <v>0</v>
      </c>
    </row>
    <row r="1614" spans="1:20" ht="11.1" customHeight="1" x14ac:dyDescent="0.25">
      <c r="A1614" s="56">
        <v>108893</v>
      </c>
      <c r="B1614" s="72">
        <v>46036</v>
      </c>
      <c r="C1614" s="68">
        <v>46036</v>
      </c>
      <c r="D1614" s="58" t="s">
        <v>1583</v>
      </c>
      <c r="E1614" s="59" t="s">
        <v>352</v>
      </c>
      <c r="F1614" s="56">
        <v>36</v>
      </c>
      <c r="G1614" s="73">
        <v>342</v>
      </c>
      <c r="H1614" s="74" t="s">
        <v>1577</v>
      </c>
      <c r="I1614" s="59" t="s">
        <v>1578</v>
      </c>
      <c r="J1614" s="59" t="s">
        <v>1579</v>
      </c>
      <c r="K1614" s="69">
        <v>5403</v>
      </c>
      <c r="L1614" s="56">
        <v>207</v>
      </c>
      <c r="M1614" s="59" t="s">
        <v>26</v>
      </c>
      <c r="N1614" s="61">
        <v>225.3</v>
      </c>
      <c r="O1614" s="59" t="s">
        <v>313</v>
      </c>
      <c r="P1614" s="62">
        <v>210.56</v>
      </c>
      <c r="Q1614" s="63">
        <v>20</v>
      </c>
      <c r="R1614" s="62">
        <v>42.11</v>
      </c>
      <c r="S1614" s="61">
        <v>0</v>
      </c>
      <c r="T1614" s="62">
        <v>14.74</v>
      </c>
    </row>
    <row r="1615" spans="1:20" ht="11.1" customHeight="1" x14ac:dyDescent="0.25">
      <c r="O1615" s="59" t="s">
        <v>436</v>
      </c>
      <c r="P1615" s="62">
        <v>284.26</v>
      </c>
      <c r="Q1615" s="63">
        <v>20</v>
      </c>
      <c r="R1615" s="62">
        <v>14.74</v>
      </c>
      <c r="S1615" s="61">
        <v>0</v>
      </c>
      <c r="T1615" s="62">
        <v>0</v>
      </c>
    </row>
    <row r="1616" spans="1:20" ht="11.1" customHeight="1" x14ac:dyDescent="0.25">
      <c r="A1616" s="56">
        <v>108922</v>
      </c>
      <c r="B1616" s="72">
        <v>46036</v>
      </c>
      <c r="C1616" s="68">
        <v>46036</v>
      </c>
      <c r="D1616" s="58" t="s">
        <v>1584</v>
      </c>
      <c r="E1616" s="59" t="s">
        <v>352</v>
      </c>
      <c r="F1616" s="56">
        <v>36</v>
      </c>
      <c r="G1616" s="73">
        <v>342</v>
      </c>
      <c r="H1616" s="74" t="s">
        <v>1577</v>
      </c>
      <c r="I1616" s="59" t="s">
        <v>1578</v>
      </c>
      <c r="J1616" s="59" t="s">
        <v>1579</v>
      </c>
      <c r="K1616" s="69">
        <v>5403</v>
      </c>
      <c r="L1616" s="56">
        <v>207</v>
      </c>
      <c r="M1616" s="59" t="s">
        <v>26</v>
      </c>
      <c r="N1616" s="61">
        <v>1457.11</v>
      </c>
      <c r="O1616" s="59" t="s">
        <v>313</v>
      </c>
      <c r="P1616" s="62">
        <v>1361.79</v>
      </c>
      <c r="Q1616" s="63">
        <v>20</v>
      </c>
      <c r="R1616" s="62">
        <v>272.36</v>
      </c>
      <c r="S1616" s="61">
        <v>0</v>
      </c>
      <c r="T1616" s="62">
        <v>95.32</v>
      </c>
    </row>
    <row r="1617" spans="1:20" ht="11.1" customHeight="1" x14ac:dyDescent="0.25">
      <c r="O1617" s="59" t="s">
        <v>436</v>
      </c>
      <c r="P1617" s="62">
        <v>1838.42</v>
      </c>
      <c r="Q1617" s="63">
        <v>20</v>
      </c>
      <c r="R1617" s="62">
        <v>95.32</v>
      </c>
      <c r="S1617" s="61">
        <v>0</v>
      </c>
      <c r="T1617" s="62">
        <v>0</v>
      </c>
    </row>
    <row r="1618" spans="1:20" ht="11.1" customHeight="1" x14ac:dyDescent="0.25">
      <c r="A1618" s="56">
        <v>109096</v>
      </c>
      <c r="B1618" s="72">
        <v>46041</v>
      </c>
      <c r="C1618" s="68">
        <v>46041</v>
      </c>
      <c r="D1618" s="58" t="s">
        <v>1585</v>
      </c>
      <c r="E1618" s="59" t="s">
        <v>352</v>
      </c>
      <c r="F1618" s="56">
        <v>36</v>
      </c>
      <c r="G1618" s="73">
        <v>342</v>
      </c>
      <c r="H1618" s="74" t="s">
        <v>1577</v>
      </c>
      <c r="I1618" s="59" t="s">
        <v>1578</v>
      </c>
      <c r="J1618" s="59" t="s">
        <v>1579</v>
      </c>
      <c r="K1618" s="69">
        <v>5403</v>
      </c>
      <c r="L1618" s="56">
        <v>207</v>
      </c>
      <c r="M1618" s="59" t="s">
        <v>26</v>
      </c>
      <c r="N1618" s="61">
        <v>1628.16</v>
      </c>
      <c r="O1618" s="59" t="s">
        <v>313</v>
      </c>
      <c r="P1618" s="62">
        <v>1521.64</v>
      </c>
      <c r="Q1618" s="63">
        <v>20</v>
      </c>
      <c r="R1618" s="62">
        <v>304.33</v>
      </c>
      <c r="S1618" s="61">
        <v>0</v>
      </c>
      <c r="T1618" s="62">
        <v>106.52</v>
      </c>
    </row>
    <row r="1619" spans="1:20" ht="11.1" customHeight="1" x14ac:dyDescent="0.25">
      <c r="O1619" s="59" t="s">
        <v>436</v>
      </c>
      <c r="P1619" s="62">
        <v>2054.21</v>
      </c>
      <c r="Q1619" s="63">
        <v>20</v>
      </c>
      <c r="R1619" s="62">
        <v>106.52</v>
      </c>
      <c r="S1619" s="61">
        <v>0</v>
      </c>
      <c r="T1619" s="62">
        <v>0</v>
      </c>
    </row>
    <row r="1620" spans="1:20" ht="11.1" customHeight="1" x14ac:dyDescent="0.25">
      <c r="A1620" s="56">
        <v>109343</v>
      </c>
      <c r="B1620" s="72">
        <v>46045</v>
      </c>
      <c r="C1620" s="68">
        <v>46045</v>
      </c>
      <c r="D1620" s="58" t="s">
        <v>1586</v>
      </c>
      <c r="E1620" s="59" t="s">
        <v>352</v>
      </c>
      <c r="F1620" s="56">
        <v>36</v>
      </c>
      <c r="G1620" s="73">
        <v>342</v>
      </c>
      <c r="H1620" s="74" t="s">
        <v>1577</v>
      </c>
      <c r="I1620" s="59" t="s">
        <v>1578</v>
      </c>
      <c r="J1620" s="59" t="s">
        <v>1579</v>
      </c>
      <c r="K1620" s="69">
        <v>5102</v>
      </c>
      <c r="L1620" s="56">
        <v>205</v>
      </c>
      <c r="M1620" s="59" t="s">
        <v>26</v>
      </c>
      <c r="N1620" s="61">
        <v>673.32</v>
      </c>
      <c r="O1620" s="59" t="s">
        <v>313</v>
      </c>
      <c r="P1620" s="62">
        <v>673.32</v>
      </c>
      <c r="Q1620" s="63">
        <v>20</v>
      </c>
      <c r="R1620" s="62">
        <v>134.66</v>
      </c>
      <c r="S1620" s="61">
        <v>0</v>
      </c>
      <c r="T1620" s="62">
        <v>0</v>
      </c>
    </row>
    <row r="1621" spans="1:20" ht="11.1" customHeight="1" x14ac:dyDescent="0.25">
      <c r="A1621" s="56">
        <v>109344</v>
      </c>
      <c r="B1621" s="72">
        <v>46045</v>
      </c>
      <c r="C1621" s="68">
        <v>46045</v>
      </c>
      <c r="D1621" s="58" t="s">
        <v>1586</v>
      </c>
      <c r="E1621" s="59" t="s">
        <v>352</v>
      </c>
      <c r="F1621" s="56">
        <v>36</v>
      </c>
      <c r="G1621" s="73">
        <v>342</v>
      </c>
      <c r="H1621" s="74" t="s">
        <v>1577</v>
      </c>
      <c r="I1621" s="59" t="s">
        <v>1578</v>
      </c>
      <c r="J1621" s="59" t="s">
        <v>1579</v>
      </c>
      <c r="K1621" s="69">
        <v>5403</v>
      </c>
      <c r="L1621" s="56">
        <v>207</v>
      </c>
      <c r="M1621" s="59" t="s">
        <v>26</v>
      </c>
      <c r="N1621" s="61">
        <v>786.15</v>
      </c>
      <c r="O1621" s="59" t="s">
        <v>313</v>
      </c>
      <c r="P1621" s="62">
        <v>734.72</v>
      </c>
      <c r="Q1621" s="63">
        <v>20</v>
      </c>
      <c r="R1621" s="62">
        <v>146.94</v>
      </c>
      <c r="S1621" s="61">
        <v>0</v>
      </c>
      <c r="T1621" s="62">
        <v>51.43</v>
      </c>
    </row>
    <row r="1622" spans="1:20" ht="11.1" customHeight="1" x14ac:dyDescent="0.25">
      <c r="O1622" s="59" t="s">
        <v>436</v>
      </c>
      <c r="P1622" s="62">
        <v>991.87</v>
      </c>
      <c r="Q1622" s="63">
        <v>20</v>
      </c>
      <c r="R1622" s="62">
        <v>51.43</v>
      </c>
      <c r="S1622" s="61">
        <v>0</v>
      </c>
      <c r="T1622" s="62">
        <v>0</v>
      </c>
    </row>
    <row r="1623" spans="1:20" ht="11.1" customHeight="1" x14ac:dyDescent="0.25">
      <c r="A1623" s="56">
        <v>109639</v>
      </c>
      <c r="B1623" s="72">
        <v>46051</v>
      </c>
      <c r="C1623" s="68">
        <v>46051</v>
      </c>
      <c r="D1623" s="58" t="s">
        <v>1587</v>
      </c>
      <c r="E1623" s="59" t="s">
        <v>352</v>
      </c>
      <c r="F1623" s="56">
        <v>36</v>
      </c>
      <c r="G1623" s="73">
        <v>342</v>
      </c>
      <c r="H1623" s="74" t="s">
        <v>1577</v>
      </c>
      <c r="I1623" s="59" t="s">
        <v>1578</v>
      </c>
      <c r="J1623" s="59" t="s">
        <v>1579</v>
      </c>
      <c r="K1623" s="69">
        <v>5403</v>
      </c>
      <c r="L1623" s="56">
        <v>207</v>
      </c>
      <c r="M1623" s="59" t="s">
        <v>26</v>
      </c>
      <c r="N1623" s="61">
        <v>1775.77</v>
      </c>
      <c r="O1623" s="59" t="s">
        <v>313</v>
      </c>
      <c r="P1623" s="62">
        <v>1659.6</v>
      </c>
      <c r="Q1623" s="63">
        <v>20</v>
      </c>
      <c r="R1623" s="62">
        <v>331.92</v>
      </c>
      <c r="S1623" s="61">
        <v>0</v>
      </c>
      <c r="T1623" s="62">
        <v>116.17</v>
      </c>
    </row>
    <row r="1624" spans="1:20" ht="11.1" customHeight="1" x14ac:dyDescent="0.25">
      <c r="O1624" s="59" t="s">
        <v>436</v>
      </c>
      <c r="P1624" s="62">
        <v>2240.46</v>
      </c>
      <c r="Q1624" s="63">
        <v>20</v>
      </c>
      <c r="R1624" s="62">
        <v>116.17</v>
      </c>
      <c r="S1624" s="61">
        <v>0</v>
      </c>
      <c r="T1624" s="62">
        <v>0</v>
      </c>
    </row>
    <row r="1625" spans="1:20" ht="11.85" customHeight="1" x14ac:dyDescent="0.25">
      <c r="A1625" s="71" t="s">
        <v>620</v>
      </c>
      <c r="B1625" s="71"/>
      <c r="C1625" s="71"/>
      <c r="D1625" s="71"/>
      <c r="E1625" s="71"/>
      <c r="F1625" s="71"/>
      <c r="G1625" s="71"/>
      <c r="H1625" s="71"/>
    </row>
    <row r="1626" spans="1:20" ht="11.1" customHeight="1" x14ac:dyDescent="0.25">
      <c r="O1626" s="59" t="s">
        <v>313</v>
      </c>
      <c r="P1626" s="62">
        <v>9730.4699999999993</v>
      </c>
      <c r="R1626" s="62">
        <v>1946.08</v>
      </c>
      <c r="S1626" s="61">
        <v>0</v>
      </c>
      <c r="T1626" s="62">
        <v>592.86</v>
      </c>
    </row>
    <row r="1627" spans="1:20" ht="11.1" customHeight="1" x14ac:dyDescent="0.25">
      <c r="O1627" s="59" t="s">
        <v>436</v>
      </c>
      <c r="P1627" s="62">
        <v>11433.53</v>
      </c>
      <c r="R1627" s="62">
        <v>592.86</v>
      </c>
      <c r="S1627" s="61">
        <v>0</v>
      </c>
      <c r="T1627" s="62">
        <v>0</v>
      </c>
    </row>
    <row r="1628" spans="1:20" ht="11.1" customHeight="1" x14ac:dyDescent="0.25">
      <c r="A1628" s="56">
        <v>108526</v>
      </c>
      <c r="B1628" s="72">
        <v>46028</v>
      </c>
      <c r="C1628" s="68">
        <v>46028</v>
      </c>
      <c r="D1628" s="58" t="s">
        <v>1588</v>
      </c>
      <c r="E1628" s="59" t="s">
        <v>352</v>
      </c>
      <c r="F1628" s="56">
        <v>36</v>
      </c>
      <c r="G1628" s="73">
        <v>542</v>
      </c>
      <c r="H1628" s="74" t="s">
        <v>492</v>
      </c>
      <c r="I1628" s="59" t="s">
        <v>1589</v>
      </c>
      <c r="J1628" s="59" t="s">
        <v>1590</v>
      </c>
      <c r="K1628" s="69">
        <v>5102</v>
      </c>
      <c r="L1628" s="56">
        <v>205</v>
      </c>
      <c r="M1628" s="59" t="s">
        <v>26</v>
      </c>
      <c r="N1628" s="61">
        <v>239.45</v>
      </c>
      <c r="O1628" s="59" t="s">
        <v>313</v>
      </c>
      <c r="P1628" s="62">
        <v>239.45</v>
      </c>
      <c r="Q1628" s="63">
        <v>20</v>
      </c>
      <c r="R1628" s="62">
        <v>47.89</v>
      </c>
      <c r="S1628" s="61">
        <v>0</v>
      </c>
      <c r="T1628" s="62">
        <v>0</v>
      </c>
    </row>
    <row r="1629" spans="1:20" ht="11.1" customHeight="1" x14ac:dyDescent="0.25">
      <c r="A1629" s="56">
        <v>108527</v>
      </c>
      <c r="B1629" s="72">
        <v>46028</v>
      </c>
      <c r="C1629" s="68">
        <v>46028</v>
      </c>
      <c r="D1629" s="58" t="s">
        <v>1588</v>
      </c>
      <c r="E1629" s="59" t="s">
        <v>352</v>
      </c>
      <c r="F1629" s="56">
        <v>36</v>
      </c>
      <c r="G1629" s="73">
        <v>542</v>
      </c>
      <c r="H1629" s="74" t="s">
        <v>492</v>
      </c>
      <c r="I1629" s="59" t="s">
        <v>1589</v>
      </c>
      <c r="J1629" s="59" t="s">
        <v>1590</v>
      </c>
      <c r="K1629" s="69">
        <v>5403</v>
      </c>
      <c r="L1629" s="56">
        <v>207</v>
      </c>
      <c r="M1629" s="59" t="s">
        <v>26</v>
      </c>
      <c r="N1629" s="61">
        <v>1140.7</v>
      </c>
      <c r="O1629" s="59" t="s">
        <v>313</v>
      </c>
      <c r="P1629" s="62">
        <v>1140.7</v>
      </c>
      <c r="Q1629" s="63">
        <v>20</v>
      </c>
      <c r="R1629" s="62">
        <v>228.14</v>
      </c>
      <c r="S1629" s="61">
        <v>0</v>
      </c>
      <c r="T1629" s="62">
        <v>0</v>
      </c>
    </row>
    <row r="1630" spans="1:20" ht="11.1" customHeight="1" x14ac:dyDescent="0.25">
      <c r="A1630" s="56">
        <v>108611</v>
      </c>
      <c r="B1630" s="72">
        <v>46029</v>
      </c>
      <c r="C1630" s="68">
        <v>46029</v>
      </c>
      <c r="D1630" s="58" t="s">
        <v>1591</v>
      </c>
      <c r="E1630" s="59" t="s">
        <v>352</v>
      </c>
      <c r="F1630" s="56">
        <v>36</v>
      </c>
      <c r="G1630" s="73">
        <v>542</v>
      </c>
      <c r="H1630" s="74" t="s">
        <v>492</v>
      </c>
      <c r="I1630" s="59" t="s">
        <v>1589</v>
      </c>
      <c r="J1630" s="59" t="s">
        <v>1590</v>
      </c>
      <c r="K1630" s="69">
        <v>5403</v>
      </c>
      <c r="L1630" s="56">
        <v>207</v>
      </c>
      <c r="M1630" s="59" t="s">
        <v>26</v>
      </c>
      <c r="N1630" s="61">
        <v>243.56</v>
      </c>
      <c r="O1630" s="59" t="s">
        <v>313</v>
      </c>
      <c r="P1630" s="62">
        <v>243.56</v>
      </c>
      <c r="Q1630" s="63">
        <v>20</v>
      </c>
      <c r="R1630" s="62">
        <v>48.71</v>
      </c>
      <c r="S1630" s="61">
        <v>0</v>
      </c>
      <c r="T1630" s="62">
        <v>0</v>
      </c>
    </row>
    <row r="1631" spans="1:20" ht="11.1" customHeight="1" x14ac:dyDescent="0.25">
      <c r="A1631" s="56">
        <v>108739</v>
      </c>
      <c r="B1631" s="72">
        <v>46031</v>
      </c>
      <c r="C1631" s="68">
        <v>46031</v>
      </c>
      <c r="D1631" s="58" t="s">
        <v>1592</v>
      </c>
      <c r="E1631" s="59" t="s">
        <v>352</v>
      </c>
      <c r="F1631" s="56">
        <v>36</v>
      </c>
      <c r="G1631" s="73">
        <v>542</v>
      </c>
      <c r="H1631" s="74" t="s">
        <v>492</v>
      </c>
      <c r="I1631" s="59" t="s">
        <v>1589</v>
      </c>
      <c r="J1631" s="59" t="s">
        <v>1590</v>
      </c>
      <c r="K1631" s="69">
        <v>5403</v>
      </c>
      <c r="L1631" s="56">
        <v>207</v>
      </c>
      <c r="M1631" s="59" t="s">
        <v>26</v>
      </c>
      <c r="N1631" s="61">
        <v>55.84</v>
      </c>
      <c r="O1631" s="59" t="s">
        <v>313</v>
      </c>
      <c r="P1631" s="62">
        <v>55.84</v>
      </c>
      <c r="Q1631" s="63">
        <v>20</v>
      </c>
      <c r="R1631" s="62">
        <v>11.17</v>
      </c>
      <c r="S1631" s="61">
        <v>0</v>
      </c>
      <c r="T1631" s="62">
        <v>0</v>
      </c>
    </row>
    <row r="1632" spans="1:20" ht="11.1" customHeight="1" x14ac:dyDescent="0.25">
      <c r="A1632" s="56">
        <v>108795</v>
      </c>
      <c r="B1632" s="72">
        <v>46034</v>
      </c>
      <c r="C1632" s="68">
        <v>46034</v>
      </c>
      <c r="D1632" s="58" t="s">
        <v>1593</v>
      </c>
      <c r="E1632" s="59" t="s">
        <v>352</v>
      </c>
      <c r="F1632" s="56">
        <v>36</v>
      </c>
      <c r="G1632" s="73">
        <v>542</v>
      </c>
      <c r="H1632" s="74" t="s">
        <v>492</v>
      </c>
      <c r="I1632" s="59" t="s">
        <v>1589</v>
      </c>
      <c r="J1632" s="59" t="s">
        <v>1590</v>
      </c>
      <c r="K1632" s="69">
        <v>5102</v>
      </c>
      <c r="L1632" s="56">
        <v>205</v>
      </c>
      <c r="M1632" s="59" t="s">
        <v>26</v>
      </c>
      <c r="N1632" s="61">
        <v>672.37</v>
      </c>
      <c r="O1632" s="59" t="s">
        <v>313</v>
      </c>
      <c r="P1632" s="62">
        <v>672.37</v>
      </c>
      <c r="Q1632" s="63">
        <v>20</v>
      </c>
      <c r="R1632" s="62">
        <v>134.47</v>
      </c>
      <c r="S1632" s="61">
        <v>0</v>
      </c>
      <c r="T1632" s="62">
        <v>0</v>
      </c>
    </row>
    <row r="1633" spans="1:20" ht="11.1" customHeight="1" x14ac:dyDescent="0.25">
      <c r="A1633" s="56">
        <v>108796</v>
      </c>
      <c r="B1633" s="72">
        <v>46034</v>
      </c>
      <c r="C1633" s="68">
        <v>46034</v>
      </c>
      <c r="D1633" s="58" t="s">
        <v>1593</v>
      </c>
      <c r="E1633" s="59" t="s">
        <v>352</v>
      </c>
      <c r="F1633" s="56">
        <v>36</v>
      </c>
      <c r="G1633" s="73">
        <v>542</v>
      </c>
      <c r="H1633" s="74" t="s">
        <v>492</v>
      </c>
      <c r="I1633" s="59" t="s">
        <v>1589</v>
      </c>
      <c r="J1633" s="59" t="s">
        <v>1590</v>
      </c>
      <c r="K1633" s="69">
        <v>5403</v>
      </c>
      <c r="L1633" s="56">
        <v>207</v>
      </c>
      <c r="M1633" s="59" t="s">
        <v>26</v>
      </c>
      <c r="N1633" s="61">
        <v>290.88</v>
      </c>
      <c r="O1633" s="59" t="s">
        <v>313</v>
      </c>
      <c r="P1633" s="62">
        <v>290.88</v>
      </c>
      <c r="Q1633" s="63">
        <v>20</v>
      </c>
      <c r="R1633" s="62">
        <v>58.18</v>
      </c>
      <c r="S1633" s="61">
        <v>0</v>
      </c>
      <c r="T1633" s="62">
        <v>0</v>
      </c>
    </row>
    <row r="1634" spans="1:20" ht="11.1" customHeight="1" x14ac:dyDescent="0.25">
      <c r="A1634" s="56">
        <v>108797</v>
      </c>
      <c r="B1634" s="72">
        <v>46034</v>
      </c>
      <c r="C1634" s="68">
        <v>46034</v>
      </c>
      <c r="D1634" s="58" t="s">
        <v>1594</v>
      </c>
      <c r="E1634" s="59" t="s">
        <v>352</v>
      </c>
      <c r="F1634" s="56">
        <v>36</v>
      </c>
      <c r="G1634" s="73">
        <v>542</v>
      </c>
      <c r="H1634" s="74" t="s">
        <v>492</v>
      </c>
      <c r="I1634" s="59" t="s">
        <v>1589</v>
      </c>
      <c r="J1634" s="59" t="s">
        <v>1590</v>
      </c>
      <c r="K1634" s="69">
        <v>5403</v>
      </c>
      <c r="L1634" s="56">
        <v>207</v>
      </c>
      <c r="M1634" s="59" t="s">
        <v>26</v>
      </c>
      <c r="N1634" s="61">
        <v>821.68</v>
      </c>
      <c r="O1634" s="59" t="s">
        <v>313</v>
      </c>
      <c r="P1634" s="62">
        <v>821.68</v>
      </c>
      <c r="Q1634" s="63">
        <v>20</v>
      </c>
      <c r="R1634" s="62">
        <v>164.33</v>
      </c>
      <c r="S1634" s="61">
        <v>0</v>
      </c>
      <c r="T1634" s="62">
        <v>0</v>
      </c>
    </row>
    <row r="1635" spans="1:20" ht="11.1" customHeight="1" x14ac:dyDescent="0.25">
      <c r="A1635" s="56">
        <v>108934</v>
      </c>
      <c r="B1635" s="72">
        <v>46036</v>
      </c>
      <c r="C1635" s="68">
        <v>46036</v>
      </c>
      <c r="D1635" s="58" t="s">
        <v>1595</v>
      </c>
      <c r="E1635" s="59" t="s">
        <v>352</v>
      </c>
      <c r="F1635" s="56">
        <v>36</v>
      </c>
      <c r="G1635" s="73">
        <v>542</v>
      </c>
      <c r="H1635" s="74" t="s">
        <v>492</v>
      </c>
      <c r="I1635" s="59" t="s">
        <v>1589</v>
      </c>
      <c r="J1635" s="59" t="s">
        <v>1590</v>
      </c>
      <c r="K1635" s="69">
        <v>5102</v>
      </c>
      <c r="L1635" s="56">
        <v>205</v>
      </c>
      <c r="M1635" s="59" t="s">
        <v>26</v>
      </c>
      <c r="N1635" s="61">
        <v>287.39999999999998</v>
      </c>
      <c r="O1635" s="59" t="s">
        <v>313</v>
      </c>
      <c r="P1635" s="62">
        <v>287.39999999999998</v>
      </c>
      <c r="Q1635" s="63">
        <v>20</v>
      </c>
      <c r="R1635" s="62">
        <v>57.48</v>
      </c>
      <c r="S1635" s="61">
        <v>0</v>
      </c>
      <c r="T1635" s="62">
        <v>0</v>
      </c>
    </row>
    <row r="1636" spans="1:20" ht="11.1" customHeight="1" x14ac:dyDescent="0.25">
      <c r="A1636" s="56">
        <v>108968</v>
      </c>
      <c r="B1636" s="72">
        <v>46037</v>
      </c>
      <c r="C1636" s="68">
        <v>46037</v>
      </c>
      <c r="D1636" s="58" t="s">
        <v>1596</v>
      </c>
      <c r="E1636" s="59" t="s">
        <v>352</v>
      </c>
      <c r="F1636" s="56">
        <v>36</v>
      </c>
      <c r="G1636" s="73">
        <v>542</v>
      </c>
      <c r="H1636" s="74" t="s">
        <v>492</v>
      </c>
      <c r="I1636" s="59" t="s">
        <v>1589</v>
      </c>
      <c r="J1636" s="59" t="s">
        <v>1590</v>
      </c>
      <c r="K1636" s="69">
        <v>5403</v>
      </c>
      <c r="L1636" s="56">
        <v>207</v>
      </c>
      <c r="M1636" s="59" t="s">
        <v>26</v>
      </c>
      <c r="N1636" s="61">
        <v>959.4</v>
      </c>
      <c r="O1636" s="59" t="s">
        <v>313</v>
      </c>
      <c r="P1636" s="62">
        <v>959.4</v>
      </c>
      <c r="Q1636" s="63">
        <v>20</v>
      </c>
      <c r="R1636" s="62">
        <v>191.88</v>
      </c>
      <c r="S1636" s="61">
        <v>0</v>
      </c>
      <c r="T1636" s="62">
        <v>0</v>
      </c>
    </row>
    <row r="1637" spans="1:20" ht="11.1" customHeight="1" x14ac:dyDescent="0.25">
      <c r="A1637" s="56">
        <v>109036</v>
      </c>
      <c r="B1637" s="72">
        <v>46038</v>
      </c>
      <c r="C1637" s="68">
        <v>46038</v>
      </c>
      <c r="D1637" s="58" t="s">
        <v>1597</v>
      </c>
      <c r="E1637" s="59" t="s">
        <v>352</v>
      </c>
      <c r="F1637" s="56">
        <v>36</v>
      </c>
      <c r="G1637" s="73">
        <v>542</v>
      </c>
      <c r="H1637" s="74" t="s">
        <v>492</v>
      </c>
      <c r="I1637" s="59" t="s">
        <v>1589</v>
      </c>
      <c r="J1637" s="59" t="s">
        <v>1590</v>
      </c>
      <c r="K1637" s="69">
        <v>5102</v>
      </c>
      <c r="L1637" s="56">
        <v>205</v>
      </c>
      <c r="M1637" s="59" t="s">
        <v>26</v>
      </c>
      <c r="N1637" s="61">
        <v>481.95</v>
      </c>
      <c r="O1637" s="59" t="s">
        <v>313</v>
      </c>
      <c r="P1637" s="62">
        <v>481.95</v>
      </c>
      <c r="Q1637" s="63">
        <v>20</v>
      </c>
      <c r="R1637" s="62">
        <v>96.39</v>
      </c>
      <c r="S1637" s="61">
        <v>0</v>
      </c>
      <c r="T1637" s="62">
        <v>0</v>
      </c>
    </row>
    <row r="1638" spans="1:20" ht="11.1" customHeight="1" x14ac:dyDescent="0.25">
      <c r="A1638" s="56">
        <v>109037</v>
      </c>
      <c r="B1638" s="72">
        <v>46038</v>
      </c>
      <c r="C1638" s="68">
        <v>46038</v>
      </c>
      <c r="D1638" s="58" t="s">
        <v>1597</v>
      </c>
      <c r="E1638" s="59" t="s">
        <v>352</v>
      </c>
      <c r="F1638" s="56">
        <v>36</v>
      </c>
      <c r="G1638" s="73">
        <v>542</v>
      </c>
      <c r="H1638" s="74" t="s">
        <v>492</v>
      </c>
      <c r="I1638" s="59" t="s">
        <v>1589</v>
      </c>
      <c r="J1638" s="59" t="s">
        <v>1590</v>
      </c>
      <c r="K1638" s="69">
        <v>5403</v>
      </c>
      <c r="L1638" s="56">
        <v>207</v>
      </c>
      <c r="M1638" s="59" t="s">
        <v>26</v>
      </c>
      <c r="N1638" s="61">
        <v>484.8</v>
      </c>
      <c r="O1638" s="59" t="s">
        <v>313</v>
      </c>
      <c r="P1638" s="62">
        <v>484.8</v>
      </c>
      <c r="Q1638" s="63">
        <v>20</v>
      </c>
      <c r="R1638" s="62">
        <v>96.96</v>
      </c>
      <c r="S1638" s="61">
        <v>0</v>
      </c>
      <c r="T1638" s="62">
        <v>0</v>
      </c>
    </row>
    <row r="1639" spans="1:20" ht="11.1" customHeight="1" x14ac:dyDescent="0.25">
      <c r="A1639" s="56">
        <v>109127</v>
      </c>
      <c r="B1639" s="72">
        <v>46041</v>
      </c>
      <c r="C1639" s="68">
        <v>46041</v>
      </c>
      <c r="D1639" s="58" t="s">
        <v>1598</v>
      </c>
      <c r="E1639" s="59" t="s">
        <v>352</v>
      </c>
      <c r="F1639" s="56">
        <v>36</v>
      </c>
      <c r="G1639" s="73">
        <v>542</v>
      </c>
      <c r="H1639" s="74" t="s">
        <v>492</v>
      </c>
      <c r="I1639" s="59" t="s">
        <v>1589</v>
      </c>
      <c r="J1639" s="59" t="s">
        <v>1590</v>
      </c>
      <c r="K1639" s="69">
        <v>5403</v>
      </c>
      <c r="L1639" s="56">
        <v>207</v>
      </c>
      <c r="M1639" s="59" t="s">
        <v>26</v>
      </c>
      <c r="N1639" s="61">
        <v>387.84</v>
      </c>
      <c r="O1639" s="59" t="s">
        <v>313</v>
      </c>
      <c r="P1639" s="62">
        <v>387.84</v>
      </c>
      <c r="Q1639" s="63">
        <v>20</v>
      </c>
      <c r="R1639" s="62">
        <v>77.569999999999993</v>
      </c>
      <c r="S1639" s="61">
        <v>0</v>
      </c>
      <c r="T1639" s="62">
        <v>0</v>
      </c>
    </row>
    <row r="1640" spans="1:20" ht="11.1" customHeight="1" x14ac:dyDescent="0.25">
      <c r="A1640" s="56">
        <v>109169</v>
      </c>
      <c r="B1640" s="72">
        <v>46042</v>
      </c>
      <c r="C1640" s="68">
        <v>46042</v>
      </c>
      <c r="D1640" s="58" t="s">
        <v>1599</v>
      </c>
      <c r="E1640" s="59" t="s">
        <v>352</v>
      </c>
      <c r="F1640" s="56">
        <v>36</v>
      </c>
      <c r="G1640" s="73">
        <v>542</v>
      </c>
      <c r="H1640" s="74" t="s">
        <v>492</v>
      </c>
      <c r="I1640" s="59" t="s">
        <v>1589</v>
      </c>
      <c r="J1640" s="59" t="s">
        <v>1590</v>
      </c>
      <c r="K1640" s="69">
        <v>5102</v>
      </c>
      <c r="L1640" s="56">
        <v>205</v>
      </c>
      <c r="M1640" s="59" t="s">
        <v>26</v>
      </c>
      <c r="N1640" s="61">
        <v>143.69999999999999</v>
      </c>
      <c r="O1640" s="59" t="s">
        <v>313</v>
      </c>
      <c r="P1640" s="62">
        <v>143.69999999999999</v>
      </c>
      <c r="Q1640" s="63">
        <v>20</v>
      </c>
      <c r="R1640" s="62">
        <v>28.74</v>
      </c>
      <c r="S1640" s="61">
        <v>0</v>
      </c>
      <c r="T1640" s="62">
        <v>0</v>
      </c>
    </row>
    <row r="1641" spans="1:20" ht="11.1" customHeight="1" x14ac:dyDescent="0.25">
      <c r="A1641" s="56">
        <v>109197</v>
      </c>
      <c r="B1641" s="72">
        <v>46043</v>
      </c>
      <c r="C1641" s="68">
        <v>46043</v>
      </c>
      <c r="D1641" s="58" t="s">
        <v>1600</v>
      </c>
      <c r="E1641" s="59" t="s">
        <v>352</v>
      </c>
      <c r="F1641" s="56">
        <v>36</v>
      </c>
      <c r="G1641" s="73">
        <v>542</v>
      </c>
      <c r="H1641" s="74" t="s">
        <v>492</v>
      </c>
      <c r="I1641" s="59" t="s">
        <v>1589</v>
      </c>
      <c r="J1641" s="59" t="s">
        <v>1590</v>
      </c>
      <c r="K1641" s="69">
        <v>5102</v>
      </c>
      <c r="L1641" s="56">
        <v>205</v>
      </c>
      <c r="M1641" s="59" t="s">
        <v>26</v>
      </c>
      <c r="N1641" s="61">
        <v>211.35</v>
      </c>
      <c r="O1641" s="59" t="s">
        <v>313</v>
      </c>
      <c r="P1641" s="62">
        <v>211.35</v>
      </c>
      <c r="Q1641" s="63">
        <v>20</v>
      </c>
      <c r="R1641" s="62">
        <v>42.27</v>
      </c>
      <c r="S1641" s="61">
        <v>0</v>
      </c>
      <c r="T1641" s="62">
        <v>0</v>
      </c>
    </row>
    <row r="1642" spans="1:20" ht="11.1" customHeight="1" x14ac:dyDescent="0.25">
      <c r="A1642" s="56">
        <v>109198</v>
      </c>
      <c r="B1642" s="72">
        <v>46043</v>
      </c>
      <c r="C1642" s="68">
        <v>46043</v>
      </c>
      <c r="D1642" s="58" t="s">
        <v>1600</v>
      </c>
      <c r="E1642" s="59" t="s">
        <v>352</v>
      </c>
      <c r="F1642" s="56">
        <v>36</v>
      </c>
      <c r="G1642" s="73">
        <v>542</v>
      </c>
      <c r="H1642" s="74" t="s">
        <v>492</v>
      </c>
      <c r="I1642" s="59" t="s">
        <v>1589</v>
      </c>
      <c r="J1642" s="59" t="s">
        <v>1590</v>
      </c>
      <c r="K1642" s="69">
        <v>5403</v>
      </c>
      <c r="L1642" s="56">
        <v>207</v>
      </c>
      <c r="M1642" s="59" t="s">
        <v>26</v>
      </c>
      <c r="N1642" s="61">
        <v>670.99</v>
      </c>
      <c r="O1642" s="59" t="s">
        <v>313</v>
      </c>
      <c r="P1642" s="62">
        <v>670.99</v>
      </c>
      <c r="Q1642" s="63">
        <v>20</v>
      </c>
      <c r="R1642" s="62">
        <v>134.19999999999999</v>
      </c>
      <c r="S1642" s="61">
        <v>0</v>
      </c>
      <c r="T1642" s="62">
        <v>0</v>
      </c>
    </row>
    <row r="1643" spans="1:20" ht="11.1" customHeight="1" x14ac:dyDescent="0.25">
      <c r="A1643" s="56">
        <v>109211</v>
      </c>
      <c r="B1643" s="72">
        <v>46043</v>
      </c>
      <c r="C1643" s="68">
        <v>46043</v>
      </c>
      <c r="D1643" s="58" t="s">
        <v>1601</v>
      </c>
      <c r="E1643" s="59" t="s">
        <v>352</v>
      </c>
      <c r="F1643" s="56">
        <v>36</v>
      </c>
      <c r="G1643" s="73">
        <v>542</v>
      </c>
      <c r="H1643" s="74" t="s">
        <v>492</v>
      </c>
      <c r="I1643" s="59" t="s">
        <v>1589</v>
      </c>
      <c r="J1643" s="59" t="s">
        <v>1590</v>
      </c>
      <c r="K1643" s="69">
        <v>5403</v>
      </c>
      <c r="L1643" s="56">
        <v>207</v>
      </c>
      <c r="M1643" s="59" t="s">
        <v>26</v>
      </c>
      <c r="N1643" s="61">
        <v>374.7</v>
      </c>
      <c r="O1643" s="59" t="s">
        <v>313</v>
      </c>
      <c r="P1643" s="62">
        <v>374.7</v>
      </c>
      <c r="Q1643" s="63">
        <v>20</v>
      </c>
      <c r="R1643" s="62">
        <v>74.94</v>
      </c>
      <c r="S1643" s="61">
        <v>0</v>
      </c>
      <c r="T1643" s="62">
        <v>0</v>
      </c>
    </row>
    <row r="1644" spans="1:20" ht="11.1" customHeight="1" x14ac:dyDescent="0.25">
      <c r="A1644" s="56">
        <v>109272</v>
      </c>
      <c r="B1644" s="72">
        <v>46044</v>
      </c>
      <c r="C1644" s="68">
        <v>46044</v>
      </c>
      <c r="D1644" s="58" t="s">
        <v>1602</v>
      </c>
      <c r="E1644" s="59" t="s">
        <v>352</v>
      </c>
      <c r="F1644" s="56">
        <v>36</v>
      </c>
      <c r="G1644" s="73">
        <v>542</v>
      </c>
      <c r="H1644" s="74" t="s">
        <v>492</v>
      </c>
      <c r="I1644" s="59" t="s">
        <v>1589</v>
      </c>
      <c r="J1644" s="59" t="s">
        <v>1590</v>
      </c>
      <c r="K1644" s="69">
        <v>5102</v>
      </c>
      <c r="L1644" s="56">
        <v>205</v>
      </c>
      <c r="M1644" s="59" t="s">
        <v>26</v>
      </c>
      <c r="N1644" s="61">
        <v>24.38</v>
      </c>
      <c r="O1644" s="59" t="s">
        <v>313</v>
      </c>
      <c r="P1644" s="62">
        <v>24.38</v>
      </c>
      <c r="Q1644" s="63">
        <v>20</v>
      </c>
      <c r="R1644" s="62">
        <v>4.88</v>
      </c>
      <c r="S1644" s="61">
        <v>0</v>
      </c>
      <c r="T1644" s="62">
        <v>0</v>
      </c>
    </row>
    <row r="1645" spans="1:20" ht="11.1" customHeight="1" x14ac:dyDescent="0.25">
      <c r="A1645" s="56">
        <v>109273</v>
      </c>
      <c r="B1645" s="72">
        <v>46044</v>
      </c>
      <c r="C1645" s="68">
        <v>46044</v>
      </c>
      <c r="D1645" s="58" t="s">
        <v>1602</v>
      </c>
      <c r="E1645" s="59" t="s">
        <v>352</v>
      </c>
      <c r="F1645" s="56">
        <v>36</v>
      </c>
      <c r="G1645" s="73">
        <v>542</v>
      </c>
      <c r="H1645" s="74" t="s">
        <v>492</v>
      </c>
      <c r="I1645" s="59" t="s">
        <v>1589</v>
      </c>
      <c r="J1645" s="59" t="s">
        <v>1590</v>
      </c>
      <c r="K1645" s="69">
        <v>5403</v>
      </c>
      <c r="L1645" s="56">
        <v>207</v>
      </c>
      <c r="M1645" s="59" t="s">
        <v>26</v>
      </c>
      <c r="N1645" s="61">
        <v>158.19</v>
      </c>
      <c r="O1645" s="59" t="s">
        <v>313</v>
      </c>
      <c r="P1645" s="62">
        <v>158.19</v>
      </c>
      <c r="Q1645" s="63">
        <v>20</v>
      </c>
      <c r="R1645" s="62">
        <v>31.64</v>
      </c>
      <c r="S1645" s="61">
        <v>0</v>
      </c>
      <c r="T1645" s="62">
        <v>0</v>
      </c>
    </row>
    <row r="1646" spans="1:20" ht="11.1" customHeight="1" x14ac:dyDescent="0.25">
      <c r="A1646" s="56">
        <v>109377</v>
      </c>
      <c r="B1646" s="72">
        <v>46045</v>
      </c>
      <c r="C1646" s="68">
        <v>46045</v>
      </c>
      <c r="D1646" s="58" t="s">
        <v>1603</v>
      </c>
      <c r="E1646" s="59" t="s">
        <v>352</v>
      </c>
      <c r="F1646" s="56">
        <v>36</v>
      </c>
      <c r="G1646" s="73">
        <v>542</v>
      </c>
      <c r="H1646" s="74" t="s">
        <v>492</v>
      </c>
      <c r="I1646" s="59" t="s">
        <v>1589</v>
      </c>
      <c r="J1646" s="59" t="s">
        <v>1590</v>
      </c>
      <c r="K1646" s="69">
        <v>5102</v>
      </c>
      <c r="L1646" s="56">
        <v>205</v>
      </c>
      <c r="M1646" s="59" t="s">
        <v>26</v>
      </c>
      <c r="N1646" s="61">
        <v>46.92</v>
      </c>
      <c r="O1646" s="59" t="s">
        <v>313</v>
      </c>
      <c r="P1646" s="62">
        <v>46.92</v>
      </c>
      <c r="Q1646" s="63">
        <v>20</v>
      </c>
      <c r="R1646" s="62">
        <v>9.39</v>
      </c>
      <c r="S1646" s="61">
        <v>0</v>
      </c>
      <c r="T1646" s="62">
        <v>0</v>
      </c>
    </row>
    <row r="1647" spans="1:20" ht="11.1" customHeight="1" x14ac:dyDescent="0.25">
      <c r="A1647" s="56">
        <v>109488</v>
      </c>
      <c r="B1647" s="72">
        <v>46049</v>
      </c>
      <c r="C1647" s="68">
        <v>46049</v>
      </c>
      <c r="D1647" s="58" t="s">
        <v>1604</v>
      </c>
      <c r="E1647" s="59" t="s">
        <v>352</v>
      </c>
      <c r="F1647" s="56">
        <v>36</v>
      </c>
      <c r="G1647" s="73">
        <v>542</v>
      </c>
      <c r="H1647" s="74" t="s">
        <v>492</v>
      </c>
      <c r="I1647" s="59" t="s">
        <v>1589</v>
      </c>
      <c r="J1647" s="59" t="s">
        <v>1590</v>
      </c>
      <c r="K1647" s="69">
        <v>5403</v>
      </c>
      <c r="L1647" s="56">
        <v>207</v>
      </c>
      <c r="M1647" s="59" t="s">
        <v>26</v>
      </c>
      <c r="N1647" s="61">
        <v>581.76</v>
      </c>
      <c r="O1647" s="59" t="s">
        <v>313</v>
      </c>
      <c r="P1647" s="62">
        <v>581.76</v>
      </c>
      <c r="Q1647" s="63">
        <v>20</v>
      </c>
      <c r="R1647" s="62">
        <v>116.35</v>
      </c>
      <c r="S1647" s="61">
        <v>0</v>
      </c>
      <c r="T1647" s="62">
        <v>0</v>
      </c>
    </row>
    <row r="1648" spans="1:20" ht="11.1" customHeight="1" x14ac:dyDescent="0.25">
      <c r="A1648" s="56">
        <v>109661</v>
      </c>
      <c r="B1648" s="72">
        <v>46052</v>
      </c>
      <c r="C1648" s="68">
        <v>46052</v>
      </c>
      <c r="D1648" s="58" t="s">
        <v>1605</v>
      </c>
      <c r="E1648" s="59" t="s">
        <v>352</v>
      </c>
      <c r="F1648" s="56">
        <v>36</v>
      </c>
      <c r="G1648" s="73">
        <v>542</v>
      </c>
      <c r="H1648" s="74" t="s">
        <v>492</v>
      </c>
      <c r="I1648" s="59" t="s">
        <v>1589</v>
      </c>
      <c r="J1648" s="59" t="s">
        <v>1590</v>
      </c>
      <c r="K1648" s="69">
        <v>5102</v>
      </c>
      <c r="L1648" s="56">
        <v>205</v>
      </c>
      <c r="M1648" s="59" t="s">
        <v>26</v>
      </c>
      <c r="N1648" s="61">
        <v>16.87</v>
      </c>
      <c r="O1648" s="59" t="s">
        <v>313</v>
      </c>
      <c r="P1648" s="62">
        <v>16.87</v>
      </c>
      <c r="Q1648" s="63">
        <v>20</v>
      </c>
      <c r="R1648" s="62">
        <v>3.37</v>
      </c>
      <c r="S1648" s="61">
        <v>0</v>
      </c>
      <c r="T1648" s="62">
        <v>0</v>
      </c>
    </row>
    <row r="1649" spans="1:20" ht="11.1" customHeight="1" x14ac:dyDescent="0.25">
      <c r="A1649" s="56">
        <v>109662</v>
      </c>
      <c r="B1649" s="72">
        <v>46052</v>
      </c>
      <c r="C1649" s="68">
        <v>46052</v>
      </c>
      <c r="D1649" s="58" t="s">
        <v>1605</v>
      </c>
      <c r="E1649" s="59" t="s">
        <v>352</v>
      </c>
      <c r="F1649" s="56">
        <v>36</v>
      </c>
      <c r="G1649" s="73">
        <v>542</v>
      </c>
      <c r="H1649" s="74" t="s">
        <v>492</v>
      </c>
      <c r="I1649" s="59" t="s">
        <v>1589</v>
      </c>
      <c r="J1649" s="59" t="s">
        <v>1590</v>
      </c>
      <c r="K1649" s="69">
        <v>5403</v>
      </c>
      <c r="L1649" s="56">
        <v>207</v>
      </c>
      <c r="M1649" s="59" t="s">
        <v>26</v>
      </c>
      <c r="N1649" s="61">
        <v>93.36</v>
      </c>
      <c r="O1649" s="59" t="s">
        <v>313</v>
      </c>
      <c r="P1649" s="62">
        <v>93.36</v>
      </c>
      <c r="Q1649" s="63">
        <v>20</v>
      </c>
      <c r="R1649" s="62">
        <v>18.670000000000002</v>
      </c>
      <c r="S1649" s="61">
        <v>0</v>
      </c>
      <c r="T1649" s="62">
        <v>0</v>
      </c>
    </row>
    <row r="1650" spans="1:20" ht="11.85" customHeight="1" x14ac:dyDescent="0.25">
      <c r="A1650" s="71" t="s">
        <v>620</v>
      </c>
      <c r="B1650" s="71"/>
      <c r="C1650" s="71"/>
      <c r="D1650" s="71"/>
      <c r="E1650" s="71"/>
      <c r="F1650" s="71"/>
      <c r="G1650" s="71"/>
      <c r="H1650" s="71"/>
    </row>
    <row r="1651" spans="1:20" ht="11.1" customHeight="1" x14ac:dyDescent="0.25">
      <c r="O1651" s="59" t="s">
        <v>313</v>
      </c>
      <c r="P1651" s="62">
        <v>8388.09</v>
      </c>
      <c r="R1651" s="62">
        <v>1677.62</v>
      </c>
      <c r="S1651" s="61">
        <v>0</v>
      </c>
      <c r="T1651" s="62">
        <v>0</v>
      </c>
    </row>
    <row r="1652" spans="1:20" ht="11.1" customHeight="1" x14ac:dyDescent="0.25">
      <c r="A1652" s="56">
        <v>109112</v>
      </c>
      <c r="B1652" s="72">
        <v>46041</v>
      </c>
      <c r="C1652" s="68">
        <v>46041</v>
      </c>
      <c r="D1652" s="58" t="s">
        <v>1606</v>
      </c>
      <c r="E1652" s="59" t="s">
        <v>352</v>
      </c>
      <c r="F1652" s="56">
        <v>36</v>
      </c>
      <c r="G1652" s="73">
        <v>475</v>
      </c>
      <c r="H1652" s="74" t="s">
        <v>1607</v>
      </c>
      <c r="I1652" s="59" t="s">
        <v>1608</v>
      </c>
      <c r="J1652" s="59" t="s">
        <v>1609</v>
      </c>
      <c r="K1652" s="69">
        <v>5403</v>
      </c>
      <c r="L1652" s="56">
        <v>207</v>
      </c>
      <c r="M1652" s="59" t="s">
        <v>26</v>
      </c>
      <c r="N1652" s="61">
        <v>513.42999999999995</v>
      </c>
      <c r="O1652" s="59" t="s">
        <v>313</v>
      </c>
      <c r="P1652" s="62">
        <v>479.84</v>
      </c>
      <c r="Q1652" s="63">
        <v>20</v>
      </c>
      <c r="R1652" s="62">
        <v>95.97</v>
      </c>
      <c r="S1652" s="61">
        <v>0</v>
      </c>
      <c r="T1652" s="62">
        <v>33.590000000000003</v>
      </c>
    </row>
    <row r="1653" spans="1:20" ht="11.1" customHeight="1" x14ac:dyDescent="0.25">
      <c r="O1653" s="59" t="s">
        <v>436</v>
      </c>
      <c r="P1653" s="62">
        <v>647.78</v>
      </c>
      <c r="Q1653" s="63">
        <v>20</v>
      </c>
      <c r="R1653" s="62">
        <v>33.590000000000003</v>
      </c>
      <c r="S1653" s="61">
        <v>0</v>
      </c>
      <c r="T1653" s="62">
        <v>0</v>
      </c>
    </row>
    <row r="1654" spans="1:20" ht="11.85" customHeight="1" x14ac:dyDescent="0.25">
      <c r="A1654" s="71" t="s">
        <v>620</v>
      </c>
      <c r="B1654" s="71"/>
      <c r="C1654" s="71"/>
      <c r="D1654" s="71"/>
      <c r="E1654" s="71"/>
      <c r="F1654" s="71"/>
      <c r="G1654" s="71"/>
      <c r="H1654" s="71"/>
    </row>
    <row r="1655" spans="1:20" ht="11.1" customHeight="1" x14ac:dyDescent="0.25">
      <c r="O1655" s="59" t="s">
        <v>313</v>
      </c>
      <c r="P1655" s="62">
        <v>479.84</v>
      </c>
      <c r="R1655" s="62">
        <v>95.97</v>
      </c>
      <c r="S1655" s="61">
        <v>0</v>
      </c>
      <c r="T1655" s="62">
        <v>33.590000000000003</v>
      </c>
    </row>
    <row r="1656" spans="1:20" ht="11.1" customHeight="1" x14ac:dyDescent="0.25">
      <c r="O1656" s="59" t="s">
        <v>436</v>
      </c>
      <c r="P1656" s="62">
        <v>647.78</v>
      </c>
      <c r="R1656" s="62">
        <v>33.590000000000003</v>
      </c>
      <c r="S1656" s="61">
        <v>0</v>
      </c>
      <c r="T1656" s="62">
        <v>0</v>
      </c>
    </row>
    <row r="1657" spans="1:20" ht="11.1" customHeight="1" x14ac:dyDescent="0.25">
      <c r="A1657" s="56">
        <v>108666</v>
      </c>
      <c r="B1657" s="72">
        <v>46030</v>
      </c>
      <c r="C1657" s="68">
        <v>46030</v>
      </c>
      <c r="D1657" s="58" t="s">
        <v>1610</v>
      </c>
      <c r="E1657" s="59" t="s">
        <v>352</v>
      </c>
      <c r="F1657" s="56">
        <v>36</v>
      </c>
      <c r="G1657" s="73">
        <v>345</v>
      </c>
      <c r="H1657" s="74" t="s">
        <v>1611</v>
      </c>
      <c r="I1657" s="59" t="s">
        <v>1612</v>
      </c>
      <c r="J1657" s="59" t="s">
        <v>1613</v>
      </c>
      <c r="K1657" s="69">
        <v>5403</v>
      </c>
      <c r="L1657" s="56">
        <v>207</v>
      </c>
      <c r="M1657" s="59" t="s">
        <v>26</v>
      </c>
      <c r="N1657" s="61">
        <v>904.29</v>
      </c>
      <c r="O1657" s="59" t="s">
        <v>313</v>
      </c>
      <c r="P1657" s="62">
        <v>845.13</v>
      </c>
      <c r="Q1657" s="63">
        <v>20</v>
      </c>
      <c r="R1657" s="62">
        <v>169.03</v>
      </c>
      <c r="S1657" s="61">
        <v>0</v>
      </c>
      <c r="T1657" s="62">
        <v>59.16</v>
      </c>
    </row>
    <row r="1658" spans="1:20" ht="11.1" customHeight="1" x14ac:dyDescent="0.25">
      <c r="O1658" s="59" t="s">
        <v>436</v>
      </c>
      <c r="P1658" s="62">
        <v>1140.93</v>
      </c>
      <c r="Q1658" s="63">
        <v>20</v>
      </c>
      <c r="R1658" s="62">
        <v>59.16</v>
      </c>
      <c r="S1658" s="61">
        <v>0</v>
      </c>
      <c r="T1658" s="62">
        <v>0</v>
      </c>
    </row>
    <row r="1659" spans="1:20" ht="11.1" customHeight="1" x14ac:dyDescent="0.25">
      <c r="A1659" s="56">
        <v>108707</v>
      </c>
      <c r="B1659" s="72">
        <v>46031</v>
      </c>
      <c r="C1659" s="68">
        <v>46031</v>
      </c>
      <c r="D1659" s="58" t="s">
        <v>1614</v>
      </c>
      <c r="E1659" s="59" t="s">
        <v>352</v>
      </c>
      <c r="F1659" s="56">
        <v>36</v>
      </c>
      <c r="G1659" s="73">
        <v>345</v>
      </c>
      <c r="H1659" s="74" t="s">
        <v>1611</v>
      </c>
      <c r="I1659" s="59" t="s">
        <v>1612</v>
      </c>
      <c r="J1659" s="59" t="s">
        <v>1613</v>
      </c>
      <c r="K1659" s="69">
        <v>5102</v>
      </c>
      <c r="L1659" s="56">
        <v>205</v>
      </c>
      <c r="M1659" s="59" t="s">
        <v>26</v>
      </c>
      <c r="N1659" s="61">
        <v>879.36</v>
      </c>
      <c r="O1659" s="59" t="s">
        <v>313</v>
      </c>
      <c r="P1659" s="62">
        <v>879.36</v>
      </c>
      <c r="Q1659" s="63">
        <v>20</v>
      </c>
      <c r="R1659" s="62">
        <v>175.87</v>
      </c>
      <c r="S1659" s="61">
        <v>0</v>
      </c>
      <c r="T1659" s="62">
        <v>0</v>
      </c>
    </row>
    <row r="1660" spans="1:20" ht="11.1" customHeight="1" x14ac:dyDescent="0.25">
      <c r="A1660" s="56">
        <v>109445</v>
      </c>
      <c r="B1660" s="72">
        <v>46048</v>
      </c>
      <c r="C1660" s="68">
        <v>46048</v>
      </c>
      <c r="D1660" s="58" t="s">
        <v>1615</v>
      </c>
      <c r="E1660" s="59" t="s">
        <v>352</v>
      </c>
      <c r="F1660" s="56">
        <v>36</v>
      </c>
      <c r="G1660" s="73">
        <v>345</v>
      </c>
      <c r="H1660" s="74" t="s">
        <v>1611</v>
      </c>
      <c r="I1660" s="59" t="s">
        <v>1612</v>
      </c>
      <c r="J1660" s="59" t="s">
        <v>1613</v>
      </c>
      <c r="K1660" s="69">
        <v>5403</v>
      </c>
      <c r="L1660" s="56">
        <v>207</v>
      </c>
      <c r="M1660" s="59" t="s">
        <v>26</v>
      </c>
      <c r="N1660" s="61">
        <v>803.91</v>
      </c>
      <c r="O1660" s="59" t="s">
        <v>313</v>
      </c>
      <c r="P1660" s="62">
        <v>751.32</v>
      </c>
      <c r="Q1660" s="63">
        <v>20</v>
      </c>
      <c r="R1660" s="62">
        <v>150.27000000000001</v>
      </c>
      <c r="S1660" s="61">
        <v>0</v>
      </c>
      <c r="T1660" s="62">
        <v>52.59</v>
      </c>
    </row>
    <row r="1661" spans="1:20" ht="11.1" customHeight="1" x14ac:dyDescent="0.25">
      <c r="O1661" s="59" t="s">
        <v>436</v>
      </c>
      <c r="P1661" s="62">
        <v>1014.28</v>
      </c>
      <c r="Q1661" s="63">
        <v>20</v>
      </c>
      <c r="R1661" s="62">
        <v>52.59</v>
      </c>
      <c r="S1661" s="61">
        <v>0</v>
      </c>
      <c r="T1661" s="62">
        <v>0</v>
      </c>
    </row>
    <row r="1662" spans="1:20" ht="11.1" customHeight="1" x14ac:dyDescent="0.25">
      <c r="A1662" s="56">
        <v>109564</v>
      </c>
      <c r="B1662" s="72">
        <v>46050</v>
      </c>
      <c r="C1662" s="68">
        <v>46050</v>
      </c>
      <c r="D1662" s="58" t="s">
        <v>1616</v>
      </c>
      <c r="E1662" s="59" t="s">
        <v>352</v>
      </c>
      <c r="F1662" s="56">
        <v>36</v>
      </c>
      <c r="G1662" s="73">
        <v>345</v>
      </c>
      <c r="H1662" s="74" t="s">
        <v>1611</v>
      </c>
      <c r="I1662" s="59" t="s">
        <v>1612</v>
      </c>
      <c r="J1662" s="59" t="s">
        <v>1613</v>
      </c>
      <c r="K1662" s="69">
        <v>5403</v>
      </c>
      <c r="L1662" s="56">
        <v>207</v>
      </c>
      <c r="M1662" s="59" t="s">
        <v>26</v>
      </c>
      <c r="N1662" s="61">
        <v>398.21</v>
      </c>
      <c r="O1662" s="59" t="s">
        <v>313</v>
      </c>
      <c r="P1662" s="62">
        <v>372.16</v>
      </c>
      <c r="Q1662" s="63">
        <v>20</v>
      </c>
      <c r="R1662" s="62">
        <v>74.430000000000007</v>
      </c>
      <c r="S1662" s="61">
        <v>0</v>
      </c>
      <c r="T1662" s="62">
        <v>26.05</v>
      </c>
    </row>
    <row r="1663" spans="1:20" ht="11.1" customHeight="1" x14ac:dyDescent="0.25">
      <c r="O1663" s="59" t="s">
        <v>436</v>
      </c>
      <c r="P1663" s="62">
        <v>502.42</v>
      </c>
      <c r="Q1663" s="63">
        <v>20</v>
      </c>
      <c r="R1663" s="62">
        <v>26.05</v>
      </c>
      <c r="S1663" s="61">
        <v>0</v>
      </c>
      <c r="T1663" s="62">
        <v>0</v>
      </c>
    </row>
    <row r="1664" spans="1:20" ht="11.85" customHeight="1" x14ac:dyDescent="0.25">
      <c r="A1664" s="71" t="s">
        <v>620</v>
      </c>
      <c r="B1664" s="71"/>
      <c r="C1664" s="71"/>
      <c r="D1664" s="71"/>
      <c r="E1664" s="71"/>
      <c r="F1664" s="71"/>
      <c r="G1664" s="71"/>
      <c r="H1664" s="71"/>
    </row>
    <row r="1665" spans="1:20" ht="11.1" customHeight="1" x14ac:dyDescent="0.25">
      <c r="O1665" s="59" t="s">
        <v>313</v>
      </c>
      <c r="P1665" s="62">
        <v>2847.97</v>
      </c>
      <c r="R1665" s="62">
        <v>569.6</v>
      </c>
      <c r="S1665" s="61">
        <v>0</v>
      </c>
      <c r="T1665" s="62">
        <v>137.80000000000001</v>
      </c>
    </row>
    <row r="1666" spans="1:20" ht="11.1" customHeight="1" x14ac:dyDescent="0.25">
      <c r="O1666" s="59" t="s">
        <v>436</v>
      </c>
      <c r="P1666" s="62">
        <v>2657.63</v>
      </c>
      <c r="R1666" s="62">
        <v>137.80000000000001</v>
      </c>
      <c r="S1666" s="61">
        <v>0</v>
      </c>
      <c r="T1666" s="62">
        <v>0</v>
      </c>
    </row>
    <row r="1667" spans="1:20" ht="11.1" customHeight="1" x14ac:dyDescent="0.25">
      <c r="A1667" s="56">
        <v>108552</v>
      </c>
      <c r="B1667" s="72">
        <v>46028</v>
      </c>
      <c r="C1667" s="68">
        <v>46028</v>
      </c>
      <c r="D1667" s="58" t="s">
        <v>1617</v>
      </c>
      <c r="E1667" s="59" t="s">
        <v>352</v>
      </c>
      <c r="F1667" s="56">
        <v>36</v>
      </c>
      <c r="G1667" s="73">
        <v>870</v>
      </c>
      <c r="H1667" s="74" t="s">
        <v>1618</v>
      </c>
      <c r="I1667" s="59" t="s">
        <v>1619</v>
      </c>
      <c r="J1667" s="59" t="s">
        <v>1620</v>
      </c>
      <c r="K1667" s="69">
        <v>5102</v>
      </c>
      <c r="L1667" s="56">
        <v>205</v>
      </c>
      <c r="M1667" s="59" t="s">
        <v>26</v>
      </c>
      <c r="N1667" s="61">
        <v>3714.03</v>
      </c>
      <c r="O1667" s="59" t="s">
        <v>313</v>
      </c>
      <c r="P1667" s="62">
        <v>3714.03</v>
      </c>
      <c r="Q1667" s="63">
        <v>20</v>
      </c>
      <c r="R1667" s="62">
        <v>742.8</v>
      </c>
      <c r="S1667" s="61">
        <v>0</v>
      </c>
      <c r="T1667" s="62">
        <v>0</v>
      </c>
    </row>
    <row r="1668" spans="1:20" ht="11.1" customHeight="1" x14ac:dyDescent="0.25">
      <c r="A1668" s="56">
        <v>109446</v>
      </c>
      <c r="B1668" s="72">
        <v>46048</v>
      </c>
      <c r="C1668" s="68">
        <v>46048</v>
      </c>
      <c r="D1668" s="58" t="s">
        <v>1621</v>
      </c>
      <c r="E1668" s="59" t="s">
        <v>352</v>
      </c>
      <c r="F1668" s="56">
        <v>36</v>
      </c>
      <c r="G1668" s="73">
        <v>870</v>
      </c>
      <c r="H1668" s="74" t="s">
        <v>1618</v>
      </c>
      <c r="I1668" s="59" t="s">
        <v>1619</v>
      </c>
      <c r="J1668" s="59" t="s">
        <v>1620</v>
      </c>
      <c r="K1668" s="69">
        <v>5102</v>
      </c>
      <c r="L1668" s="56">
        <v>205</v>
      </c>
      <c r="M1668" s="59" t="s">
        <v>26</v>
      </c>
      <c r="N1668" s="61">
        <v>3800.58</v>
      </c>
      <c r="O1668" s="59" t="s">
        <v>313</v>
      </c>
      <c r="P1668" s="62">
        <v>3800.58</v>
      </c>
      <c r="Q1668" s="63">
        <v>20</v>
      </c>
      <c r="R1668" s="62">
        <v>760.12</v>
      </c>
      <c r="S1668" s="61">
        <v>0</v>
      </c>
      <c r="T1668" s="62">
        <v>0</v>
      </c>
    </row>
    <row r="1669" spans="1:20" ht="11.85" customHeight="1" x14ac:dyDescent="0.25">
      <c r="A1669" s="71" t="s">
        <v>620</v>
      </c>
      <c r="B1669" s="71"/>
      <c r="C1669" s="71"/>
      <c r="D1669" s="71"/>
      <c r="E1669" s="71"/>
      <c r="F1669" s="71"/>
      <c r="G1669" s="71"/>
      <c r="H1669" s="71"/>
    </row>
    <row r="1670" spans="1:20" ht="11.1" customHeight="1" x14ac:dyDescent="0.25">
      <c r="O1670" s="59" t="s">
        <v>313</v>
      </c>
      <c r="P1670" s="62">
        <v>7514.61</v>
      </c>
      <c r="R1670" s="62">
        <v>1502.92</v>
      </c>
      <c r="S1670" s="61">
        <v>0</v>
      </c>
      <c r="T1670" s="62">
        <v>0</v>
      </c>
    </row>
    <row r="1671" spans="1:20" ht="11.1" customHeight="1" x14ac:dyDescent="0.25">
      <c r="A1671" s="56">
        <v>108440</v>
      </c>
      <c r="B1671" s="72">
        <v>46027</v>
      </c>
      <c r="C1671" s="68">
        <v>46027</v>
      </c>
      <c r="D1671" s="58" t="s">
        <v>1622</v>
      </c>
      <c r="E1671" s="59" t="s">
        <v>352</v>
      </c>
      <c r="F1671" s="56">
        <v>36</v>
      </c>
      <c r="G1671" s="73">
        <v>437</v>
      </c>
      <c r="H1671" s="74" t="s">
        <v>1623</v>
      </c>
      <c r="I1671" s="59" t="s">
        <v>1624</v>
      </c>
      <c r="J1671" s="59" t="s">
        <v>1625</v>
      </c>
      <c r="K1671" s="69">
        <v>5102</v>
      </c>
      <c r="L1671" s="56">
        <v>205</v>
      </c>
      <c r="M1671" s="59" t="s">
        <v>26</v>
      </c>
      <c r="N1671" s="61">
        <v>544.98</v>
      </c>
      <c r="O1671" s="59" t="s">
        <v>313</v>
      </c>
      <c r="P1671" s="62">
        <v>544.98</v>
      </c>
      <c r="Q1671" s="63">
        <v>20</v>
      </c>
      <c r="R1671" s="62">
        <v>109</v>
      </c>
      <c r="S1671" s="61">
        <v>0</v>
      </c>
      <c r="T1671" s="62">
        <v>0</v>
      </c>
    </row>
    <row r="1672" spans="1:20" ht="11.1" customHeight="1" x14ac:dyDescent="0.25">
      <c r="A1672" s="56">
        <v>108801</v>
      </c>
      <c r="B1672" s="72">
        <v>46034</v>
      </c>
      <c r="C1672" s="68">
        <v>46034</v>
      </c>
      <c r="D1672" s="58" t="s">
        <v>1626</v>
      </c>
      <c r="E1672" s="59" t="s">
        <v>352</v>
      </c>
      <c r="F1672" s="56">
        <v>36</v>
      </c>
      <c r="G1672" s="73">
        <v>437</v>
      </c>
      <c r="H1672" s="74" t="s">
        <v>1623</v>
      </c>
      <c r="I1672" s="59" t="s">
        <v>1624</v>
      </c>
      <c r="J1672" s="59" t="s">
        <v>1625</v>
      </c>
      <c r="K1672" s="69">
        <v>5102</v>
      </c>
      <c r="L1672" s="56">
        <v>205</v>
      </c>
      <c r="M1672" s="59" t="s">
        <v>26</v>
      </c>
      <c r="N1672" s="61">
        <v>333.35</v>
      </c>
      <c r="O1672" s="59" t="s">
        <v>313</v>
      </c>
      <c r="P1672" s="62">
        <v>333.35</v>
      </c>
      <c r="Q1672" s="63">
        <v>20</v>
      </c>
      <c r="R1672" s="62">
        <v>66.67</v>
      </c>
      <c r="S1672" s="61">
        <v>0</v>
      </c>
      <c r="T1672" s="62">
        <v>0</v>
      </c>
    </row>
    <row r="1673" spans="1:20" ht="11.1" customHeight="1" x14ac:dyDescent="0.25">
      <c r="A1673" s="56">
        <v>109139</v>
      </c>
      <c r="B1673" s="72">
        <v>46042</v>
      </c>
      <c r="C1673" s="68">
        <v>46042</v>
      </c>
      <c r="D1673" s="58" t="s">
        <v>1627</v>
      </c>
      <c r="E1673" s="59" t="s">
        <v>352</v>
      </c>
      <c r="F1673" s="56">
        <v>36</v>
      </c>
      <c r="G1673" s="73">
        <v>437</v>
      </c>
      <c r="H1673" s="74" t="s">
        <v>1623</v>
      </c>
      <c r="I1673" s="59" t="s">
        <v>1624</v>
      </c>
      <c r="J1673" s="59" t="s">
        <v>1625</v>
      </c>
      <c r="K1673" s="69">
        <v>5102</v>
      </c>
      <c r="L1673" s="56">
        <v>205</v>
      </c>
      <c r="M1673" s="59" t="s">
        <v>26</v>
      </c>
      <c r="N1673" s="61">
        <v>266</v>
      </c>
      <c r="O1673" s="59" t="s">
        <v>313</v>
      </c>
      <c r="P1673" s="62">
        <v>266</v>
      </c>
      <c r="Q1673" s="63">
        <v>20</v>
      </c>
      <c r="R1673" s="62">
        <v>53.2</v>
      </c>
      <c r="S1673" s="61">
        <v>0</v>
      </c>
      <c r="T1673" s="62">
        <v>0</v>
      </c>
    </row>
    <row r="1674" spans="1:20" ht="11.1" customHeight="1" x14ac:dyDescent="0.25">
      <c r="A1674" s="56">
        <v>109140</v>
      </c>
      <c r="B1674" s="72">
        <v>46042</v>
      </c>
      <c r="C1674" s="68">
        <v>46042</v>
      </c>
      <c r="D1674" s="58" t="s">
        <v>1628</v>
      </c>
      <c r="E1674" s="59" t="s">
        <v>352</v>
      </c>
      <c r="F1674" s="56">
        <v>36</v>
      </c>
      <c r="G1674" s="73">
        <v>437</v>
      </c>
      <c r="H1674" s="74" t="s">
        <v>1623</v>
      </c>
      <c r="I1674" s="59" t="s">
        <v>1624</v>
      </c>
      <c r="J1674" s="59" t="s">
        <v>1625</v>
      </c>
      <c r="K1674" s="69">
        <v>5102</v>
      </c>
      <c r="L1674" s="56">
        <v>205</v>
      </c>
      <c r="M1674" s="59" t="s">
        <v>26</v>
      </c>
      <c r="N1674" s="61">
        <v>1049.94</v>
      </c>
      <c r="O1674" s="59" t="s">
        <v>313</v>
      </c>
      <c r="P1674" s="62">
        <v>1049.94</v>
      </c>
      <c r="Q1674" s="63">
        <v>20</v>
      </c>
      <c r="R1674" s="62">
        <v>209.98</v>
      </c>
      <c r="S1674" s="61">
        <v>0</v>
      </c>
      <c r="T1674" s="62">
        <v>0</v>
      </c>
    </row>
    <row r="1675" spans="1:20" ht="11.1" customHeight="1" x14ac:dyDescent="0.25">
      <c r="A1675" s="56">
        <v>109141</v>
      </c>
      <c r="B1675" s="72">
        <v>46042</v>
      </c>
      <c r="C1675" s="68">
        <v>46042</v>
      </c>
      <c r="D1675" s="58" t="s">
        <v>1628</v>
      </c>
      <c r="E1675" s="59" t="s">
        <v>352</v>
      </c>
      <c r="F1675" s="56">
        <v>36</v>
      </c>
      <c r="G1675" s="73">
        <v>437</v>
      </c>
      <c r="H1675" s="74" t="s">
        <v>1623</v>
      </c>
      <c r="I1675" s="59" t="s">
        <v>1624</v>
      </c>
      <c r="J1675" s="59" t="s">
        <v>1625</v>
      </c>
      <c r="K1675" s="69">
        <v>5405</v>
      </c>
      <c r="L1675" s="56">
        <v>206</v>
      </c>
      <c r="M1675" s="59" t="s">
        <v>26</v>
      </c>
      <c r="N1675" s="61">
        <v>328.94</v>
      </c>
      <c r="O1675" s="59" t="s">
        <v>313</v>
      </c>
      <c r="P1675" s="62">
        <v>0</v>
      </c>
      <c r="Q1675" s="63">
        <v>0</v>
      </c>
      <c r="R1675" s="62">
        <v>0</v>
      </c>
      <c r="S1675" s="61">
        <v>0</v>
      </c>
      <c r="T1675" s="62">
        <v>328.94</v>
      </c>
    </row>
    <row r="1676" spans="1:20" ht="11.1" customHeight="1" x14ac:dyDescent="0.25">
      <c r="A1676" s="56">
        <v>109163</v>
      </c>
      <c r="B1676" s="72">
        <v>46042</v>
      </c>
      <c r="C1676" s="68">
        <v>46042</v>
      </c>
      <c r="D1676" s="58" t="s">
        <v>1629</v>
      </c>
      <c r="E1676" s="59" t="s">
        <v>352</v>
      </c>
      <c r="F1676" s="56">
        <v>36</v>
      </c>
      <c r="G1676" s="73">
        <v>437</v>
      </c>
      <c r="H1676" s="74" t="s">
        <v>1623</v>
      </c>
      <c r="I1676" s="59" t="s">
        <v>1624</v>
      </c>
      <c r="J1676" s="59" t="s">
        <v>1625</v>
      </c>
      <c r="K1676" s="69">
        <v>5102</v>
      </c>
      <c r="L1676" s="56">
        <v>205</v>
      </c>
      <c r="M1676" s="59" t="s">
        <v>26</v>
      </c>
      <c r="N1676" s="61">
        <v>558</v>
      </c>
      <c r="O1676" s="59" t="s">
        <v>313</v>
      </c>
      <c r="P1676" s="62">
        <v>558</v>
      </c>
      <c r="Q1676" s="63">
        <v>20</v>
      </c>
      <c r="R1676" s="62">
        <v>111.6</v>
      </c>
      <c r="S1676" s="61">
        <v>0</v>
      </c>
      <c r="T1676" s="62">
        <v>0</v>
      </c>
    </row>
    <row r="1677" spans="1:20" ht="11.1" customHeight="1" x14ac:dyDescent="0.25">
      <c r="A1677" s="56">
        <v>109164</v>
      </c>
      <c r="B1677" s="72">
        <v>46042</v>
      </c>
      <c r="C1677" s="68">
        <v>46042</v>
      </c>
      <c r="D1677" s="58" t="s">
        <v>1629</v>
      </c>
      <c r="E1677" s="59" t="s">
        <v>352</v>
      </c>
      <c r="F1677" s="56">
        <v>36</v>
      </c>
      <c r="G1677" s="73">
        <v>437</v>
      </c>
      <c r="H1677" s="74" t="s">
        <v>1623</v>
      </c>
      <c r="I1677" s="59" t="s">
        <v>1624</v>
      </c>
      <c r="J1677" s="59" t="s">
        <v>1625</v>
      </c>
      <c r="K1677" s="69">
        <v>5405</v>
      </c>
      <c r="L1677" s="56">
        <v>206</v>
      </c>
      <c r="M1677" s="59" t="s">
        <v>26</v>
      </c>
      <c r="N1677" s="61">
        <v>328.94</v>
      </c>
      <c r="O1677" s="59" t="s">
        <v>313</v>
      </c>
      <c r="P1677" s="62">
        <v>0</v>
      </c>
      <c r="Q1677" s="63">
        <v>0</v>
      </c>
      <c r="R1677" s="62">
        <v>0</v>
      </c>
      <c r="S1677" s="61">
        <v>0</v>
      </c>
      <c r="T1677" s="62">
        <v>328.94</v>
      </c>
    </row>
    <row r="1678" spans="1:20" ht="11.1" customHeight="1" x14ac:dyDescent="0.25">
      <c r="A1678" s="56">
        <v>109286</v>
      </c>
      <c r="B1678" s="72">
        <v>46044</v>
      </c>
      <c r="C1678" s="68">
        <v>46044</v>
      </c>
      <c r="D1678" s="58" t="s">
        <v>1630</v>
      </c>
      <c r="E1678" s="59" t="s">
        <v>352</v>
      </c>
      <c r="F1678" s="56">
        <v>36</v>
      </c>
      <c r="G1678" s="73">
        <v>437</v>
      </c>
      <c r="H1678" s="74" t="s">
        <v>1623</v>
      </c>
      <c r="I1678" s="59" t="s">
        <v>1624</v>
      </c>
      <c r="J1678" s="59" t="s">
        <v>1625</v>
      </c>
      <c r="K1678" s="69">
        <v>5102</v>
      </c>
      <c r="L1678" s="56">
        <v>205</v>
      </c>
      <c r="M1678" s="59" t="s">
        <v>26</v>
      </c>
      <c r="N1678" s="61">
        <v>262</v>
      </c>
      <c r="O1678" s="59" t="s">
        <v>313</v>
      </c>
      <c r="P1678" s="62">
        <v>262</v>
      </c>
      <c r="Q1678" s="63">
        <v>20</v>
      </c>
      <c r="R1678" s="62">
        <v>52.4</v>
      </c>
      <c r="S1678" s="61">
        <v>0</v>
      </c>
      <c r="T1678" s="62">
        <v>0</v>
      </c>
    </row>
    <row r="1679" spans="1:20" ht="11.1" customHeight="1" x14ac:dyDescent="0.25">
      <c r="A1679" s="56">
        <v>109287</v>
      </c>
      <c r="B1679" s="72">
        <v>46044</v>
      </c>
      <c r="C1679" s="68">
        <v>46044</v>
      </c>
      <c r="D1679" s="58" t="s">
        <v>1630</v>
      </c>
      <c r="E1679" s="59" t="s">
        <v>352</v>
      </c>
      <c r="F1679" s="56">
        <v>36</v>
      </c>
      <c r="G1679" s="73">
        <v>437</v>
      </c>
      <c r="H1679" s="74" t="s">
        <v>1623</v>
      </c>
      <c r="I1679" s="59" t="s">
        <v>1624</v>
      </c>
      <c r="J1679" s="59" t="s">
        <v>1625</v>
      </c>
      <c r="K1679" s="69">
        <v>5405</v>
      </c>
      <c r="L1679" s="56">
        <v>206</v>
      </c>
      <c r="M1679" s="59" t="s">
        <v>26</v>
      </c>
      <c r="N1679" s="61">
        <v>1315.76</v>
      </c>
      <c r="O1679" s="59" t="s">
        <v>313</v>
      </c>
      <c r="P1679" s="62">
        <v>0</v>
      </c>
      <c r="Q1679" s="63">
        <v>0</v>
      </c>
      <c r="R1679" s="62">
        <v>0</v>
      </c>
      <c r="S1679" s="61">
        <v>0</v>
      </c>
      <c r="T1679" s="62">
        <v>1315.76</v>
      </c>
    </row>
    <row r="1680" spans="1:20" ht="11.1" customHeight="1" x14ac:dyDescent="0.25">
      <c r="A1680" s="56">
        <v>109656</v>
      </c>
      <c r="B1680" s="72">
        <v>46052</v>
      </c>
      <c r="C1680" s="68">
        <v>46052</v>
      </c>
      <c r="D1680" s="58" t="s">
        <v>1631</v>
      </c>
      <c r="E1680" s="59" t="s">
        <v>352</v>
      </c>
      <c r="F1680" s="56">
        <v>36</v>
      </c>
      <c r="G1680" s="73">
        <v>437</v>
      </c>
      <c r="H1680" s="74" t="s">
        <v>1623</v>
      </c>
      <c r="I1680" s="59" t="s">
        <v>1624</v>
      </c>
      <c r="J1680" s="59" t="s">
        <v>1625</v>
      </c>
      <c r="K1680" s="69">
        <v>5102</v>
      </c>
      <c r="L1680" s="56">
        <v>205</v>
      </c>
      <c r="M1680" s="59" t="s">
        <v>26</v>
      </c>
      <c r="N1680" s="61">
        <v>1116</v>
      </c>
      <c r="O1680" s="59" t="s">
        <v>313</v>
      </c>
      <c r="P1680" s="62">
        <v>1116</v>
      </c>
      <c r="Q1680" s="63">
        <v>20</v>
      </c>
      <c r="R1680" s="62">
        <v>223.2</v>
      </c>
      <c r="S1680" s="61">
        <v>0</v>
      </c>
      <c r="T1680" s="62">
        <v>0</v>
      </c>
    </row>
    <row r="1681" spans="1:20" ht="11.1" customHeight="1" x14ac:dyDescent="0.25">
      <c r="A1681" s="56">
        <v>109720</v>
      </c>
      <c r="B1681" s="72">
        <v>46044</v>
      </c>
      <c r="C1681" s="68">
        <v>46044</v>
      </c>
      <c r="D1681" s="58" t="s">
        <v>1632</v>
      </c>
      <c r="E1681" s="59" t="s">
        <v>352</v>
      </c>
      <c r="F1681" s="56">
        <v>36</v>
      </c>
      <c r="G1681" s="73">
        <v>437</v>
      </c>
      <c r="H1681" s="74" t="s">
        <v>1623</v>
      </c>
      <c r="I1681" s="59" t="s">
        <v>1624</v>
      </c>
      <c r="J1681" s="59" t="s">
        <v>1625</v>
      </c>
      <c r="K1681" s="69">
        <v>5102</v>
      </c>
      <c r="L1681" s="56">
        <v>205</v>
      </c>
      <c r="M1681" s="59" t="s">
        <v>26</v>
      </c>
      <c r="N1681" s="61">
        <v>0</v>
      </c>
      <c r="O1681" s="59" t="s">
        <v>313</v>
      </c>
      <c r="P1681" s="62">
        <v>0</v>
      </c>
      <c r="Q1681" s="63">
        <v>0</v>
      </c>
      <c r="R1681" s="62">
        <v>0</v>
      </c>
      <c r="S1681" s="61">
        <v>0</v>
      </c>
      <c r="T1681" s="62">
        <v>0</v>
      </c>
    </row>
    <row r="1682" spans="1:20" ht="11.1" customHeight="1" x14ac:dyDescent="0.25">
      <c r="A1682" s="56">
        <v>109721</v>
      </c>
      <c r="B1682" s="72">
        <v>46044</v>
      </c>
      <c r="C1682" s="68">
        <v>46044</v>
      </c>
      <c r="D1682" s="58" t="s">
        <v>1632</v>
      </c>
      <c r="E1682" s="59" t="s">
        <v>352</v>
      </c>
      <c r="F1682" s="56">
        <v>36</v>
      </c>
      <c r="G1682" s="73">
        <v>437</v>
      </c>
      <c r="H1682" s="74" t="s">
        <v>1623</v>
      </c>
      <c r="I1682" s="59" t="s">
        <v>1624</v>
      </c>
      <c r="J1682" s="59" t="s">
        <v>1625</v>
      </c>
      <c r="K1682" s="69">
        <v>5405</v>
      </c>
      <c r="L1682" s="56">
        <v>206</v>
      </c>
      <c r="M1682" s="59" t="s">
        <v>26</v>
      </c>
      <c r="N1682" s="61">
        <v>0</v>
      </c>
      <c r="O1682" s="59" t="s">
        <v>313</v>
      </c>
      <c r="P1682" s="62">
        <v>0</v>
      </c>
      <c r="Q1682" s="63">
        <v>0</v>
      </c>
      <c r="R1682" s="62">
        <v>0</v>
      </c>
      <c r="S1682" s="61">
        <v>0</v>
      </c>
      <c r="T1682" s="62">
        <v>0</v>
      </c>
    </row>
    <row r="1683" spans="1:20" ht="11.85" customHeight="1" x14ac:dyDescent="0.25">
      <c r="A1683" s="71" t="s">
        <v>620</v>
      </c>
      <c r="B1683" s="71"/>
      <c r="C1683" s="71"/>
      <c r="D1683" s="71"/>
      <c r="E1683" s="71"/>
      <c r="F1683" s="71"/>
      <c r="G1683" s="71"/>
      <c r="H1683" s="71"/>
    </row>
    <row r="1684" spans="1:20" ht="11.1" customHeight="1" x14ac:dyDescent="0.25">
      <c r="O1684" s="59" t="s">
        <v>313</v>
      </c>
      <c r="P1684" s="62">
        <v>4130.2700000000004</v>
      </c>
      <c r="R1684" s="62">
        <v>826.05</v>
      </c>
      <c r="S1684" s="61">
        <v>0</v>
      </c>
      <c r="T1684" s="62">
        <v>1973.64</v>
      </c>
    </row>
    <row r="1685" spans="1:20" ht="11.1" customHeight="1" x14ac:dyDescent="0.25">
      <c r="A1685" s="56">
        <v>108883</v>
      </c>
      <c r="B1685" s="72">
        <v>46035</v>
      </c>
      <c r="C1685" s="68">
        <v>46035</v>
      </c>
      <c r="D1685" s="58" t="s">
        <v>1633</v>
      </c>
      <c r="E1685" s="59" t="s">
        <v>352</v>
      </c>
      <c r="F1685" s="56">
        <v>36</v>
      </c>
      <c r="G1685" s="73">
        <v>432</v>
      </c>
      <c r="H1685" s="74" t="s">
        <v>1634</v>
      </c>
      <c r="I1685" s="59" t="s">
        <v>1635</v>
      </c>
      <c r="J1685" s="59" t="s">
        <v>1636</v>
      </c>
      <c r="K1685" s="69">
        <v>5102</v>
      </c>
      <c r="L1685" s="56">
        <v>205</v>
      </c>
      <c r="M1685" s="59" t="s">
        <v>26</v>
      </c>
      <c r="N1685" s="61">
        <v>3981.84</v>
      </c>
      <c r="O1685" s="59" t="s">
        <v>313</v>
      </c>
      <c r="P1685" s="62">
        <v>3981.84</v>
      </c>
      <c r="Q1685" s="63">
        <v>20</v>
      </c>
      <c r="R1685" s="62">
        <v>796.37</v>
      </c>
      <c r="S1685" s="61">
        <v>0</v>
      </c>
      <c r="T1685" s="62">
        <v>0</v>
      </c>
    </row>
    <row r="1686" spans="1:20" ht="11.1" customHeight="1" x14ac:dyDescent="0.25">
      <c r="A1686" s="56">
        <v>108884</v>
      </c>
      <c r="B1686" s="72">
        <v>46035</v>
      </c>
      <c r="C1686" s="68">
        <v>46035</v>
      </c>
      <c r="D1686" s="58" t="s">
        <v>1633</v>
      </c>
      <c r="E1686" s="59" t="s">
        <v>352</v>
      </c>
      <c r="F1686" s="56">
        <v>36</v>
      </c>
      <c r="G1686" s="73">
        <v>432</v>
      </c>
      <c r="H1686" s="74" t="s">
        <v>1634</v>
      </c>
      <c r="I1686" s="59" t="s">
        <v>1635</v>
      </c>
      <c r="J1686" s="59" t="s">
        <v>1636</v>
      </c>
      <c r="K1686" s="69">
        <v>5403</v>
      </c>
      <c r="L1686" s="56">
        <v>207</v>
      </c>
      <c r="M1686" s="59" t="s">
        <v>26</v>
      </c>
      <c r="N1686" s="61">
        <v>1078.56</v>
      </c>
      <c r="O1686" s="59" t="s">
        <v>313</v>
      </c>
      <c r="P1686" s="62">
        <v>1008</v>
      </c>
      <c r="Q1686" s="63">
        <v>20</v>
      </c>
      <c r="R1686" s="62">
        <v>201.6</v>
      </c>
      <c r="S1686" s="61">
        <v>0</v>
      </c>
      <c r="T1686" s="62">
        <v>70.56</v>
      </c>
    </row>
    <row r="1687" spans="1:20" ht="11.1" customHeight="1" x14ac:dyDescent="0.25">
      <c r="O1687" s="59" t="s">
        <v>436</v>
      </c>
      <c r="P1687" s="62">
        <v>1360.8</v>
      </c>
      <c r="Q1687" s="63">
        <v>20</v>
      </c>
      <c r="R1687" s="62">
        <v>70.56</v>
      </c>
      <c r="S1687" s="61">
        <v>0</v>
      </c>
      <c r="T1687" s="62">
        <v>0</v>
      </c>
    </row>
    <row r="1688" spans="1:20" ht="11.1" customHeight="1" x14ac:dyDescent="0.25">
      <c r="A1688" s="56">
        <v>108900</v>
      </c>
      <c r="B1688" s="72">
        <v>46036</v>
      </c>
      <c r="C1688" s="68">
        <v>46036</v>
      </c>
      <c r="D1688" s="58" t="s">
        <v>1637</v>
      </c>
      <c r="E1688" s="59" t="s">
        <v>352</v>
      </c>
      <c r="F1688" s="56">
        <v>36</v>
      </c>
      <c r="G1688" s="73">
        <v>432</v>
      </c>
      <c r="H1688" s="74" t="s">
        <v>1634</v>
      </c>
      <c r="I1688" s="59" t="s">
        <v>1635</v>
      </c>
      <c r="J1688" s="59" t="s">
        <v>1636</v>
      </c>
      <c r="K1688" s="69">
        <v>5403</v>
      </c>
      <c r="L1688" s="56">
        <v>207</v>
      </c>
      <c r="M1688" s="59" t="s">
        <v>26</v>
      </c>
      <c r="N1688" s="61">
        <v>3411.59</v>
      </c>
      <c r="O1688" s="59" t="s">
        <v>313</v>
      </c>
      <c r="P1688" s="62">
        <v>3188.4</v>
      </c>
      <c r="Q1688" s="63">
        <v>20</v>
      </c>
      <c r="R1688" s="62">
        <v>637.67999999999995</v>
      </c>
      <c r="S1688" s="61">
        <v>0</v>
      </c>
      <c r="T1688" s="62">
        <v>223.19</v>
      </c>
    </row>
    <row r="1689" spans="1:20" ht="11.1" customHeight="1" x14ac:dyDescent="0.25">
      <c r="O1689" s="59" t="s">
        <v>436</v>
      </c>
      <c r="P1689" s="62">
        <v>4304.34</v>
      </c>
      <c r="Q1689" s="63">
        <v>20</v>
      </c>
      <c r="R1689" s="62">
        <v>223.19</v>
      </c>
      <c r="S1689" s="61">
        <v>0</v>
      </c>
      <c r="T1689" s="62">
        <v>0</v>
      </c>
    </row>
    <row r="1690" spans="1:20" ht="11.1" customHeight="1" x14ac:dyDescent="0.25">
      <c r="A1690" s="56">
        <v>108977</v>
      </c>
      <c r="B1690" s="72">
        <v>46037</v>
      </c>
      <c r="C1690" s="68">
        <v>46037</v>
      </c>
      <c r="D1690" s="58" t="s">
        <v>1638</v>
      </c>
      <c r="E1690" s="59" t="s">
        <v>352</v>
      </c>
      <c r="F1690" s="56">
        <v>36</v>
      </c>
      <c r="G1690" s="73">
        <v>432</v>
      </c>
      <c r="H1690" s="74" t="s">
        <v>1634</v>
      </c>
      <c r="I1690" s="59" t="s">
        <v>1635</v>
      </c>
      <c r="J1690" s="59" t="s">
        <v>1636</v>
      </c>
      <c r="K1690" s="69">
        <v>5102</v>
      </c>
      <c r="L1690" s="56">
        <v>205</v>
      </c>
      <c r="M1690" s="59" t="s">
        <v>26</v>
      </c>
      <c r="N1690" s="61">
        <v>169.85</v>
      </c>
      <c r="O1690" s="59" t="s">
        <v>313</v>
      </c>
      <c r="P1690" s="62">
        <v>169.85</v>
      </c>
      <c r="Q1690" s="63">
        <v>20</v>
      </c>
      <c r="R1690" s="62">
        <v>33.97</v>
      </c>
      <c r="S1690" s="61">
        <v>0</v>
      </c>
      <c r="T1690" s="62">
        <v>0</v>
      </c>
    </row>
    <row r="1691" spans="1:20" ht="11.1" customHeight="1" x14ac:dyDescent="0.25">
      <c r="A1691" s="56">
        <v>108978</v>
      </c>
      <c r="B1691" s="72">
        <v>46037</v>
      </c>
      <c r="C1691" s="68">
        <v>46037</v>
      </c>
      <c r="D1691" s="58" t="s">
        <v>1638</v>
      </c>
      <c r="E1691" s="59" t="s">
        <v>352</v>
      </c>
      <c r="F1691" s="56">
        <v>36</v>
      </c>
      <c r="G1691" s="73">
        <v>432</v>
      </c>
      <c r="H1691" s="74" t="s">
        <v>1634</v>
      </c>
      <c r="I1691" s="59" t="s">
        <v>1635</v>
      </c>
      <c r="J1691" s="59" t="s">
        <v>1636</v>
      </c>
      <c r="K1691" s="69">
        <v>5403</v>
      </c>
      <c r="L1691" s="56">
        <v>207</v>
      </c>
      <c r="M1691" s="59" t="s">
        <v>26</v>
      </c>
      <c r="N1691" s="61">
        <v>2729.27</v>
      </c>
      <c r="O1691" s="59" t="s">
        <v>313</v>
      </c>
      <c r="P1691" s="62">
        <v>2550.7199999999998</v>
      </c>
      <c r="Q1691" s="63">
        <v>20</v>
      </c>
      <c r="R1691" s="62">
        <v>510.14</v>
      </c>
      <c r="S1691" s="61">
        <v>0</v>
      </c>
      <c r="T1691" s="62">
        <v>178.55</v>
      </c>
    </row>
    <row r="1692" spans="1:20" ht="11.1" customHeight="1" x14ac:dyDescent="0.25">
      <c r="O1692" s="59" t="s">
        <v>436</v>
      </c>
      <c r="P1692" s="62">
        <v>3443.47</v>
      </c>
      <c r="Q1692" s="63">
        <v>20</v>
      </c>
      <c r="R1692" s="62">
        <v>178.55</v>
      </c>
      <c r="S1692" s="61">
        <v>0</v>
      </c>
      <c r="T1692" s="62">
        <v>0</v>
      </c>
    </row>
    <row r="1693" spans="1:20" ht="11.1" customHeight="1" x14ac:dyDescent="0.25">
      <c r="A1693" s="56">
        <v>109109</v>
      </c>
      <c r="B1693" s="72">
        <v>46041</v>
      </c>
      <c r="C1693" s="68">
        <v>46041</v>
      </c>
      <c r="D1693" s="58" t="s">
        <v>1639</v>
      </c>
      <c r="E1693" s="59" t="s">
        <v>352</v>
      </c>
      <c r="F1693" s="56">
        <v>36</v>
      </c>
      <c r="G1693" s="73">
        <v>432</v>
      </c>
      <c r="H1693" s="74" t="s">
        <v>1634</v>
      </c>
      <c r="I1693" s="59" t="s">
        <v>1635</v>
      </c>
      <c r="J1693" s="59" t="s">
        <v>1636</v>
      </c>
      <c r="K1693" s="69">
        <v>5102</v>
      </c>
      <c r="L1693" s="56">
        <v>205</v>
      </c>
      <c r="M1693" s="59" t="s">
        <v>26</v>
      </c>
      <c r="N1693" s="61">
        <v>878</v>
      </c>
      <c r="O1693" s="59" t="s">
        <v>313</v>
      </c>
      <c r="P1693" s="62">
        <v>878</v>
      </c>
      <c r="Q1693" s="63">
        <v>20</v>
      </c>
      <c r="R1693" s="62">
        <v>175.6</v>
      </c>
      <c r="S1693" s="61">
        <v>0</v>
      </c>
      <c r="T1693" s="62">
        <v>0</v>
      </c>
    </row>
    <row r="1694" spans="1:20" ht="11.1" customHeight="1" x14ac:dyDescent="0.25">
      <c r="A1694" s="56">
        <v>109138</v>
      </c>
      <c r="B1694" s="72">
        <v>46042</v>
      </c>
      <c r="C1694" s="68">
        <v>46042</v>
      </c>
      <c r="D1694" s="58" t="s">
        <v>1640</v>
      </c>
      <c r="E1694" s="59" t="s">
        <v>352</v>
      </c>
      <c r="F1694" s="56">
        <v>36</v>
      </c>
      <c r="G1694" s="73">
        <v>432</v>
      </c>
      <c r="H1694" s="74" t="s">
        <v>1634</v>
      </c>
      <c r="I1694" s="59" t="s">
        <v>1635</v>
      </c>
      <c r="J1694" s="59" t="s">
        <v>1636</v>
      </c>
      <c r="K1694" s="69">
        <v>5403</v>
      </c>
      <c r="L1694" s="56">
        <v>207</v>
      </c>
      <c r="M1694" s="59" t="s">
        <v>26</v>
      </c>
      <c r="N1694" s="61">
        <v>1364.64</v>
      </c>
      <c r="O1694" s="59" t="s">
        <v>313</v>
      </c>
      <c r="P1694" s="62">
        <v>1275.3599999999999</v>
      </c>
      <c r="Q1694" s="63">
        <v>20</v>
      </c>
      <c r="R1694" s="62">
        <v>255.07</v>
      </c>
      <c r="S1694" s="61">
        <v>0</v>
      </c>
      <c r="T1694" s="62">
        <v>89.28</v>
      </c>
    </row>
    <row r="1695" spans="1:20" ht="11.1" customHeight="1" x14ac:dyDescent="0.25">
      <c r="O1695" s="59" t="s">
        <v>436</v>
      </c>
      <c r="P1695" s="62">
        <v>1721.74</v>
      </c>
      <c r="Q1695" s="63">
        <v>20</v>
      </c>
      <c r="R1695" s="62">
        <v>89.28</v>
      </c>
      <c r="S1695" s="61">
        <v>0</v>
      </c>
      <c r="T1695" s="62">
        <v>0</v>
      </c>
    </row>
    <row r="1696" spans="1:20" ht="11.1" customHeight="1" x14ac:dyDescent="0.25">
      <c r="A1696" s="56">
        <v>109263</v>
      </c>
      <c r="B1696" s="72">
        <v>46044</v>
      </c>
      <c r="C1696" s="68">
        <v>46044</v>
      </c>
      <c r="D1696" s="58" t="s">
        <v>1641</v>
      </c>
      <c r="E1696" s="59" t="s">
        <v>352</v>
      </c>
      <c r="F1696" s="56">
        <v>36</v>
      </c>
      <c r="G1696" s="73">
        <v>432</v>
      </c>
      <c r="H1696" s="74" t="s">
        <v>1634</v>
      </c>
      <c r="I1696" s="59" t="s">
        <v>1635</v>
      </c>
      <c r="J1696" s="59" t="s">
        <v>1636</v>
      </c>
      <c r="K1696" s="69">
        <v>5102</v>
      </c>
      <c r="L1696" s="56">
        <v>205</v>
      </c>
      <c r="M1696" s="59" t="s">
        <v>26</v>
      </c>
      <c r="N1696" s="61">
        <v>1756</v>
      </c>
      <c r="O1696" s="59" t="s">
        <v>313</v>
      </c>
      <c r="P1696" s="62">
        <v>1756</v>
      </c>
      <c r="Q1696" s="63">
        <v>20</v>
      </c>
      <c r="R1696" s="62">
        <v>351.2</v>
      </c>
      <c r="S1696" s="61">
        <v>0</v>
      </c>
      <c r="T1696" s="62">
        <v>0</v>
      </c>
    </row>
    <row r="1697" spans="1:20" ht="11.1" customHeight="1" x14ac:dyDescent="0.25">
      <c r="A1697" s="56">
        <v>109559</v>
      </c>
      <c r="B1697" s="72">
        <v>46050</v>
      </c>
      <c r="C1697" s="68">
        <v>46050</v>
      </c>
      <c r="D1697" s="58" t="s">
        <v>1642</v>
      </c>
      <c r="E1697" s="59" t="s">
        <v>352</v>
      </c>
      <c r="F1697" s="56">
        <v>36</v>
      </c>
      <c r="G1697" s="73">
        <v>432</v>
      </c>
      <c r="H1697" s="74" t="s">
        <v>1634</v>
      </c>
      <c r="I1697" s="59" t="s">
        <v>1635</v>
      </c>
      <c r="J1697" s="59" t="s">
        <v>1636</v>
      </c>
      <c r="K1697" s="69">
        <v>5102</v>
      </c>
      <c r="L1697" s="56">
        <v>205</v>
      </c>
      <c r="M1697" s="59" t="s">
        <v>26</v>
      </c>
      <c r="N1697" s="61">
        <v>770.64</v>
      </c>
      <c r="O1697" s="59" t="s">
        <v>313</v>
      </c>
      <c r="P1697" s="62">
        <v>770.64</v>
      </c>
      <c r="Q1697" s="63">
        <v>20</v>
      </c>
      <c r="R1697" s="62">
        <v>154.13</v>
      </c>
      <c r="S1697" s="61">
        <v>0</v>
      </c>
      <c r="T1697" s="62">
        <v>0</v>
      </c>
    </row>
    <row r="1698" spans="1:20" ht="11.85" customHeight="1" x14ac:dyDescent="0.25">
      <c r="A1698" s="71" t="s">
        <v>620</v>
      </c>
      <c r="B1698" s="71"/>
      <c r="C1698" s="71"/>
      <c r="D1698" s="71"/>
      <c r="E1698" s="71"/>
      <c r="F1698" s="71"/>
      <c r="G1698" s="71"/>
      <c r="H1698" s="71"/>
    </row>
    <row r="1699" spans="1:20" ht="11.1" customHeight="1" x14ac:dyDescent="0.25">
      <c r="O1699" s="59" t="s">
        <v>313</v>
      </c>
      <c r="P1699" s="62">
        <v>15578.81</v>
      </c>
      <c r="R1699" s="62">
        <v>3115.76</v>
      </c>
      <c r="S1699" s="61">
        <v>0</v>
      </c>
      <c r="T1699" s="62">
        <v>561.58000000000004</v>
      </c>
    </row>
    <row r="1700" spans="1:20" ht="11.1" customHeight="1" x14ac:dyDescent="0.25">
      <c r="O1700" s="59" t="s">
        <v>436</v>
      </c>
      <c r="P1700" s="62">
        <v>10830.35</v>
      </c>
      <c r="R1700" s="62">
        <v>561.58000000000004</v>
      </c>
      <c r="S1700" s="61">
        <v>0</v>
      </c>
      <c r="T1700" s="62">
        <v>0</v>
      </c>
    </row>
    <row r="1701" spans="1:20" ht="11.1" customHeight="1" x14ac:dyDescent="0.25">
      <c r="A1701" s="56">
        <v>108859</v>
      </c>
      <c r="B1701" s="72">
        <v>46035</v>
      </c>
      <c r="C1701" s="68">
        <v>46035</v>
      </c>
      <c r="D1701" s="58" t="s">
        <v>1643</v>
      </c>
      <c r="E1701" s="59" t="s">
        <v>352</v>
      </c>
      <c r="F1701" s="56">
        <v>36</v>
      </c>
      <c r="G1701" s="73">
        <v>216</v>
      </c>
      <c r="H1701" s="74" t="s">
        <v>1644</v>
      </c>
      <c r="I1701" s="59" t="s">
        <v>1645</v>
      </c>
      <c r="J1701" s="59" t="s">
        <v>1646</v>
      </c>
      <c r="K1701" s="69">
        <v>5403</v>
      </c>
      <c r="L1701" s="56">
        <v>207</v>
      </c>
      <c r="M1701" s="59" t="s">
        <v>26</v>
      </c>
      <c r="N1701" s="61">
        <v>348.9</v>
      </c>
      <c r="O1701" s="59" t="s">
        <v>313</v>
      </c>
      <c r="P1701" s="62">
        <v>326.08</v>
      </c>
      <c r="Q1701" s="63">
        <v>20</v>
      </c>
      <c r="R1701" s="62">
        <v>65.22</v>
      </c>
      <c r="S1701" s="61">
        <v>0</v>
      </c>
      <c r="T1701" s="62">
        <v>22.82</v>
      </c>
    </row>
    <row r="1702" spans="1:20" ht="11.1" customHeight="1" x14ac:dyDescent="0.25">
      <c r="O1702" s="59" t="s">
        <v>436</v>
      </c>
      <c r="P1702" s="62">
        <v>440.2</v>
      </c>
      <c r="Q1702" s="63">
        <v>20</v>
      </c>
      <c r="R1702" s="62">
        <v>22.82</v>
      </c>
      <c r="S1702" s="61">
        <v>0</v>
      </c>
      <c r="T1702" s="62">
        <v>0</v>
      </c>
    </row>
    <row r="1703" spans="1:20" ht="11.85" customHeight="1" x14ac:dyDescent="0.25">
      <c r="A1703" s="71" t="s">
        <v>620</v>
      </c>
      <c r="B1703" s="71"/>
      <c r="C1703" s="71"/>
      <c r="D1703" s="71"/>
      <c r="E1703" s="71"/>
      <c r="F1703" s="71"/>
      <c r="G1703" s="71"/>
      <c r="H1703" s="71"/>
    </row>
    <row r="1704" spans="1:20" ht="11.1" customHeight="1" x14ac:dyDescent="0.25">
      <c r="O1704" s="59" t="s">
        <v>313</v>
      </c>
      <c r="P1704" s="62">
        <v>326.08</v>
      </c>
      <c r="R1704" s="62">
        <v>65.22</v>
      </c>
      <c r="S1704" s="61">
        <v>0</v>
      </c>
      <c r="T1704" s="62">
        <v>22.82</v>
      </c>
    </row>
    <row r="1705" spans="1:20" ht="11.1" customHeight="1" x14ac:dyDescent="0.25">
      <c r="O1705" s="59" t="s">
        <v>436</v>
      </c>
      <c r="P1705" s="62">
        <v>440.2</v>
      </c>
      <c r="R1705" s="62">
        <v>22.82</v>
      </c>
      <c r="S1705" s="61">
        <v>0</v>
      </c>
      <c r="T1705" s="62">
        <v>0</v>
      </c>
    </row>
    <row r="1706" spans="1:20" ht="11.1" customHeight="1" x14ac:dyDescent="0.25">
      <c r="A1706" s="56">
        <v>108891</v>
      </c>
      <c r="B1706" s="72">
        <v>46035</v>
      </c>
      <c r="C1706" s="68">
        <v>46035</v>
      </c>
      <c r="D1706" s="58" t="s">
        <v>1647</v>
      </c>
      <c r="E1706" s="59" t="s">
        <v>352</v>
      </c>
      <c r="F1706" s="56">
        <v>36</v>
      </c>
      <c r="G1706" s="73">
        <v>918</v>
      </c>
      <c r="H1706" s="74" t="s">
        <v>1648</v>
      </c>
      <c r="I1706" s="59" t="s">
        <v>1649</v>
      </c>
      <c r="J1706" s="59" t="s">
        <v>1650</v>
      </c>
      <c r="K1706" s="69">
        <v>5102</v>
      </c>
      <c r="L1706" s="56">
        <v>205</v>
      </c>
      <c r="M1706" s="59" t="s">
        <v>26</v>
      </c>
      <c r="N1706" s="61">
        <v>894.63</v>
      </c>
      <c r="O1706" s="59" t="s">
        <v>313</v>
      </c>
      <c r="P1706" s="62">
        <v>894.63</v>
      </c>
      <c r="Q1706" s="63">
        <v>20</v>
      </c>
      <c r="R1706" s="62">
        <v>178.93</v>
      </c>
      <c r="S1706" s="61">
        <v>0</v>
      </c>
      <c r="T1706" s="62">
        <v>0</v>
      </c>
    </row>
    <row r="1707" spans="1:20" ht="11.1" customHeight="1" x14ac:dyDescent="0.25">
      <c r="A1707" s="56">
        <v>108892</v>
      </c>
      <c r="B1707" s="72">
        <v>46035</v>
      </c>
      <c r="C1707" s="68">
        <v>46035</v>
      </c>
      <c r="D1707" s="58" t="s">
        <v>1647</v>
      </c>
      <c r="E1707" s="59" t="s">
        <v>352</v>
      </c>
      <c r="F1707" s="56">
        <v>36</v>
      </c>
      <c r="G1707" s="73">
        <v>918</v>
      </c>
      <c r="H1707" s="74" t="s">
        <v>1648</v>
      </c>
      <c r="I1707" s="59" t="s">
        <v>1649</v>
      </c>
      <c r="J1707" s="59" t="s">
        <v>1650</v>
      </c>
      <c r="K1707" s="69">
        <v>5403</v>
      </c>
      <c r="L1707" s="56">
        <v>207</v>
      </c>
      <c r="M1707" s="59" t="s">
        <v>26</v>
      </c>
      <c r="N1707" s="61">
        <v>269.64</v>
      </c>
      <c r="O1707" s="59" t="s">
        <v>313</v>
      </c>
      <c r="P1707" s="62">
        <v>252</v>
      </c>
      <c r="Q1707" s="63">
        <v>20</v>
      </c>
      <c r="R1707" s="62">
        <v>50.4</v>
      </c>
      <c r="S1707" s="61">
        <v>0</v>
      </c>
      <c r="T1707" s="62">
        <v>17.64</v>
      </c>
    </row>
    <row r="1708" spans="1:20" ht="11.1" customHeight="1" x14ac:dyDescent="0.25">
      <c r="O1708" s="59" t="s">
        <v>436</v>
      </c>
      <c r="P1708" s="62">
        <v>340.2</v>
      </c>
      <c r="Q1708" s="63">
        <v>20</v>
      </c>
      <c r="R1708" s="62">
        <v>17.64</v>
      </c>
      <c r="S1708" s="61">
        <v>0</v>
      </c>
      <c r="T1708" s="62">
        <v>0</v>
      </c>
    </row>
    <row r="1709" spans="1:20" ht="11.1" customHeight="1" x14ac:dyDescent="0.25">
      <c r="A1709" s="56">
        <v>109477</v>
      </c>
      <c r="B1709" s="72">
        <v>46049</v>
      </c>
      <c r="C1709" s="68">
        <v>46049</v>
      </c>
      <c r="D1709" s="58" t="s">
        <v>1651</v>
      </c>
      <c r="E1709" s="59" t="s">
        <v>352</v>
      </c>
      <c r="F1709" s="56">
        <v>36</v>
      </c>
      <c r="G1709" s="73">
        <v>918</v>
      </c>
      <c r="H1709" s="74" t="s">
        <v>1648</v>
      </c>
      <c r="I1709" s="59" t="s">
        <v>1649</v>
      </c>
      <c r="J1709" s="59" t="s">
        <v>1650</v>
      </c>
      <c r="K1709" s="69">
        <v>5102</v>
      </c>
      <c r="L1709" s="56">
        <v>205</v>
      </c>
      <c r="M1709" s="59" t="s">
        <v>26</v>
      </c>
      <c r="N1709" s="61">
        <v>687.21</v>
      </c>
      <c r="O1709" s="59" t="s">
        <v>313</v>
      </c>
      <c r="P1709" s="62">
        <v>687.21</v>
      </c>
      <c r="Q1709" s="63">
        <v>20</v>
      </c>
      <c r="R1709" s="62">
        <v>137.44</v>
      </c>
      <c r="S1709" s="61">
        <v>0</v>
      </c>
      <c r="T1709" s="62">
        <v>0</v>
      </c>
    </row>
    <row r="1710" spans="1:20" ht="11.1" customHeight="1" x14ac:dyDescent="0.25">
      <c r="A1710" s="56">
        <v>109478</v>
      </c>
      <c r="B1710" s="72">
        <v>46049</v>
      </c>
      <c r="C1710" s="68">
        <v>46049</v>
      </c>
      <c r="D1710" s="58" t="s">
        <v>1651</v>
      </c>
      <c r="E1710" s="59" t="s">
        <v>352</v>
      </c>
      <c r="F1710" s="56">
        <v>36</v>
      </c>
      <c r="G1710" s="73">
        <v>918</v>
      </c>
      <c r="H1710" s="74" t="s">
        <v>1648</v>
      </c>
      <c r="I1710" s="59" t="s">
        <v>1649</v>
      </c>
      <c r="J1710" s="59" t="s">
        <v>1650</v>
      </c>
      <c r="K1710" s="69">
        <v>5403</v>
      </c>
      <c r="L1710" s="56">
        <v>207</v>
      </c>
      <c r="M1710" s="59" t="s">
        <v>26</v>
      </c>
      <c r="N1710" s="61">
        <v>361.19</v>
      </c>
      <c r="O1710" s="59" t="s">
        <v>313</v>
      </c>
      <c r="P1710" s="62">
        <v>337.56</v>
      </c>
      <c r="Q1710" s="63">
        <v>20</v>
      </c>
      <c r="R1710" s="62">
        <v>67.510000000000005</v>
      </c>
      <c r="S1710" s="61">
        <v>0</v>
      </c>
      <c r="T1710" s="62">
        <v>23.63</v>
      </c>
    </row>
    <row r="1711" spans="1:20" ht="11.1" customHeight="1" x14ac:dyDescent="0.25">
      <c r="O1711" s="59" t="s">
        <v>436</v>
      </c>
      <c r="P1711" s="62">
        <v>455.71</v>
      </c>
      <c r="Q1711" s="63">
        <v>20</v>
      </c>
      <c r="R1711" s="62">
        <v>23.63</v>
      </c>
      <c r="S1711" s="61">
        <v>0</v>
      </c>
      <c r="T1711" s="62">
        <v>0</v>
      </c>
    </row>
    <row r="1712" spans="1:20" ht="11.85" customHeight="1" x14ac:dyDescent="0.25">
      <c r="A1712" s="71" t="s">
        <v>620</v>
      </c>
      <c r="B1712" s="71"/>
      <c r="C1712" s="71"/>
      <c r="D1712" s="71"/>
      <c r="E1712" s="71"/>
      <c r="F1712" s="71"/>
      <c r="G1712" s="71"/>
      <c r="H1712" s="71"/>
    </row>
    <row r="1713" spans="1:20" ht="11.1" customHeight="1" x14ac:dyDescent="0.25">
      <c r="O1713" s="59" t="s">
        <v>313</v>
      </c>
      <c r="P1713" s="62">
        <v>2171.4</v>
      </c>
      <c r="R1713" s="62">
        <v>434.28</v>
      </c>
      <c r="S1713" s="61">
        <v>0</v>
      </c>
      <c r="T1713" s="62">
        <v>41.27</v>
      </c>
    </row>
    <row r="1714" spans="1:20" ht="11.1" customHeight="1" x14ac:dyDescent="0.25">
      <c r="O1714" s="59" t="s">
        <v>436</v>
      </c>
      <c r="P1714" s="62">
        <v>795.91</v>
      </c>
      <c r="R1714" s="62">
        <v>41.27</v>
      </c>
      <c r="S1714" s="61">
        <v>0</v>
      </c>
      <c r="T1714" s="62">
        <v>0</v>
      </c>
    </row>
    <row r="1715" spans="1:20" ht="11.1" customHeight="1" x14ac:dyDescent="0.25">
      <c r="A1715" s="56">
        <v>108736</v>
      </c>
      <c r="B1715" s="72">
        <v>46031</v>
      </c>
      <c r="C1715" s="68">
        <v>46031</v>
      </c>
      <c r="D1715" s="58" t="s">
        <v>1652</v>
      </c>
      <c r="E1715" s="59" t="s">
        <v>352</v>
      </c>
      <c r="F1715" s="56">
        <v>36</v>
      </c>
      <c r="G1715" s="73">
        <v>42</v>
      </c>
      <c r="H1715" s="74" t="s">
        <v>1653</v>
      </c>
      <c r="I1715" s="59" t="s">
        <v>1654</v>
      </c>
      <c r="J1715" s="59" t="s">
        <v>1655</v>
      </c>
      <c r="K1715" s="69">
        <v>5102</v>
      </c>
      <c r="L1715" s="56">
        <v>205</v>
      </c>
      <c r="M1715" s="59" t="s">
        <v>26</v>
      </c>
      <c r="N1715" s="61">
        <v>156.32</v>
      </c>
      <c r="O1715" s="59" t="s">
        <v>313</v>
      </c>
      <c r="P1715" s="62">
        <v>156.32</v>
      </c>
      <c r="Q1715" s="63">
        <v>20</v>
      </c>
      <c r="R1715" s="62">
        <v>31.27</v>
      </c>
      <c r="S1715" s="61">
        <v>0</v>
      </c>
      <c r="T1715" s="62">
        <v>0</v>
      </c>
    </row>
    <row r="1716" spans="1:20" ht="11.1" customHeight="1" x14ac:dyDescent="0.25">
      <c r="A1716" s="56">
        <v>109208</v>
      </c>
      <c r="B1716" s="72">
        <v>46043</v>
      </c>
      <c r="C1716" s="68">
        <v>46043</v>
      </c>
      <c r="D1716" s="58" t="s">
        <v>1656</v>
      </c>
      <c r="E1716" s="59" t="s">
        <v>352</v>
      </c>
      <c r="F1716" s="56">
        <v>36</v>
      </c>
      <c r="G1716" s="73">
        <v>42</v>
      </c>
      <c r="H1716" s="74" t="s">
        <v>1653</v>
      </c>
      <c r="I1716" s="59" t="s">
        <v>1654</v>
      </c>
      <c r="J1716" s="59" t="s">
        <v>1655</v>
      </c>
      <c r="K1716" s="69">
        <v>5102</v>
      </c>
      <c r="L1716" s="56">
        <v>205</v>
      </c>
      <c r="M1716" s="59" t="s">
        <v>26</v>
      </c>
      <c r="N1716" s="61">
        <v>467.19</v>
      </c>
      <c r="O1716" s="59" t="s">
        <v>313</v>
      </c>
      <c r="P1716" s="62">
        <v>467.19</v>
      </c>
      <c r="Q1716" s="63">
        <v>20</v>
      </c>
      <c r="R1716" s="62">
        <v>93.43</v>
      </c>
      <c r="S1716" s="61">
        <v>0</v>
      </c>
      <c r="T1716" s="62">
        <v>0</v>
      </c>
    </row>
    <row r="1717" spans="1:20" ht="11.1" customHeight="1" x14ac:dyDescent="0.25">
      <c r="A1717" s="56">
        <v>109209</v>
      </c>
      <c r="B1717" s="72">
        <v>46043</v>
      </c>
      <c r="C1717" s="68">
        <v>46043</v>
      </c>
      <c r="D1717" s="58" t="s">
        <v>1656</v>
      </c>
      <c r="E1717" s="59" t="s">
        <v>352</v>
      </c>
      <c r="F1717" s="56">
        <v>36</v>
      </c>
      <c r="G1717" s="73">
        <v>42</v>
      </c>
      <c r="H1717" s="74" t="s">
        <v>1653</v>
      </c>
      <c r="I1717" s="59" t="s">
        <v>1654</v>
      </c>
      <c r="J1717" s="59" t="s">
        <v>1655</v>
      </c>
      <c r="K1717" s="69">
        <v>5403</v>
      </c>
      <c r="L1717" s="56">
        <v>207</v>
      </c>
      <c r="M1717" s="59" t="s">
        <v>26</v>
      </c>
      <c r="N1717" s="61">
        <v>776.91</v>
      </c>
      <c r="O1717" s="59" t="s">
        <v>313</v>
      </c>
      <c r="P1717" s="62">
        <v>726.09</v>
      </c>
      <c r="Q1717" s="63">
        <v>20</v>
      </c>
      <c r="R1717" s="62">
        <v>145.22</v>
      </c>
      <c r="S1717" s="61">
        <v>0</v>
      </c>
      <c r="T1717" s="62">
        <v>50.82</v>
      </c>
    </row>
    <row r="1718" spans="1:20" ht="11.1" customHeight="1" x14ac:dyDescent="0.25">
      <c r="O1718" s="59" t="s">
        <v>436</v>
      </c>
      <c r="P1718" s="62">
        <v>980.23</v>
      </c>
      <c r="Q1718" s="63">
        <v>20</v>
      </c>
      <c r="R1718" s="62">
        <v>50.82</v>
      </c>
      <c r="S1718" s="61">
        <v>0</v>
      </c>
      <c r="T1718" s="62">
        <v>0</v>
      </c>
    </row>
    <row r="1719" spans="1:20" ht="11.1" customHeight="1" x14ac:dyDescent="0.25">
      <c r="A1719" s="56">
        <v>109244</v>
      </c>
      <c r="B1719" s="72">
        <v>46043</v>
      </c>
      <c r="C1719" s="68">
        <v>46043</v>
      </c>
      <c r="D1719" s="58" t="s">
        <v>1657</v>
      </c>
      <c r="E1719" s="59" t="s">
        <v>352</v>
      </c>
      <c r="F1719" s="56">
        <v>36</v>
      </c>
      <c r="G1719" s="73">
        <v>42</v>
      </c>
      <c r="H1719" s="74" t="s">
        <v>1653</v>
      </c>
      <c r="I1719" s="59" t="s">
        <v>1654</v>
      </c>
      <c r="J1719" s="59" t="s">
        <v>1655</v>
      </c>
      <c r="K1719" s="69">
        <v>5403</v>
      </c>
      <c r="L1719" s="56">
        <v>207</v>
      </c>
      <c r="M1719" s="59" t="s">
        <v>26</v>
      </c>
      <c r="N1719" s="61">
        <v>236.83</v>
      </c>
      <c r="O1719" s="59" t="s">
        <v>313</v>
      </c>
      <c r="P1719" s="62">
        <v>221.34</v>
      </c>
      <c r="Q1719" s="63">
        <v>20</v>
      </c>
      <c r="R1719" s="62">
        <v>44.27</v>
      </c>
      <c r="S1719" s="61">
        <v>0</v>
      </c>
      <c r="T1719" s="62">
        <v>15.49</v>
      </c>
    </row>
    <row r="1720" spans="1:20" ht="11.1" customHeight="1" x14ac:dyDescent="0.25">
      <c r="O1720" s="59" t="s">
        <v>436</v>
      </c>
      <c r="P1720" s="62">
        <v>298.81</v>
      </c>
      <c r="Q1720" s="63">
        <v>20</v>
      </c>
      <c r="R1720" s="62">
        <v>15.49</v>
      </c>
      <c r="S1720" s="61">
        <v>0</v>
      </c>
      <c r="T1720" s="62">
        <v>0</v>
      </c>
    </row>
    <row r="1721" spans="1:20" ht="11.1" customHeight="1" x14ac:dyDescent="0.25">
      <c r="A1721" s="56">
        <v>109584</v>
      </c>
      <c r="B1721" s="72">
        <v>46050</v>
      </c>
      <c r="C1721" s="68">
        <v>46050</v>
      </c>
      <c r="D1721" s="58" t="s">
        <v>1658</v>
      </c>
      <c r="E1721" s="59" t="s">
        <v>352</v>
      </c>
      <c r="F1721" s="56">
        <v>36</v>
      </c>
      <c r="G1721" s="73">
        <v>42</v>
      </c>
      <c r="H1721" s="74" t="s">
        <v>1653</v>
      </c>
      <c r="I1721" s="59" t="s">
        <v>1654</v>
      </c>
      <c r="J1721" s="59" t="s">
        <v>1655</v>
      </c>
      <c r="K1721" s="69">
        <v>5102</v>
      </c>
      <c r="L1721" s="56">
        <v>205</v>
      </c>
      <c r="M1721" s="59" t="s">
        <v>26</v>
      </c>
      <c r="N1721" s="61">
        <v>240.41</v>
      </c>
      <c r="O1721" s="59" t="s">
        <v>313</v>
      </c>
      <c r="P1721" s="62">
        <v>240.41</v>
      </c>
      <c r="Q1721" s="63">
        <v>20</v>
      </c>
      <c r="R1721" s="62">
        <v>48.09</v>
      </c>
      <c r="S1721" s="61">
        <v>0</v>
      </c>
      <c r="T1721" s="62">
        <v>0</v>
      </c>
    </row>
    <row r="1722" spans="1:20" ht="11.1" customHeight="1" x14ac:dyDescent="0.25">
      <c r="A1722" s="56">
        <v>109694</v>
      </c>
      <c r="B1722" s="72">
        <v>46052</v>
      </c>
      <c r="C1722" s="68">
        <v>46052</v>
      </c>
      <c r="D1722" s="58" t="s">
        <v>1659</v>
      </c>
      <c r="E1722" s="59" t="s">
        <v>352</v>
      </c>
      <c r="F1722" s="56">
        <v>36</v>
      </c>
      <c r="G1722" s="73">
        <v>42</v>
      </c>
      <c r="H1722" s="74" t="s">
        <v>1653</v>
      </c>
      <c r="I1722" s="59" t="s">
        <v>1654</v>
      </c>
      <c r="J1722" s="59" t="s">
        <v>1655</v>
      </c>
      <c r="K1722" s="69">
        <v>5102</v>
      </c>
      <c r="L1722" s="56">
        <v>205</v>
      </c>
      <c r="M1722" s="59" t="s">
        <v>26</v>
      </c>
      <c r="N1722" s="61">
        <v>208.43</v>
      </c>
      <c r="O1722" s="59" t="s">
        <v>313</v>
      </c>
      <c r="P1722" s="62">
        <v>208.43</v>
      </c>
      <c r="Q1722" s="63">
        <v>20</v>
      </c>
      <c r="R1722" s="62">
        <v>41.69</v>
      </c>
      <c r="S1722" s="61">
        <v>0</v>
      </c>
      <c r="T1722" s="62">
        <v>0</v>
      </c>
    </row>
    <row r="1723" spans="1:20" ht="11.1" customHeight="1" x14ac:dyDescent="0.25">
      <c r="A1723" s="56">
        <v>109695</v>
      </c>
      <c r="B1723" s="72">
        <v>46052</v>
      </c>
      <c r="C1723" s="68">
        <v>46052</v>
      </c>
      <c r="D1723" s="58" t="s">
        <v>1659</v>
      </c>
      <c r="E1723" s="59" t="s">
        <v>352</v>
      </c>
      <c r="F1723" s="56">
        <v>36</v>
      </c>
      <c r="G1723" s="73">
        <v>42</v>
      </c>
      <c r="H1723" s="74" t="s">
        <v>1653</v>
      </c>
      <c r="I1723" s="59" t="s">
        <v>1654</v>
      </c>
      <c r="J1723" s="59" t="s">
        <v>1655</v>
      </c>
      <c r="K1723" s="69">
        <v>5403</v>
      </c>
      <c r="L1723" s="56">
        <v>207</v>
      </c>
      <c r="M1723" s="59" t="s">
        <v>26</v>
      </c>
      <c r="N1723" s="61">
        <v>162.59</v>
      </c>
      <c r="O1723" s="59" t="s">
        <v>313</v>
      </c>
      <c r="P1723" s="62">
        <v>151.96</v>
      </c>
      <c r="Q1723" s="63">
        <v>20</v>
      </c>
      <c r="R1723" s="62">
        <v>30.4</v>
      </c>
      <c r="S1723" s="61">
        <v>0</v>
      </c>
      <c r="T1723" s="62">
        <v>10.63</v>
      </c>
    </row>
    <row r="1724" spans="1:20" ht="11.1" customHeight="1" x14ac:dyDescent="0.25">
      <c r="O1724" s="59" t="s">
        <v>436</v>
      </c>
      <c r="P1724" s="62">
        <v>205.14</v>
      </c>
      <c r="Q1724" s="63">
        <v>20</v>
      </c>
      <c r="R1724" s="62">
        <v>10.63</v>
      </c>
      <c r="S1724" s="61">
        <v>0</v>
      </c>
      <c r="T1724" s="62">
        <v>0</v>
      </c>
    </row>
    <row r="1725" spans="1:20" ht="11.85" customHeight="1" x14ac:dyDescent="0.25">
      <c r="A1725" s="71" t="s">
        <v>620</v>
      </c>
      <c r="B1725" s="71"/>
      <c r="C1725" s="71"/>
      <c r="D1725" s="71"/>
      <c r="E1725" s="71"/>
      <c r="F1725" s="71"/>
      <c r="G1725" s="71"/>
      <c r="H1725" s="71"/>
    </row>
    <row r="1726" spans="1:20" ht="11.1" customHeight="1" x14ac:dyDescent="0.25">
      <c r="O1726" s="59" t="s">
        <v>313</v>
      </c>
      <c r="P1726" s="62">
        <v>2171.7399999999998</v>
      </c>
      <c r="R1726" s="62">
        <v>434.37</v>
      </c>
      <c r="S1726" s="61">
        <v>0</v>
      </c>
      <c r="T1726" s="62">
        <v>76.94</v>
      </c>
    </row>
    <row r="1727" spans="1:20" ht="11.1" customHeight="1" x14ac:dyDescent="0.25">
      <c r="O1727" s="59" t="s">
        <v>436</v>
      </c>
      <c r="P1727" s="62">
        <v>1484.18</v>
      </c>
      <c r="R1727" s="62">
        <v>76.94</v>
      </c>
      <c r="S1727" s="61">
        <v>0</v>
      </c>
      <c r="T1727" s="62">
        <v>0</v>
      </c>
    </row>
    <row r="1728" spans="1:20" ht="11.1" customHeight="1" x14ac:dyDescent="0.25">
      <c r="A1728" s="56">
        <v>108467</v>
      </c>
      <c r="B1728" s="72">
        <v>46027</v>
      </c>
      <c r="C1728" s="68">
        <v>46027</v>
      </c>
      <c r="D1728" s="58" t="s">
        <v>1660</v>
      </c>
      <c r="E1728" s="59" t="s">
        <v>352</v>
      </c>
      <c r="F1728" s="56">
        <v>36</v>
      </c>
      <c r="G1728" s="73">
        <v>250</v>
      </c>
      <c r="H1728" s="74" t="s">
        <v>1661</v>
      </c>
      <c r="I1728" s="59" t="s">
        <v>1662</v>
      </c>
      <c r="J1728" s="59" t="s">
        <v>1663</v>
      </c>
      <c r="K1728" s="69">
        <v>5102</v>
      </c>
      <c r="L1728" s="56">
        <v>205</v>
      </c>
      <c r="M1728" s="59" t="s">
        <v>26</v>
      </c>
      <c r="N1728" s="61">
        <v>377.64</v>
      </c>
      <c r="O1728" s="59" t="s">
        <v>313</v>
      </c>
      <c r="P1728" s="62">
        <v>377.64</v>
      </c>
      <c r="Q1728" s="63">
        <v>20</v>
      </c>
      <c r="R1728" s="62">
        <v>75.53</v>
      </c>
      <c r="S1728" s="61">
        <v>0</v>
      </c>
      <c r="T1728" s="62">
        <v>0</v>
      </c>
    </row>
    <row r="1729" spans="1:20" ht="11.1" customHeight="1" x14ac:dyDescent="0.25">
      <c r="A1729" s="56">
        <v>108468</v>
      </c>
      <c r="B1729" s="72">
        <v>46027</v>
      </c>
      <c r="C1729" s="68">
        <v>46027</v>
      </c>
      <c r="D1729" s="58" t="s">
        <v>1660</v>
      </c>
      <c r="E1729" s="59" t="s">
        <v>352</v>
      </c>
      <c r="F1729" s="56">
        <v>36</v>
      </c>
      <c r="G1729" s="73">
        <v>250</v>
      </c>
      <c r="H1729" s="74" t="s">
        <v>1661</v>
      </c>
      <c r="I1729" s="59" t="s">
        <v>1662</v>
      </c>
      <c r="J1729" s="59" t="s">
        <v>1663</v>
      </c>
      <c r="K1729" s="69">
        <v>5403</v>
      </c>
      <c r="L1729" s="56">
        <v>207</v>
      </c>
      <c r="M1729" s="59" t="s">
        <v>26</v>
      </c>
      <c r="N1729" s="61">
        <v>927.24</v>
      </c>
      <c r="O1729" s="59" t="s">
        <v>313</v>
      </c>
      <c r="P1729" s="62">
        <v>866.59</v>
      </c>
      <c r="Q1729" s="63">
        <v>20</v>
      </c>
      <c r="R1729" s="62">
        <v>173.33</v>
      </c>
      <c r="S1729" s="61">
        <v>0</v>
      </c>
      <c r="T1729" s="62">
        <v>60.65</v>
      </c>
    </row>
    <row r="1730" spans="1:20" ht="11.1" customHeight="1" x14ac:dyDescent="0.25">
      <c r="O1730" s="59" t="s">
        <v>436</v>
      </c>
      <c r="P1730" s="62">
        <v>1169.8900000000001</v>
      </c>
      <c r="Q1730" s="63">
        <v>20</v>
      </c>
      <c r="R1730" s="62">
        <v>60.65</v>
      </c>
      <c r="S1730" s="61">
        <v>0</v>
      </c>
      <c r="T1730" s="62">
        <v>0</v>
      </c>
    </row>
    <row r="1731" spans="1:20" ht="11.1" customHeight="1" x14ac:dyDescent="0.25">
      <c r="A1731" s="56">
        <v>108673</v>
      </c>
      <c r="B1731" s="72">
        <v>46030</v>
      </c>
      <c r="C1731" s="68">
        <v>46030</v>
      </c>
      <c r="D1731" s="58" t="s">
        <v>1664</v>
      </c>
      <c r="E1731" s="59" t="s">
        <v>352</v>
      </c>
      <c r="F1731" s="56">
        <v>36</v>
      </c>
      <c r="G1731" s="73">
        <v>250</v>
      </c>
      <c r="H1731" s="74" t="s">
        <v>1661</v>
      </c>
      <c r="I1731" s="59" t="s">
        <v>1662</v>
      </c>
      <c r="J1731" s="59" t="s">
        <v>1663</v>
      </c>
      <c r="K1731" s="69">
        <v>5102</v>
      </c>
      <c r="L1731" s="56">
        <v>205</v>
      </c>
      <c r="M1731" s="59" t="s">
        <v>26</v>
      </c>
      <c r="N1731" s="61">
        <v>454.4</v>
      </c>
      <c r="O1731" s="59" t="s">
        <v>313</v>
      </c>
      <c r="P1731" s="62">
        <v>454.4</v>
      </c>
      <c r="Q1731" s="63">
        <v>20</v>
      </c>
      <c r="R1731" s="62">
        <v>90.88</v>
      </c>
      <c r="S1731" s="61">
        <v>0</v>
      </c>
      <c r="T1731" s="62">
        <v>0</v>
      </c>
    </row>
    <row r="1732" spans="1:20" ht="11.1" customHeight="1" x14ac:dyDescent="0.25">
      <c r="A1732" s="56">
        <v>108674</v>
      </c>
      <c r="B1732" s="72">
        <v>46030</v>
      </c>
      <c r="C1732" s="68">
        <v>46030</v>
      </c>
      <c r="D1732" s="58" t="s">
        <v>1664</v>
      </c>
      <c r="E1732" s="59" t="s">
        <v>352</v>
      </c>
      <c r="F1732" s="56">
        <v>36</v>
      </c>
      <c r="G1732" s="73">
        <v>250</v>
      </c>
      <c r="H1732" s="74" t="s">
        <v>1661</v>
      </c>
      <c r="I1732" s="59" t="s">
        <v>1662</v>
      </c>
      <c r="J1732" s="59" t="s">
        <v>1663</v>
      </c>
      <c r="K1732" s="69">
        <v>5403</v>
      </c>
      <c r="L1732" s="56">
        <v>207</v>
      </c>
      <c r="M1732" s="59" t="s">
        <v>26</v>
      </c>
      <c r="N1732" s="61">
        <v>409.37</v>
      </c>
      <c r="O1732" s="59" t="s">
        <v>313</v>
      </c>
      <c r="P1732" s="62">
        <v>382.59</v>
      </c>
      <c r="Q1732" s="63">
        <v>20</v>
      </c>
      <c r="R1732" s="62">
        <v>76.52</v>
      </c>
      <c r="S1732" s="61">
        <v>0</v>
      </c>
      <c r="T1732" s="62">
        <v>26.78</v>
      </c>
    </row>
    <row r="1733" spans="1:20" ht="11.1" customHeight="1" x14ac:dyDescent="0.25">
      <c r="O1733" s="59" t="s">
        <v>436</v>
      </c>
      <c r="P1733" s="62">
        <v>516.49</v>
      </c>
      <c r="Q1733" s="63">
        <v>20</v>
      </c>
      <c r="R1733" s="62">
        <v>26.78</v>
      </c>
      <c r="S1733" s="61">
        <v>0</v>
      </c>
      <c r="T1733" s="62">
        <v>0</v>
      </c>
    </row>
    <row r="1734" spans="1:20" ht="11.1" customHeight="1" x14ac:dyDescent="0.25">
      <c r="A1734" s="56">
        <v>108813</v>
      </c>
      <c r="B1734" s="72">
        <v>46035</v>
      </c>
      <c r="C1734" s="68">
        <v>46035</v>
      </c>
      <c r="D1734" s="58" t="s">
        <v>1665</v>
      </c>
      <c r="E1734" s="59" t="s">
        <v>352</v>
      </c>
      <c r="F1734" s="56">
        <v>36</v>
      </c>
      <c r="G1734" s="73">
        <v>250</v>
      </c>
      <c r="H1734" s="74" t="s">
        <v>1661</v>
      </c>
      <c r="I1734" s="59" t="s">
        <v>1662</v>
      </c>
      <c r="J1734" s="59" t="s">
        <v>1663</v>
      </c>
      <c r="K1734" s="69">
        <v>5403</v>
      </c>
      <c r="L1734" s="56">
        <v>207</v>
      </c>
      <c r="M1734" s="59" t="s">
        <v>26</v>
      </c>
      <c r="N1734" s="61">
        <v>528.97</v>
      </c>
      <c r="O1734" s="59" t="s">
        <v>313</v>
      </c>
      <c r="P1734" s="62">
        <v>494.38</v>
      </c>
      <c r="Q1734" s="63">
        <v>20</v>
      </c>
      <c r="R1734" s="62">
        <v>98.88</v>
      </c>
      <c r="S1734" s="61">
        <v>0</v>
      </c>
      <c r="T1734" s="62">
        <v>34.590000000000003</v>
      </c>
    </row>
    <row r="1735" spans="1:20" ht="11.1" customHeight="1" x14ac:dyDescent="0.25">
      <c r="O1735" s="59" t="s">
        <v>436</v>
      </c>
      <c r="P1735" s="62">
        <v>667.4</v>
      </c>
      <c r="Q1735" s="63">
        <v>20</v>
      </c>
      <c r="R1735" s="62">
        <v>34.590000000000003</v>
      </c>
      <c r="S1735" s="61">
        <v>0</v>
      </c>
      <c r="T1735" s="62">
        <v>0</v>
      </c>
    </row>
    <row r="1736" spans="1:20" ht="11.1" customHeight="1" x14ac:dyDescent="0.25">
      <c r="A1736" s="56">
        <v>108935</v>
      </c>
      <c r="B1736" s="72">
        <v>46036</v>
      </c>
      <c r="C1736" s="68">
        <v>46036</v>
      </c>
      <c r="D1736" s="58" t="s">
        <v>1666</v>
      </c>
      <c r="E1736" s="59" t="s">
        <v>352</v>
      </c>
      <c r="F1736" s="56">
        <v>36</v>
      </c>
      <c r="G1736" s="73">
        <v>250</v>
      </c>
      <c r="H1736" s="74" t="s">
        <v>1661</v>
      </c>
      <c r="I1736" s="59" t="s">
        <v>1662</v>
      </c>
      <c r="J1736" s="59" t="s">
        <v>1663</v>
      </c>
      <c r="K1736" s="69">
        <v>5102</v>
      </c>
      <c r="L1736" s="56">
        <v>205</v>
      </c>
      <c r="M1736" s="59" t="s">
        <v>26</v>
      </c>
      <c r="N1736" s="61">
        <v>227.56</v>
      </c>
      <c r="O1736" s="59" t="s">
        <v>313</v>
      </c>
      <c r="P1736" s="62">
        <v>227.56</v>
      </c>
      <c r="Q1736" s="63">
        <v>20</v>
      </c>
      <c r="R1736" s="62">
        <v>45.51</v>
      </c>
      <c r="S1736" s="61">
        <v>0</v>
      </c>
      <c r="T1736" s="62">
        <v>0</v>
      </c>
    </row>
    <row r="1737" spans="1:20" ht="11.1" customHeight="1" x14ac:dyDescent="0.25">
      <c r="A1737" s="56">
        <v>108936</v>
      </c>
      <c r="B1737" s="72">
        <v>46036</v>
      </c>
      <c r="C1737" s="68">
        <v>46036</v>
      </c>
      <c r="D1737" s="58" t="s">
        <v>1666</v>
      </c>
      <c r="E1737" s="59" t="s">
        <v>352</v>
      </c>
      <c r="F1737" s="56">
        <v>36</v>
      </c>
      <c r="G1737" s="73">
        <v>250</v>
      </c>
      <c r="H1737" s="74" t="s">
        <v>1661</v>
      </c>
      <c r="I1737" s="59" t="s">
        <v>1662</v>
      </c>
      <c r="J1737" s="59" t="s">
        <v>1663</v>
      </c>
      <c r="K1737" s="69">
        <v>5403</v>
      </c>
      <c r="L1737" s="56">
        <v>207</v>
      </c>
      <c r="M1737" s="59" t="s">
        <v>26</v>
      </c>
      <c r="N1737" s="61">
        <v>684.07</v>
      </c>
      <c r="O1737" s="59" t="s">
        <v>313</v>
      </c>
      <c r="P1737" s="62">
        <v>639.29999999999995</v>
      </c>
      <c r="Q1737" s="63">
        <v>20</v>
      </c>
      <c r="R1737" s="62">
        <v>127.85</v>
      </c>
      <c r="S1737" s="61">
        <v>0</v>
      </c>
      <c r="T1737" s="62">
        <v>44.77</v>
      </c>
    </row>
    <row r="1738" spans="1:20" ht="11.1" customHeight="1" x14ac:dyDescent="0.25">
      <c r="O1738" s="59" t="s">
        <v>436</v>
      </c>
      <c r="P1738" s="62">
        <v>863.06</v>
      </c>
      <c r="Q1738" s="63">
        <v>20</v>
      </c>
      <c r="R1738" s="62">
        <v>44.77</v>
      </c>
      <c r="S1738" s="61">
        <v>0</v>
      </c>
      <c r="T1738" s="62">
        <v>0</v>
      </c>
    </row>
    <row r="1739" spans="1:20" ht="11.1" customHeight="1" x14ac:dyDescent="0.25">
      <c r="A1739" s="56">
        <v>109380</v>
      </c>
      <c r="B1739" s="72">
        <v>46045</v>
      </c>
      <c r="C1739" s="68">
        <v>46045</v>
      </c>
      <c r="D1739" s="58" t="s">
        <v>1667</v>
      </c>
      <c r="E1739" s="59" t="s">
        <v>352</v>
      </c>
      <c r="F1739" s="56">
        <v>36</v>
      </c>
      <c r="G1739" s="73">
        <v>250</v>
      </c>
      <c r="H1739" s="74" t="s">
        <v>1661</v>
      </c>
      <c r="I1739" s="59" t="s">
        <v>1662</v>
      </c>
      <c r="J1739" s="59" t="s">
        <v>1663</v>
      </c>
      <c r="K1739" s="69">
        <v>5403</v>
      </c>
      <c r="L1739" s="56">
        <v>207</v>
      </c>
      <c r="M1739" s="59" t="s">
        <v>26</v>
      </c>
      <c r="N1739" s="61">
        <v>1418.81</v>
      </c>
      <c r="O1739" s="59" t="s">
        <v>313</v>
      </c>
      <c r="P1739" s="62">
        <v>1326</v>
      </c>
      <c r="Q1739" s="63">
        <v>20</v>
      </c>
      <c r="R1739" s="62">
        <v>265.2</v>
      </c>
      <c r="S1739" s="61">
        <v>0</v>
      </c>
      <c r="T1739" s="62">
        <v>92.81</v>
      </c>
    </row>
    <row r="1740" spans="1:20" ht="11.1" customHeight="1" x14ac:dyDescent="0.25">
      <c r="O1740" s="59" t="s">
        <v>436</v>
      </c>
      <c r="P1740" s="62">
        <v>1790.09</v>
      </c>
      <c r="Q1740" s="63">
        <v>20</v>
      </c>
      <c r="R1740" s="62">
        <v>92.81</v>
      </c>
      <c r="S1740" s="61">
        <v>0</v>
      </c>
      <c r="T1740" s="62">
        <v>0</v>
      </c>
    </row>
    <row r="1741" spans="1:20" ht="11.85" customHeight="1" x14ac:dyDescent="0.25">
      <c r="A1741" s="71" t="s">
        <v>620</v>
      </c>
      <c r="B1741" s="71"/>
      <c r="C1741" s="71"/>
      <c r="D1741" s="71"/>
      <c r="E1741" s="71"/>
      <c r="F1741" s="71"/>
      <c r="G1741" s="71"/>
      <c r="H1741" s="71"/>
    </row>
    <row r="1742" spans="1:20" ht="11.1" customHeight="1" x14ac:dyDescent="0.25">
      <c r="O1742" s="59" t="s">
        <v>313</v>
      </c>
      <c r="P1742" s="62">
        <v>4768.46</v>
      </c>
      <c r="R1742" s="62">
        <v>953.7</v>
      </c>
      <c r="S1742" s="61">
        <v>0</v>
      </c>
      <c r="T1742" s="62">
        <v>259.60000000000002</v>
      </c>
    </row>
    <row r="1743" spans="1:20" ht="11.1" customHeight="1" x14ac:dyDescent="0.25">
      <c r="O1743" s="59" t="s">
        <v>436</v>
      </c>
      <c r="P1743" s="62">
        <v>5006.93</v>
      </c>
      <c r="R1743" s="62">
        <v>259.60000000000002</v>
      </c>
      <c r="S1743" s="61">
        <v>0</v>
      </c>
      <c r="T1743" s="62">
        <v>0</v>
      </c>
    </row>
    <row r="1744" spans="1:20" ht="11.1" customHeight="1" x14ac:dyDescent="0.25">
      <c r="A1744" s="56">
        <v>108684</v>
      </c>
      <c r="B1744" s="72">
        <v>46030</v>
      </c>
      <c r="C1744" s="68">
        <v>46030</v>
      </c>
      <c r="D1744" s="58" t="s">
        <v>1668</v>
      </c>
      <c r="E1744" s="59" t="s">
        <v>352</v>
      </c>
      <c r="F1744" s="56">
        <v>36</v>
      </c>
      <c r="G1744" s="73">
        <v>20</v>
      </c>
      <c r="H1744" s="74" t="s">
        <v>1669</v>
      </c>
      <c r="I1744" s="59" t="s">
        <v>1670</v>
      </c>
      <c r="J1744" s="59" t="s">
        <v>1671</v>
      </c>
      <c r="K1744" s="69">
        <v>5102</v>
      </c>
      <c r="L1744" s="56">
        <v>205</v>
      </c>
      <c r="M1744" s="59" t="s">
        <v>26</v>
      </c>
      <c r="N1744" s="61">
        <v>682.22</v>
      </c>
      <c r="O1744" s="59" t="s">
        <v>313</v>
      </c>
      <c r="P1744" s="62">
        <v>682.22</v>
      </c>
      <c r="Q1744" s="63">
        <v>20</v>
      </c>
      <c r="R1744" s="62">
        <v>136.44</v>
      </c>
      <c r="S1744" s="61">
        <v>0</v>
      </c>
      <c r="T1744" s="62">
        <v>0</v>
      </c>
    </row>
    <row r="1745" spans="1:20" ht="11.1" customHeight="1" x14ac:dyDescent="0.25">
      <c r="A1745" s="56">
        <v>109132</v>
      </c>
      <c r="B1745" s="72">
        <v>46042</v>
      </c>
      <c r="C1745" s="68">
        <v>46042</v>
      </c>
      <c r="D1745" s="58" t="s">
        <v>1672</v>
      </c>
      <c r="E1745" s="59" t="s">
        <v>352</v>
      </c>
      <c r="F1745" s="56">
        <v>36</v>
      </c>
      <c r="G1745" s="73">
        <v>20</v>
      </c>
      <c r="H1745" s="74" t="s">
        <v>1669</v>
      </c>
      <c r="I1745" s="59" t="s">
        <v>1670</v>
      </c>
      <c r="J1745" s="59" t="s">
        <v>1671</v>
      </c>
      <c r="K1745" s="69">
        <v>5102</v>
      </c>
      <c r="L1745" s="56">
        <v>205</v>
      </c>
      <c r="M1745" s="59" t="s">
        <v>26</v>
      </c>
      <c r="N1745" s="61">
        <v>524.76</v>
      </c>
      <c r="O1745" s="59" t="s">
        <v>313</v>
      </c>
      <c r="P1745" s="62">
        <v>524.76</v>
      </c>
      <c r="Q1745" s="63">
        <v>20</v>
      </c>
      <c r="R1745" s="62">
        <v>104.96</v>
      </c>
      <c r="S1745" s="61">
        <v>0</v>
      </c>
      <c r="T1745" s="62">
        <v>0</v>
      </c>
    </row>
    <row r="1746" spans="1:20" ht="11.1" customHeight="1" x14ac:dyDescent="0.25">
      <c r="A1746" s="56">
        <v>109133</v>
      </c>
      <c r="B1746" s="72">
        <v>46042</v>
      </c>
      <c r="C1746" s="68">
        <v>46042</v>
      </c>
      <c r="D1746" s="58" t="s">
        <v>1672</v>
      </c>
      <c r="E1746" s="59" t="s">
        <v>352</v>
      </c>
      <c r="F1746" s="56">
        <v>36</v>
      </c>
      <c r="G1746" s="73">
        <v>20</v>
      </c>
      <c r="H1746" s="74" t="s">
        <v>1669</v>
      </c>
      <c r="I1746" s="59" t="s">
        <v>1670</v>
      </c>
      <c r="J1746" s="59" t="s">
        <v>1671</v>
      </c>
      <c r="K1746" s="69">
        <v>5403</v>
      </c>
      <c r="L1746" s="56">
        <v>207</v>
      </c>
      <c r="M1746" s="59" t="s">
        <v>26</v>
      </c>
      <c r="N1746" s="61">
        <v>766.16</v>
      </c>
      <c r="O1746" s="59" t="s">
        <v>313</v>
      </c>
      <c r="P1746" s="62">
        <v>716.04</v>
      </c>
      <c r="Q1746" s="63">
        <v>20</v>
      </c>
      <c r="R1746" s="62">
        <v>143.21</v>
      </c>
      <c r="S1746" s="61">
        <v>0</v>
      </c>
      <c r="T1746" s="62">
        <v>50.12</v>
      </c>
    </row>
    <row r="1747" spans="1:20" ht="11.1" customHeight="1" x14ac:dyDescent="0.25">
      <c r="O1747" s="59" t="s">
        <v>436</v>
      </c>
      <c r="P1747" s="62">
        <v>966.65</v>
      </c>
      <c r="Q1747" s="63">
        <v>20</v>
      </c>
      <c r="R1747" s="62">
        <v>50.12</v>
      </c>
      <c r="S1747" s="61">
        <v>0</v>
      </c>
      <c r="T1747" s="62">
        <v>0</v>
      </c>
    </row>
    <row r="1748" spans="1:20" ht="11.1" customHeight="1" x14ac:dyDescent="0.25">
      <c r="A1748" s="56">
        <v>109311</v>
      </c>
      <c r="B1748" s="72">
        <v>46044</v>
      </c>
      <c r="C1748" s="68">
        <v>46044</v>
      </c>
      <c r="D1748" s="58" t="s">
        <v>1673</v>
      </c>
      <c r="E1748" s="59" t="s">
        <v>352</v>
      </c>
      <c r="F1748" s="56">
        <v>36</v>
      </c>
      <c r="G1748" s="73">
        <v>20</v>
      </c>
      <c r="H1748" s="74" t="s">
        <v>1669</v>
      </c>
      <c r="I1748" s="59" t="s">
        <v>1670</v>
      </c>
      <c r="J1748" s="59" t="s">
        <v>1671</v>
      </c>
      <c r="K1748" s="69">
        <v>5102</v>
      </c>
      <c r="L1748" s="56">
        <v>205</v>
      </c>
      <c r="M1748" s="59" t="s">
        <v>26</v>
      </c>
      <c r="N1748" s="61">
        <v>402.5</v>
      </c>
      <c r="O1748" s="59" t="s">
        <v>313</v>
      </c>
      <c r="P1748" s="62">
        <v>402.5</v>
      </c>
      <c r="Q1748" s="63">
        <v>20</v>
      </c>
      <c r="R1748" s="62">
        <v>80.5</v>
      </c>
      <c r="S1748" s="61">
        <v>0</v>
      </c>
      <c r="T1748" s="62">
        <v>0</v>
      </c>
    </row>
    <row r="1749" spans="1:20" ht="11.1" customHeight="1" x14ac:dyDescent="0.25">
      <c r="A1749" s="56">
        <v>109312</v>
      </c>
      <c r="B1749" s="72">
        <v>46044</v>
      </c>
      <c r="C1749" s="68">
        <v>46044</v>
      </c>
      <c r="D1749" s="58" t="s">
        <v>1673</v>
      </c>
      <c r="E1749" s="59" t="s">
        <v>352</v>
      </c>
      <c r="F1749" s="56">
        <v>36</v>
      </c>
      <c r="G1749" s="73">
        <v>20</v>
      </c>
      <c r="H1749" s="74" t="s">
        <v>1669</v>
      </c>
      <c r="I1749" s="59" t="s">
        <v>1670</v>
      </c>
      <c r="J1749" s="59" t="s">
        <v>1671</v>
      </c>
      <c r="K1749" s="69">
        <v>5403</v>
      </c>
      <c r="L1749" s="56">
        <v>207</v>
      </c>
      <c r="M1749" s="59" t="s">
        <v>26</v>
      </c>
      <c r="N1749" s="61">
        <v>426.54</v>
      </c>
      <c r="O1749" s="59" t="s">
        <v>313</v>
      </c>
      <c r="P1749" s="62">
        <v>398.64</v>
      </c>
      <c r="Q1749" s="63">
        <v>20</v>
      </c>
      <c r="R1749" s="62">
        <v>79.73</v>
      </c>
      <c r="S1749" s="61">
        <v>0</v>
      </c>
      <c r="T1749" s="62">
        <v>27.9</v>
      </c>
    </row>
    <row r="1750" spans="1:20" ht="11.1" customHeight="1" x14ac:dyDescent="0.25">
      <c r="O1750" s="59" t="s">
        <v>436</v>
      </c>
      <c r="P1750" s="62">
        <v>538.16</v>
      </c>
      <c r="Q1750" s="63">
        <v>20</v>
      </c>
      <c r="R1750" s="62">
        <v>27.9</v>
      </c>
      <c r="S1750" s="61">
        <v>0</v>
      </c>
      <c r="T1750" s="62">
        <v>0</v>
      </c>
    </row>
    <row r="1751" spans="1:20" ht="11.1" customHeight="1" x14ac:dyDescent="0.25">
      <c r="A1751" s="56">
        <v>109672</v>
      </c>
      <c r="B1751" s="72">
        <v>46052</v>
      </c>
      <c r="C1751" s="68">
        <v>46052</v>
      </c>
      <c r="D1751" s="58" t="s">
        <v>1674</v>
      </c>
      <c r="E1751" s="59" t="s">
        <v>352</v>
      </c>
      <c r="F1751" s="56">
        <v>36</v>
      </c>
      <c r="G1751" s="73">
        <v>20</v>
      </c>
      <c r="H1751" s="74" t="s">
        <v>1669</v>
      </c>
      <c r="I1751" s="59" t="s">
        <v>1670</v>
      </c>
      <c r="J1751" s="59" t="s">
        <v>1671</v>
      </c>
      <c r="K1751" s="69">
        <v>5102</v>
      </c>
      <c r="L1751" s="56">
        <v>205</v>
      </c>
      <c r="M1751" s="59" t="s">
        <v>26</v>
      </c>
      <c r="N1751" s="61">
        <v>305.77999999999997</v>
      </c>
      <c r="O1751" s="59" t="s">
        <v>313</v>
      </c>
      <c r="P1751" s="62">
        <v>305.77999999999997</v>
      </c>
      <c r="Q1751" s="63">
        <v>20</v>
      </c>
      <c r="R1751" s="62">
        <v>61.16</v>
      </c>
      <c r="S1751" s="61">
        <v>0</v>
      </c>
      <c r="T1751" s="62">
        <v>0</v>
      </c>
    </row>
    <row r="1752" spans="1:20" ht="11.1" customHeight="1" x14ac:dyDescent="0.25">
      <c r="A1752" s="56">
        <v>109673</v>
      </c>
      <c r="B1752" s="72">
        <v>46052</v>
      </c>
      <c r="C1752" s="68">
        <v>46052</v>
      </c>
      <c r="D1752" s="58" t="s">
        <v>1674</v>
      </c>
      <c r="E1752" s="59" t="s">
        <v>352</v>
      </c>
      <c r="F1752" s="56">
        <v>36</v>
      </c>
      <c r="G1752" s="73">
        <v>20</v>
      </c>
      <c r="H1752" s="74" t="s">
        <v>1669</v>
      </c>
      <c r="I1752" s="59" t="s">
        <v>1670</v>
      </c>
      <c r="J1752" s="59" t="s">
        <v>1671</v>
      </c>
      <c r="K1752" s="69">
        <v>5403</v>
      </c>
      <c r="L1752" s="56">
        <v>207</v>
      </c>
      <c r="M1752" s="59" t="s">
        <v>26</v>
      </c>
      <c r="N1752" s="61">
        <v>386.3</v>
      </c>
      <c r="O1752" s="59" t="s">
        <v>313</v>
      </c>
      <c r="P1752" s="62">
        <v>361.02</v>
      </c>
      <c r="Q1752" s="63">
        <v>20</v>
      </c>
      <c r="R1752" s="62">
        <v>72.2</v>
      </c>
      <c r="S1752" s="61">
        <v>0</v>
      </c>
      <c r="T1752" s="62">
        <v>25.28</v>
      </c>
    </row>
    <row r="1753" spans="1:20" ht="11.1" customHeight="1" x14ac:dyDescent="0.25">
      <c r="O1753" s="59" t="s">
        <v>436</v>
      </c>
      <c r="P1753" s="62">
        <v>487.38</v>
      </c>
      <c r="Q1753" s="63">
        <v>20</v>
      </c>
      <c r="R1753" s="62">
        <v>25.28</v>
      </c>
      <c r="S1753" s="61">
        <v>0</v>
      </c>
      <c r="T1753" s="62">
        <v>0</v>
      </c>
    </row>
    <row r="1754" spans="1:20" ht="11.85" customHeight="1" x14ac:dyDescent="0.25">
      <c r="A1754" s="71" t="s">
        <v>620</v>
      </c>
      <c r="B1754" s="71"/>
      <c r="C1754" s="71"/>
      <c r="D1754" s="71"/>
      <c r="E1754" s="71"/>
      <c r="F1754" s="71"/>
      <c r="G1754" s="71"/>
      <c r="H1754" s="71"/>
    </row>
    <row r="1755" spans="1:20" ht="11.1" customHeight="1" x14ac:dyDescent="0.25">
      <c r="O1755" s="59" t="s">
        <v>313</v>
      </c>
      <c r="P1755" s="62">
        <v>3390.96</v>
      </c>
      <c r="R1755" s="62">
        <v>678.2</v>
      </c>
      <c r="S1755" s="61">
        <v>0</v>
      </c>
      <c r="T1755" s="62">
        <v>103.3</v>
      </c>
    </row>
    <row r="1756" spans="1:20" ht="11.1" customHeight="1" x14ac:dyDescent="0.25">
      <c r="O1756" s="59" t="s">
        <v>436</v>
      </c>
      <c r="P1756" s="62">
        <v>1992.19</v>
      </c>
      <c r="R1756" s="62">
        <v>103.3</v>
      </c>
      <c r="S1756" s="61">
        <v>0</v>
      </c>
      <c r="T1756" s="62">
        <v>0</v>
      </c>
    </row>
    <row r="1757" spans="1:20" ht="11.1" customHeight="1" x14ac:dyDescent="0.25">
      <c r="A1757" s="56">
        <v>108408</v>
      </c>
      <c r="B1757" s="72">
        <v>46024</v>
      </c>
      <c r="C1757" s="68">
        <v>46024</v>
      </c>
      <c r="D1757" s="58" t="s">
        <v>1675</v>
      </c>
      <c r="E1757" s="59" t="s">
        <v>352</v>
      </c>
      <c r="F1757" s="56">
        <v>36</v>
      </c>
      <c r="G1757" s="73">
        <v>197</v>
      </c>
      <c r="H1757" s="74" t="s">
        <v>1676</v>
      </c>
      <c r="I1757" s="59" t="s">
        <v>1677</v>
      </c>
      <c r="J1757" s="59" t="s">
        <v>1678</v>
      </c>
      <c r="K1757" s="69">
        <v>5102</v>
      </c>
      <c r="L1757" s="56">
        <v>205</v>
      </c>
      <c r="M1757" s="59" t="s">
        <v>26</v>
      </c>
      <c r="N1757" s="61">
        <v>396.16</v>
      </c>
      <c r="O1757" s="59" t="s">
        <v>313</v>
      </c>
      <c r="P1757" s="62">
        <v>396.16</v>
      </c>
      <c r="Q1757" s="63">
        <v>20</v>
      </c>
      <c r="R1757" s="62">
        <v>79.23</v>
      </c>
      <c r="S1757" s="61">
        <v>0</v>
      </c>
      <c r="T1757" s="62">
        <v>0</v>
      </c>
    </row>
    <row r="1758" spans="1:20" ht="11.1" customHeight="1" x14ac:dyDescent="0.25">
      <c r="A1758" s="56">
        <v>108409</v>
      </c>
      <c r="B1758" s="72">
        <v>46024</v>
      </c>
      <c r="C1758" s="68">
        <v>46024</v>
      </c>
      <c r="D1758" s="58" t="s">
        <v>1675</v>
      </c>
      <c r="E1758" s="59" t="s">
        <v>352</v>
      </c>
      <c r="F1758" s="56">
        <v>36</v>
      </c>
      <c r="G1758" s="73">
        <v>197</v>
      </c>
      <c r="H1758" s="74" t="s">
        <v>1676</v>
      </c>
      <c r="I1758" s="59" t="s">
        <v>1677</v>
      </c>
      <c r="J1758" s="59" t="s">
        <v>1678</v>
      </c>
      <c r="K1758" s="69">
        <v>5403</v>
      </c>
      <c r="L1758" s="56">
        <v>207</v>
      </c>
      <c r="M1758" s="59" t="s">
        <v>26</v>
      </c>
      <c r="N1758" s="61">
        <v>449.44</v>
      </c>
      <c r="O1758" s="59" t="s">
        <v>313</v>
      </c>
      <c r="P1758" s="62">
        <v>420.04</v>
      </c>
      <c r="Q1758" s="63">
        <v>20</v>
      </c>
      <c r="R1758" s="62">
        <v>84.01</v>
      </c>
      <c r="S1758" s="61">
        <v>0</v>
      </c>
      <c r="T1758" s="62">
        <v>29.4</v>
      </c>
    </row>
    <row r="1759" spans="1:20" ht="11.1" customHeight="1" x14ac:dyDescent="0.25">
      <c r="O1759" s="59" t="s">
        <v>436</v>
      </c>
      <c r="P1759" s="62">
        <v>567.04999999999995</v>
      </c>
      <c r="Q1759" s="63">
        <v>20</v>
      </c>
      <c r="R1759" s="62">
        <v>29.4</v>
      </c>
      <c r="S1759" s="61">
        <v>0</v>
      </c>
      <c r="T1759" s="62">
        <v>0</v>
      </c>
    </row>
    <row r="1760" spans="1:20" ht="11.1" customHeight="1" x14ac:dyDescent="0.25">
      <c r="A1760" s="56">
        <v>108937</v>
      </c>
      <c r="B1760" s="72">
        <v>46036</v>
      </c>
      <c r="C1760" s="68">
        <v>46036</v>
      </c>
      <c r="D1760" s="58" t="s">
        <v>1679</v>
      </c>
      <c r="E1760" s="59" t="s">
        <v>352</v>
      </c>
      <c r="F1760" s="56">
        <v>36</v>
      </c>
      <c r="G1760" s="73">
        <v>197</v>
      </c>
      <c r="H1760" s="74" t="s">
        <v>1676</v>
      </c>
      <c r="I1760" s="59" t="s">
        <v>1677</v>
      </c>
      <c r="J1760" s="59" t="s">
        <v>1678</v>
      </c>
      <c r="K1760" s="69">
        <v>5102</v>
      </c>
      <c r="L1760" s="56">
        <v>205</v>
      </c>
      <c r="M1760" s="59" t="s">
        <v>26</v>
      </c>
      <c r="N1760" s="61">
        <v>1391.36</v>
      </c>
      <c r="O1760" s="59" t="s">
        <v>313</v>
      </c>
      <c r="P1760" s="62">
        <v>1391.36</v>
      </c>
      <c r="Q1760" s="63">
        <v>20</v>
      </c>
      <c r="R1760" s="62">
        <v>278.27</v>
      </c>
      <c r="S1760" s="61">
        <v>0</v>
      </c>
      <c r="T1760" s="62">
        <v>0</v>
      </c>
    </row>
    <row r="1761" spans="1:20" ht="11.1" customHeight="1" x14ac:dyDescent="0.25">
      <c r="A1761" s="56">
        <v>108938</v>
      </c>
      <c r="B1761" s="72">
        <v>46036</v>
      </c>
      <c r="C1761" s="68">
        <v>46036</v>
      </c>
      <c r="D1761" s="58" t="s">
        <v>1679</v>
      </c>
      <c r="E1761" s="59" t="s">
        <v>352</v>
      </c>
      <c r="F1761" s="56">
        <v>36</v>
      </c>
      <c r="G1761" s="73">
        <v>197</v>
      </c>
      <c r="H1761" s="74" t="s">
        <v>1676</v>
      </c>
      <c r="I1761" s="59" t="s">
        <v>1677</v>
      </c>
      <c r="J1761" s="59" t="s">
        <v>1678</v>
      </c>
      <c r="K1761" s="69">
        <v>5403</v>
      </c>
      <c r="L1761" s="56">
        <v>207</v>
      </c>
      <c r="M1761" s="59" t="s">
        <v>26</v>
      </c>
      <c r="N1761" s="61">
        <v>269.64</v>
      </c>
      <c r="O1761" s="59" t="s">
        <v>313</v>
      </c>
      <c r="P1761" s="62">
        <v>252</v>
      </c>
      <c r="Q1761" s="63">
        <v>20</v>
      </c>
      <c r="R1761" s="62">
        <v>50.4</v>
      </c>
      <c r="S1761" s="61">
        <v>0</v>
      </c>
      <c r="T1761" s="62">
        <v>17.64</v>
      </c>
    </row>
    <row r="1762" spans="1:20" ht="11.1" customHeight="1" x14ac:dyDescent="0.25">
      <c r="O1762" s="59" t="s">
        <v>436</v>
      </c>
      <c r="P1762" s="62">
        <v>340.2</v>
      </c>
      <c r="Q1762" s="63">
        <v>20</v>
      </c>
      <c r="R1762" s="62">
        <v>17.64</v>
      </c>
      <c r="S1762" s="61">
        <v>0</v>
      </c>
      <c r="T1762" s="62">
        <v>0</v>
      </c>
    </row>
    <row r="1763" spans="1:20" ht="11.1" customHeight="1" x14ac:dyDescent="0.25">
      <c r="A1763" s="56">
        <v>109200</v>
      </c>
      <c r="B1763" s="72">
        <v>46043</v>
      </c>
      <c r="C1763" s="68">
        <v>46043</v>
      </c>
      <c r="D1763" s="58" t="s">
        <v>1680</v>
      </c>
      <c r="E1763" s="59" t="s">
        <v>352</v>
      </c>
      <c r="F1763" s="56">
        <v>36</v>
      </c>
      <c r="G1763" s="73">
        <v>197</v>
      </c>
      <c r="H1763" s="74" t="s">
        <v>1676</v>
      </c>
      <c r="I1763" s="59" t="s">
        <v>1677</v>
      </c>
      <c r="J1763" s="59" t="s">
        <v>1678</v>
      </c>
      <c r="K1763" s="69">
        <v>5102</v>
      </c>
      <c r="L1763" s="56">
        <v>205</v>
      </c>
      <c r="M1763" s="59" t="s">
        <v>26</v>
      </c>
      <c r="N1763" s="61">
        <v>1317.6</v>
      </c>
      <c r="O1763" s="59" t="s">
        <v>313</v>
      </c>
      <c r="P1763" s="62">
        <v>1317.6</v>
      </c>
      <c r="Q1763" s="63">
        <v>20</v>
      </c>
      <c r="R1763" s="62">
        <v>263.52</v>
      </c>
      <c r="S1763" s="61">
        <v>0</v>
      </c>
      <c r="T1763" s="62">
        <v>0</v>
      </c>
    </row>
    <row r="1764" spans="1:20" ht="11.1" customHeight="1" x14ac:dyDescent="0.25">
      <c r="A1764" s="56">
        <v>109492</v>
      </c>
      <c r="B1764" s="72">
        <v>46049</v>
      </c>
      <c r="C1764" s="68">
        <v>46049</v>
      </c>
      <c r="D1764" s="58" t="s">
        <v>1681</v>
      </c>
      <c r="E1764" s="59" t="s">
        <v>352</v>
      </c>
      <c r="F1764" s="56">
        <v>36</v>
      </c>
      <c r="G1764" s="73">
        <v>197</v>
      </c>
      <c r="H1764" s="74" t="s">
        <v>1676</v>
      </c>
      <c r="I1764" s="59" t="s">
        <v>1677</v>
      </c>
      <c r="J1764" s="59" t="s">
        <v>1678</v>
      </c>
      <c r="K1764" s="69">
        <v>5102</v>
      </c>
      <c r="L1764" s="56">
        <v>205</v>
      </c>
      <c r="M1764" s="59" t="s">
        <v>26</v>
      </c>
      <c r="N1764" s="61">
        <v>842.58</v>
      </c>
      <c r="O1764" s="59" t="s">
        <v>313</v>
      </c>
      <c r="P1764" s="62">
        <v>842.58</v>
      </c>
      <c r="Q1764" s="63">
        <v>20</v>
      </c>
      <c r="R1764" s="62">
        <v>168.52</v>
      </c>
      <c r="S1764" s="61">
        <v>0</v>
      </c>
      <c r="T1764" s="62">
        <v>0</v>
      </c>
    </row>
    <row r="1765" spans="1:20" ht="11.1" customHeight="1" x14ac:dyDescent="0.25">
      <c r="A1765" s="56">
        <v>109582</v>
      </c>
      <c r="B1765" s="72">
        <v>46050</v>
      </c>
      <c r="C1765" s="68">
        <v>46050</v>
      </c>
      <c r="D1765" s="58" t="s">
        <v>1682</v>
      </c>
      <c r="E1765" s="59" t="s">
        <v>352</v>
      </c>
      <c r="F1765" s="56">
        <v>36</v>
      </c>
      <c r="G1765" s="73">
        <v>197</v>
      </c>
      <c r="H1765" s="74" t="s">
        <v>1676</v>
      </c>
      <c r="I1765" s="59" t="s">
        <v>1677</v>
      </c>
      <c r="J1765" s="59" t="s">
        <v>1678</v>
      </c>
      <c r="K1765" s="69">
        <v>5102</v>
      </c>
      <c r="L1765" s="56">
        <v>205</v>
      </c>
      <c r="M1765" s="59" t="s">
        <v>26</v>
      </c>
      <c r="N1765" s="61">
        <v>2359.14</v>
      </c>
      <c r="O1765" s="59" t="s">
        <v>313</v>
      </c>
      <c r="P1765" s="62">
        <v>2359.14</v>
      </c>
      <c r="Q1765" s="63">
        <v>20</v>
      </c>
      <c r="R1765" s="62">
        <v>471.83</v>
      </c>
      <c r="S1765" s="61">
        <v>0</v>
      </c>
      <c r="T1765" s="62">
        <v>0</v>
      </c>
    </row>
    <row r="1766" spans="1:20" ht="11.1" customHeight="1" x14ac:dyDescent="0.25">
      <c r="A1766" s="56">
        <v>109583</v>
      </c>
      <c r="B1766" s="72">
        <v>46050</v>
      </c>
      <c r="C1766" s="68">
        <v>46050</v>
      </c>
      <c r="D1766" s="58" t="s">
        <v>1682</v>
      </c>
      <c r="E1766" s="59" t="s">
        <v>352</v>
      </c>
      <c r="F1766" s="56">
        <v>36</v>
      </c>
      <c r="G1766" s="73">
        <v>197</v>
      </c>
      <c r="H1766" s="74" t="s">
        <v>1676</v>
      </c>
      <c r="I1766" s="59" t="s">
        <v>1677</v>
      </c>
      <c r="J1766" s="59" t="s">
        <v>1678</v>
      </c>
      <c r="K1766" s="69">
        <v>5403</v>
      </c>
      <c r="L1766" s="56">
        <v>207</v>
      </c>
      <c r="M1766" s="59" t="s">
        <v>26</v>
      </c>
      <c r="N1766" s="61">
        <v>765.65</v>
      </c>
      <c r="O1766" s="59" t="s">
        <v>313</v>
      </c>
      <c r="P1766" s="62">
        <v>715.56</v>
      </c>
      <c r="Q1766" s="63">
        <v>20</v>
      </c>
      <c r="R1766" s="62">
        <v>143.11000000000001</v>
      </c>
      <c r="S1766" s="61">
        <v>0</v>
      </c>
      <c r="T1766" s="62">
        <v>50.09</v>
      </c>
    </row>
    <row r="1767" spans="1:20" ht="11.1" customHeight="1" x14ac:dyDescent="0.25">
      <c r="O1767" s="59" t="s">
        <v>436</v>
      </c>
      <c r="P1767" s="62">
        <v>966.01</v>
      </c>
      <c r="Q1767" s="63">
        <v>20</v>
      </c>
      <c r="R1767" s="62">
        <v>50.09</v>
      </c>
      <c r="S1767" s="61">
        <v>0</v>
      </c>
      <c r="T1767" s="62">
        <v>0</v>
      </c>
    </row>
    <row r="1768" spans="1:20" ht="11.1" customHeight="1" x14ac:dyDescent="0.25">
      <c r="A1768" s="56">
        <v>109670</v>
      </c>
      <c r="B1768" s="72">
        <v>46052</v>
      </c>
      <c r="C1768" s="68">
        <v>46052</v>
      </c>
      <c r="D1768" s="58" t="s">
        <v>1683</v>
      </c>
      <c r="E1768" s="59" t="s">
        <v>352</v>
      </c>
      <c r="F1768" s="56">
        <v>36</v>
      </c>
      <c r="G1768" s="73">
        <v>197</v>
      </c>
      <c r="H1768" s="74" t="s">
        <v>1676</v>
      </c>
      <c r="I1768" s="59" t="s">
        <v>1677</v>
      </c>
      <c r="J1768" s="59" t="s">
        <v>1678</v>
      </c>
      <c r="K1768" s="69">
        <v>5102</v>
      </c>
      <c r="L1768" s="56">
        <v>205</v>
      </c>
      <c r="M1768" s="59" t="s">
        <v>26</v>
      </c>
      <c r="N1768" s="61">
        <v>563.58000000000004</v>
      </c>
      <c r="O1768" s="59" t="s">
        <v>313</v>
      </c>
      <c r="P1768" s="62">
        <v>563.58000000000004</v>
      </c>
      <c r="Q1768" s="63">
        <v>20</v>
      </c>
      <c r="R1768" s="62">
        <v>112.72</v>
      </c>
      <c r="S1768" s="61">
        <v>0</v>
      </c>
      <c r="T1768" s="62">
        <v>0</v>
      </c>
    </row>
    <row r="1769" spans="1:20" ht="11.85" customHeight="1" x14ac:dyDescent="0.25">
      <c r="A1769" s="71" t="s">
        <v>620</v>
      </c>
      <c r="B1769" s="71"/>
      <c r="C1769" s="71"/>
      <c r="D1769" s="71"/>
      <c r="E1769" s="71"/>
      <c r="F1769" s="71"/>
      <c r="G1769" s="71"/>
      <c r="H1769" s="71"/>
    </row>
    <row r="1770" spans="1:20" ht="11.1" customHeight="1" x14ac:dyDescent="0.25">
      <c r="O1770" s="59" t="s">
        <v>313</v>
      </c>
      <c r="P1770" s="62">
        <v>8258.02</v>
      </c>
      <c r="R1770" s="62">
        <v>1651.61</v>
      </c>
      <c r="S1770" s="61">
        <v>0</v>
      </c>
      <c r="T1770" s="62">
        <v>97.13</v>
      </c>
    </row>
    <row r="1771" spans="1:20" ht="11.1" customHeight="1" x14ac:dyDescent="0.25">
      <c r="O1771" s="59" t="s">
        <v>436</v>
      </c>
      <c r="P1771" s="62">
        <v>1873.26</v>
      </c>
      <c r="R1771" s="62">
        <v>97.13</v>
      </c>
      <c r="S1771" s="61">
        <v>0</v>
      </c>
      <c r="T1771" s="62">
        <v>0</v>
      </c>
    </row>
    <row r="1772" spans="1:20" ht="11.1" customHeight="1" x14ac:dyDescent="0.25">
      <c r="A1772" s="56">
        <v>109010</v>
      </c>
      <c r="B1772" s="72">
        <v>46038</v>
      </c>
      <c r="C1772" s="68">
        <v>46038</v>
      </c>
      <c r="D1772" s="58" t="s">
        <v>1684</v>
      </c>
      <c r="E1772" s="59" t="s">
        <v>352</v>
      </c>
      <c r="F1772" s="56">
        <v>36</v>
      </c>
      <c r="G1772" s="73">
        <v>392</v>
      </c>
      <c r="H1772" s="74" t="s">
        <v>1685</v>
      </c>
      <c r="I1772" s="59" t="s">
        <v>1686</v>
      </c>
      <c r="J1772" s="59" t="s">
        <v>1687</v>
      </c>
      <c r="K1772" s="69">
        <v>5102</v>
      </c>
      <c r="L1772" s="56">
        <v>205</v>
      </c>
      <c r="M1772" s="59" t="s">
        <v>26</v>
      </c>
      <c r="N1772" s="61">
        <v>270.5</v>
      </c>
      <c r="O1772" s="59" t="s">
        <v>313</v>
      </c>
      <c r="P1772" s="62">
        <v>270.5</v>
      </c>
      <c r="Q1772" s="63">
        <v>20</v>
      </c>
      <c r="R1772" s="62">
        <v>54.1</v>
      </c>
      <c r="S1772" s="61">
        <v>0</v>
      </c>
      <c r="T1772" s="62">
        <v>0</v>
      </c>
    </row>
    <row r="1773" spans="1:20" ht="11.1" customHeight="1" x14ac:dyDescent="0.25">
      <c r="A1773" s="56">
        <v>109011</v>
      </c>
      <c r="B1773" s="72">
        <v>46038</v>
      </c>
      <c r="C1773" s="68">
        <v>46038</v>
      </c>
      <c r="D1773" s="58" t="s">
        <v>1684</v>
      </c>
      <c r="E1773" s="59" t="s">
        <v>352</v>
      </c>
      <c r="F1773" s="56">
        <v>36</v>
      </c>
      <c r="G1773" s="73">
        <v>392</v>
      </c>
      <c r="H1773" s="74" t="s">
        <v>1685</v>
      </c>
      <c r="I1773" s="59" t="s">
        <v>1686</v>
      </c>
      <c r="J1773" s="59" t="s">
        <v>1687</v>
      </c>
      <c r="K1773" s="69">
        <v>5403</v>
      </c>
      <c r="L1773" s="56">
        <v>207</v>
      </c>
      <c r="M1773" s="59" t="s">
        <v>26</v>
      </c>
      <c r="N1773" s="61">
        <v>448.89</v>
      </c>
      <c r="O1773" s="59" t="s">
        <v>313</v>
      </c>
      <c r="P1773" s="62">
        <v>419.52</v>
      </c>
      <c r="Q1773" s="63">
        <v>20</v>
      </c>
      <c r="R1773" s="62">
        <v>83.9</v>
      </c>
      <c r="S1773" s="61">
        <v>0</v>
      </c>
      <c r="T1773" s="62">
        <v>29.37</v>
      </c>
    </row>
    <row r="1774" spans="1:20" ht="11.1" customHeight="1" x14ac:dyDescent="0.25">
      <c r="O1774" s="59" t="s">
        <v>436</v>
      </c>
      <c r="P1774" s="62">
        <v>566.35</v>
      </c>
      <c r="Q1774" s="63">
        <v>20</v>
      </c>
      <c r="R1774" s="62">
        <v>29.37</v>
      </c>
      <c r="S1774" s="61">
        <v>0</v>
      </c>
      <c r="T1774" s="62">
        <v>0</v>
      </c>
    </row>
    <row r="1775" spans="1:20" ht="11.1" customHeight="1" x14ac:dyDescent="0.25">
      <c r="A1775" s="56">
        <v>109691</v>
      </c>
      <c r="B1775" s="72">
        <v>46052</v>
      </c>
      <c r="C1775" s="68">
        <v>46052</v>
      </c>
      <c r="D1775" s="58" t="s">
        <v>1688</v>
      </c>
      <c r="E1775" s="59" t="s">
        <v>352</v>
      </c>
      <c r="F1775" s="56">
        <v>36</v>
      </c>
      <c r="G1775" s="73">
        <v>392</v>
      </c>
      <c r="H1775" s="74" t="s">
        <v>1685</v>
      </c>
      <c r="I1775" s="59" t="s">
        <v>1686</v>
      </c>
      <c r="J1775" s="59" t="s">
        <v>1687</v>
      </c>
      <c r="K1775" s="69">
        <v>5405</v>
      </c>
      <c r="L1775" s="56">
        <v>206</v>
      </c>
      <c r="M1775" s="59" t="s">
        <v>26</v>
      </c>
      <c r="N1775" s="61">
        <v>535.48</v>
      </c>
      <c r="O1775" s="59" t="s">
        <v>313</v>
      </c>
      <c r="P1775" s="62">
        <v>0</v>
      </c>
      <c r="Q1775" s="63">
        <v>0</v>
      </c>
      <c r="R1775" s="62">
        <v>0</v>
      </c>
      <c r="S1775" s="61">
        <v>0</v>
      </c>
      <c r="T1775" s="62">
        <v>535.48</v>
      </c>
    </row>
    <row r="1776" spans="1:20" ht="11.1" customHeight="1" x14ac:dyDescent="0.25">
      <c r="A1776" s="56">
        <v>109692</v>
      </c>
      <c r="B1776" s="72">
        <v>46052</v>
      </c>
      <c r="C1776" s="68">
        <v>46052</v>
      </c>
      <c r="D1776" s="58" t="s">
        <v>1688</v>
      </c>
      <c r="E1776" s="59" t="s">
        <v>352</v>
      </c>
      <c r="F1776" s="56">
        <v>36</v>
      </c>
      <c r="G1776" s="73">
        <v>392</v>
      </c>
      <c r="H1776" s="74" t="s">
        <v>1685</v>
      </c>
      <c r="I1776" s="59" t="s">
        <v>1686</v>
      </c>
      <c r="J1776" s="59" t="s">
        <v>1687</v>
      </c>
      <c r="K1776" s="69">
        <v>5403</v>
      </c>
      <c r="L1776" s="56">
        <v>207</v>
      </c>
      <c r="M1776" s="59" t="s">
        <v>26</v>
      </c>
      <c r="N1776" s="61">
        <v>581.6</v>
      </c>
      <c r="O1776" s="59" t="s">
        <v>313</v>
      </c>
      <c r="P1776" s="62">
        <v>543.55999999999995</v>
      </c>
      <c r="Q1776" s="63">
        <v>20</v>
      </c>
      <c r="R1776" s="62">
        <v>108.72</v>
      </c>
      <c r="S1776" s="61">
        <v>0</v>
      </c>
      <c r="T1776" s="62">
        <v>38.04</v>
      </c>
    </row>
    <row r="1777" spans="1:20" ht="11.1" customHeight="1" x14ac:dyDescent="0.25">
      <c r="O1777" s="59" t="s">
        <v>436</v>
      </c>
      <c r="P1777" s="62">
        <v>733.81</v>
      </c>
      <c r="Q1777" s="63">
        <v>20</v>
      </c>
      <c r="R1777" s="62">
        <v>38.04</v>
      </c>
      <c r="S1777" s="61">
        <v>0</v>
      </c>
      <c r="T1777" s="62">
        <v>0</v>
      </c>
    </row>
    <row r="1778" spans="1:20" ht="11.85" customHeight="1" x14ac:dyDescent="0.25">
      <c r="A1778" s="71" t="s">
        <v>620</v>
      </c>
      <c r="B1778" s="71"/>
      <c r="C1778" s="71"/>
      <c r="D1778" s="71"/>
      <c r="E1778" s="71"/>
      <c r="F1778" s="71"/>
      <c r="G1778" s="71"/>
      <c r="H1778" s="71"/>
    </row>
    <row r="1779" spans="1:20" ht="11.1" customHeight="1" x14ac:dyDescent="0.25">
      <c r="O1779" s="59" t="s">
        <v>313</v>
      </c>
      <c r="P1779" s="62">
        <v>1233.58</v>
      </c>
      <c r="R1779" s="62">
        <v>246.72</v>
      </c>
      <c r="S1779" s="61">
        <v>0</v>
      </c>
      <c r="T1779" s="62">
        <v>602.89</v>
      </c>
    </row>
    <row r="1780" spans="1:20" ht="11.1" customHeight="1" x14ac:dyDescent="0.25">
      <c r="O1780" s="59" t="s">
        <v>436</v>
      </c>
      <c r="P1780" s="62">
        <v>1300.1600000000001</v>
      </c>
      <c r="R1780" s="62">
        <v>67.41</v>
      </c>
      <c r="S1780" s="61">
        <v>0</v>
      </c>
      <c r="T1780" s="62">
        <v>0</v>
      </c>
    </row>
    <row r="1781" spans="1:20" ht="11.1" customHeight="1" x14ac:dyDescent="0.25">
      <c r="A1781" s="56">
        <v>108481</v>
      </c>
      <c r="B1781" s="72">
        <v>46028</v>
      </c>
      <c r="C1781" s="68">
        <v>46028</v>
      </c>
      <c r="D1781" s="58" t="s">
        <v>1689</v>
      </c>
      <c r="E1781" s="59" t="s">
        <v>352</v>
      </c>
      <c r="F1781" s="56">
        <v>36</v>
      </c>
      <c r="G1781" s="73">
        <v>842</v>
      </c>
      <c r="H1781" s="74" t="s">
        <v>1690</v>
      </c>
      <c r="I1781" s="59" t="s">
        <v>1691</v>
      </c>
      <c r="J1781" s="59" t="s">
        <v>1692</v>
      </c>
      <c r="K1781" s="69">
        <v>5403</v>
      </c>
      <c r="L1781" s="56">
        <v>207</v>
      </c>
      <c r="M1781" s="59" t="s">
        <v>26</v>
      </c>
      <c r="N1781" s="61">
        <v>896.16</v>
      </c>
      <c r="O1781" s="59" t="s">
        <v>313</v>
      </c>
      <c r="P1781" s="62">
        <v>896.16</v>
      </c>
      <c r="Q1781" s="63">
        <v>20</v>
      </c>
      <c r="R1781" s="62">
        <v>179.23</v>
      </c>
      <c r="S1781" s="61">
        <v>0</v>
      </c>
      <c r="T1781" s="62">
        <v>0</v>
      </c>
    </row>
    <row r="1782" spans="1:20" ht="11.1" customHeight="1" x14ac:dyDescent="0.25">
      <c r="A1782" s="56">
        <v>109020</v>
      </c>
      <c r="B1782" s="72">
        <v>46038</v>
      </c>
      <c r="C1782" s="68">
        <v>46038</v>
      </c>
      <c r="D1782" s="58" t="s">
        <v>1693</v>
      </c>
      <c r="E1782" s="59" t="s">
        <v>352</v>
      </c>
      <c r="F1782" s="56">
        <v>36</v>
      </c>
      <c r="G1782" s="73">
        <v>842</v>
      </c>
      <c r="H1782" s="74" t="s">
        <v>1690</v>
      </c>
      <c r="I1782" s="59" t="s">
        <v>1691</v>
      </c>
      <c r="J1782" s="59" t="s">
        <v>1692</v>
      </c>
      <c r="K1782" s="69">
        <v>5403</v>
      </c>
      <c r="L1782" s="56">
        <v>207</v>
      </c>
      <c r="M1782" s="59" t="s">
        <v>26</v>
      </c>
      <c r="N1782" s="61">
        <v>1120.2</v>
      </c>
      <c r="O1782" s="59" t="s">
        <v>313</v>
      </c>
      <c r="P1782" s="62">
        <v>1120.2</v>
      </c>
      <c r="Q1782" s="63">
        <v>20</v>
      </c>
      <c r="R1782" s="62">
        <v>224.04</v>
      </c>
      <c r="S1782" s="61">
        <v>0</v>
      </c>
      <c r="T1782" s="62">
        <v>0</v>
      </c>
    </row>
    <row r="1783" spans="1:20" ht="11.85" customHeight="1" x14ac:dyDescent="0.25">
      <c r="A1783" s="71" t="s">
        <v>620</v>
      </c>
      <c r="B1783" s="71"/>
      <c r="C1783" s="71"/>
      <c r="D1783" s="71"/>
      <c r="E1783" s="71"/>
      <c r="F1783" s="71"/>
      <c r="G1783" s="71"/>
      <c r="H1783" s="71"/>
    </row>
    <row r="1784" spans="1:20" ht="11.1" customHeight="1" x14ac:dyDescent="0.25">
      <c r="O1784" s="59" t="s">
        <v>313</v>
      </c>
      <c r="P1784" s="62">
        <v>2016.36</v>
      </c>
      <c r="R1784" s="62">
        <v>403.27</v>
      </c>
      <c r="S1784" s="61">
        <v>0</v>
      </c>
      <c r="T1784" s="62">
        <v>0</v>
      </c>
    </row>
    <row r="1785" spans="1:20" ht="11.1" customHeight="1" x14ac:dyDescent="0.25">
      <c r="A1785" s="56">
        <v>108781</v>
      </c>
      <c r="B1785" s="72">
        <v>46034</v>
      </c>
      <c r="C1785" s="68">
        <v>46034</v>
      </c>
      <c r="D1785" s="58" t="s">
        <v>1694</v>
      </c>
      <c r="E1785" s="59" t="s">
        <v>352</v>
      </c>
      <c r="F1785" s="56">
        <v>36</v>
      </c>
      <c r="G1785" s="73">
        <v>915</v>
      </c>
      <c r="H1785" s="74" t="s">
        <v>1695</v>
      </c>
      <c r="I1785" s="59" t="s">
        <v>1696</v>
      </c>
      <c r="J1785" s="59" t="s">
        <v>1697</v>
      </c>
      <c r="K1785" s="69">
        <v>5403</v>
      </c>
      <c r="L1785" s="56">
        <v>207</v>
      </c>
      <c r="M1785" s="59" t="s">
        <v>26</v>
      </c>
      <c r="N1785" s="61">
        <v>1026.56</v>
      </c>
      <c r="O1785" s="59" t="s">
        <v>313</v>
      </c>
      <c r="P1785" s="62">
        <v>959.4</v>
      </c>
      <c r="Q1785" s="63">
        <v>20</v>
      </c>
      <c r="R1785" s="62">
        <v>191.88</v>
      </c>
      <c r="S1785" s="61">
        <v>0</v>
      </c>
      <c r="T1785" s="62">
        <v>67.16</v>
      </c>
    </row>
    <row r="1786" spans="1:20" ht="11.1" customHeight="1" x14ac:dyDescent="0.25">
      <c r="O1786" s="59" t="s">
        <v>436</v>
      </c>
      <c r="P1786" s="62">
        <v>1295.19</v>
      </c>
      <c r="Q1786" s="63">
        <v>20</v>
      </c>
      <c r="R1786" s="62">
        <v>67.16</v>
      </c>
      <c r="S1786" s="61">
        <v>0</v>
      </c>
      <c r="T1786" s="62">
        <v>0</v>
      </c>
    </row>
    <row r="1787" spans="1:20" ht="11.85" customHeight="1" x14ac:dyDescent="0.25">
      <c r="A1787" s="71" t="s">
        <v>620</v>
      </c>
      <c r="B1787" s="71"/>
      <c r="C1787" s="71"/>
      <c r="D1787" s="71"/>
      <c r="E1787" s="71"/>
      <c r="F1787" s="71"/>
      <c r="G1787" s="71"/>
      <c r="H1787" s="71"/>
    </row>
    <row r="1788" spans="1:20" ht="11.1" customHeight="1" x14ac:dyDescent="0.25">
      <c r="O1788" s="59" t="s">
        <v>313</v>
      </c>
      <c r="P1788" s="62">
        <v>959.4</v>
      </c>
      <c r="R1788" s="62">
        <v>191.88</v>
      </c>
      <c r="S1788" s="61">
        <v>0</v>
      </c>
      <c r="T1788" s="62">
        <v>67.16</v>
      </c>
    </row>
    <row r="1789" spans="1:20" ht="11.1" customHeight="1" x14ac:dyDescent="0.25">
      <c r="O1789" s="59" t="s">
        <v>436</v>
      </c>
      <c r="P1789" s="62">
        <v>1295.19</v>
      </c>
      <c r="R1789" s="62">
        <v>67.16</v>
      </c>
      <c r="S1789" s="61">
        <v>0</v>
      </c>
      <c r="T1789" s="62">
        <v>0</v>
      </c>
    </row>
    <row r="1790" spans="1:20" ht="11.1" customHeight="1" x14ac:dyDescent="0.25">
      <c r="A1790" s="56">
        <v>109182</v>
      </c>
      <c r="B1790" s="72">
        <v>46043</v>
      </c>
      <c r="C1790" s="68">
        <v>46043</v>
      </c>
      <c r="D1790" s="58" t="s">
        <v>1698</v>
      </c>
      <c r="E1790" s="59" t="s">
        <v>352</v>
      </c>
      <c r="F1790" s="56">
        <v>36</v>
      </c>
      <c r="G1790" s="73">
        <v>59</v>
      </c>
      <c r="H1790" s="74" t="s">
        <v>1699</v>
      </c>
      <c r="I1790" s="59" t="s">
        <v>1700</v>
      </c>
      <c r="J1790" s="59" t="s">
        <v>1701</v>
      </c>
      <c r="K1790" s="69">
        <v>5102</v>
      </c>
      <c r="L1790" s="56">
        <v>205</v>
      </c>
      <c r="M1790" s="59" t="s">
        <v>26</v>
      </c>
      <c r="N1790" s="61">
        <v>501.6</v>
      </c>
      <c r="O1790" s="59" t="s">
        <v>313</v>
      </c>
      <c r="P1790" s="62">
        <v>501.6</v>
      </c>
      <c r="Q1790" s="63">
        <v>20</v>
      </c>
      <c r="R1790" s="62">
        <v>100.32</v>
      </c>
      <c r="S1790" s="61">
        <v>0</v>
      </c>
      <c r="T1790" s="62">
        <v>0</v>
      </c>
    </row>
    <row r="1791" spans="1:20" ht="11.1" customHeight="1" x14ac:dyDescent="0.25">
      <c r="A1791" s="56">
        <v>109183</v>
      </c>
      <c r="B1791" s="72">
        <v>46043</v>
      </c>
      <c r="C1791" s="68">
        <v>46043</v>
      </c>
      <c r="D1791" s="58" t="s">
        <v>1698</v>
      </c>
      <c r="E1791" s="59" t="s">
        <v>352</v>
      </c>
      <c r="F1791" s="56">
        <v>36</v>
      </c>
      <c r="G1791" s="73">
        <v>59</v>
      </c>
      <c r="H1791" s="74" t="s">
        <v>1699</v>
      </c>
      <c r="I1791" s="59" t="s">
        <v>1700</v>
      </c>
      <c r="J1791" s="59" t="s">
        <v>1701</v>
      </c>
      <c r="K1791" s="69">
        <v>5405</v>
      </c>
      <c r="L1791" s="56">
        <v>206</v>
      </c>
      <c r="M1791" s="59" t="s">
        <v>26</v>
      </c>
      <c r="N1791" s="61">
        <v>360.75</v>
      </c>
      <c r="O1791" s="59" t="s">
        <v>313</v>
      </c>
      <c r="P1791" s="62">
        <v>0</v>
      </c>
      <c r="Q1791" s="63">
        <v>0</v>
      </c>
      <c r="R1791" s="62">
        <v>0</v>
      </c>
      <c r="S1791" s="61">
        <v>0</v>
      </c>
      <c r="T1791" s="62">
        <v>360.75</v>
      </c>
    </row>
    <row r="1792" spans="1:20" ht="11.85" customHeight="1" x14ac:dyDescent="0.25">
      <c r="A1792" s="71" t="s">
        <v>620</v>
      </c>
      <c r="B1792" s="71"/>
      <c r="C1792" s="71"/>
      <c r="D1792" s="71"/>
      <c r="E1792" s="71"/>
      <c r="F1792" s="71"/>
      <c r="G1792" s="71"/>
      <c r="H1792" s="71"/>
    </row>
    <row r="1793" spans="1:20" ht="11.1" customHeight="1" x14ac:dyDescent="0.25">
      <c r="O1793" s="59" t="s">
        <v>313</v>
      </c>
      <c r="P1793" s="62">
        <v>501.6</v>
      </c>
      <c r="R1793" s="62">
        <v>100.32</v>
      </c>
      <c r="S1793" s="61">
        <v>0</v>
      </c>
      <c r="T1793" s="62">
        <v>360.75</v>
      </c>
    </row>
    <row r="1794" spans="1:20" ht="11.1" customHeight="1" x14ac:dyDescent="0.25">
      <c r="A1794" s="56">
        <v>109027</v>
      </c>
      <c r="B1794" s="72">
        <v>46038</v>
      </c>
      <c r="C1794" s="68">
        <v>46038</v>
      </c>
      <c r="D1794" s="58" t="s">
        <v>1702</v>
      </c>
      <c r="E1794" s="59" t="s">
        <v>352</v>
      </c>
      <c r="F1794" s="56">
        <v>36</v>
      </c>
      <c r="G1794" s="73">
        <v>816</v>
      </c>
      <c r="H1794" s="74" t="s">
        <v>1703</v>
      </c>
      <c r="I1794" s="59" t="s">
        <v>1704</v>
      </c>
      <c r="J1794" s="59" t="s">
        <v>1705</v>
      </c>
      <c r="K1794" s="69">
        <v>5102</v>
      </c>
      <c r="L1794" s="56">
        <v>205</v>
      </c>
      <c r="M1794" s="59" t="s">
        <v>26</v>
      </c>
      <c r="N1794" s="61">
        <v>208.69</v>
      </c>
      <c r="O1794" s="59" t="s">
        <v>313</v>
      </c>
      <c r="P1794" s="62">
        <v>208.69</v>
      </c>
      <c r="Q1794" s="63">
        <v>20</v>
      </c>
      <c r="R1794" s="62">
        <v>41.74</v>
      </c>
      <c r="S1794" s="61">
        <v>0</v>
      </c>
      <c r="T1794" s="62">
        <v>0</v>
      </c>
    </row>
    <row r="1795" spans="1:20" ht="11.1" customHeight="1" x14ac:dyDescent="0.25">
      <c r="A1795" s="56">
        <v>109028</v>
      </c>
      <c r="B1795" s="72">
        <v>46038</v>
      </c>
      <c r="C1795" s="68">
        <v>46038</v>
      </c>
      <c r="D1795" s="58" t="s">
        <v>1702</v>
      </c>
      <c r="E1795" s="59" t="s">
        <v>352</v>
      </c>
      <c r="F1795" s="56">
        <v>36</v>
      </c>
      <c r="G1795" s="73">
        <v>816</v>
      </c>
      <c r="H1795" s="74" t="s">
        <v>1703</v>
      </c>
      <c r="I1795" s="59" t="s">
        <v>1704</v>
      </c>
      <c r="J1795" s="59" t="s">
        <v>1705</v>
      </c>
      <c r="K1795" s="69">
        <v>5403</v>
      </c>
      <c r="L1795" s="56">
        <v>207</v>
      </c>
      <c r="M1795" s="59" t="s">
        <v>26</v>
      </c>
      <c r="N1795" s="61">
        <v>85.91</v>
      </c>
      <c r="O1795" s="59" t="s">
        <v>313</v>
      </c>
      <c r="P1795" s="62">
        <v>85.91</v>
      </c>
      <c r="Q1795" s="63">
        <v>20</v>
      </c>
      <c r="R1795" s="62">
        <v>17.18</v>
      </c>
      <c r="S1795" s="61">
        <v>0</v>
      </c>
      <c r="T1795" s="62">
        <v>0</v>
      </c>
    </row>
    <row r="1796" spans="1:20" ht="11.85" customHeight="1" x14ac:dyDescent="0.25">
      <c r="A1796" s="71" t="s">
        <v>620</v>
      </c>
      <c r="B1796" s="71"/>
      <c r="C1796" s="71"/>
      <c r="D1796" s="71"/>
      <c r="E1796" s="71"/>
      <c r="F1796" s="71"/>
      <c r="G1796" s="71"/>
      <c r="H1796" s="71"/>
    </row>
    <row r="1797" spans="1:20" ht="11.1" customHeight="1" x14ac:dyDescent="0.25">
      <c r="O1797" s="59" t="s">
        <v>313</v>
      </c>
      <c r="P1797" s="62">
        <v>294.60000000000002</v>
      </c>
      <c r="R1797" s="62">
        <v>58.92</v>
      </c>
      <c r="S1797" s="61">
        <v>0</v>
      </c>
      <c r="T1797" s="62">
        <v>0</v>
      </c>
    </row>
    <row r="1798" spans="1:20" ht="11.1" customHeight="1" x14ac:dyDescent="0.25">
      <c r="A1798" s="56">
        <v>108414</v>
      </c>
      <c r="B1798" s="72">
        <v>46024</v>
      </c>
      <c r="C1798" s="68">
        <v>46024</v>
      </c>
      <c r="D1798" s="58" t="s">
        <v>1706</v>
      </c>
      <c r="E1798" s="59" t="s">
        <v>352</v>
      </c>
      <c r="F1798" s="56">
        <v>36</v>
      </c>
      <c r="G1798" s="73">
        <v>5</v>
      </c>
      <c r="H1798" s="74" t="s">
        <v>1707</v>
      </c>
      <c r="I1798" s="59" t="s">
        <v>1708</v>
      </c>
      <c r="J1798" s="59" t="s">
        <v>1709</v>
      </c>
      <c r="K1798" s="69">
        <v>5102</v>
      </c>
      <c r="L1798" s="56">
        <v>205</v>
      </c>
      <c r="M1798" s="59" t="s">
        <v>26</v>
      </c>
      <c r="N1798" s="61">
        <v>417.04</v>
      </c>
      <c r="O1798" s="59" t="s">
        <v>313</v>
      </c>
      <c r="P1798" s="62">
        <v>417.04</v>
      </c>
      <c r="Q1798" s="63">
        <v>20</v>
      </c>
      <c r="R1798" s="62">
        <v>83.4</v>
      </c>
      <c r="S1798" s="61">
        <v>0</v>
      </c>
      <c r="T1798" s="62">
        <v>0</v>
      </c>
    </row>
    <row r="1799" spans="1:20" ht="11.1" customHeight="1" x14ac:dyDescent="0.25">
      <c r="A1799" s="56">
        <v>108431</v>
      </c>
      <c r="B1799" s="72">
        <v>46027</v>
      </c>
      <c r="C1799" s="68">
        <v>46027</v>
      </c>
      <c r="D1799" s="58" t="s">
        <v>1710</v>
      </c>
      <c r="E1799" s="59" t="s">
        <v>352</v>
      </c>
      <c r="F1799" s="56">
        <v>36</v>
      </c>
      <c r="G1799" s="73">
        <v>5</v>
      </c>
      <c r="H1799" s="74" t="s">
        <v>1707</v>
      </c>
      <c r="I1799" s="59" t="s">
        <v>1708</v>
      </c>
      <c r="J1799" s="59" t="s">
        <v>1709</v>
      </c>
      <c r="K1799" s="69">
        <v>5102</v>
      </c>
      <c r="L1799" s="56">
        <v>205</v>
      </c>
      <c r="M1799" s="59" t="s">
        <v>26</v>
      </c>
      <c r="N1799" s="61">
        <v>306.45</v>
      </c>
      <c r="O1799" s="59" t="s">
        <v>313</v>
      </c>
      <c r="P1799" s="62">
        <v>306.45</v>
      </c>
      <c r="Q1799" s="63">
        <v>20</v>
      </c>
      <c r="R1799" s="62">
        <v>61.29</v>
      </c>
      <c r="S1799" s="61">
        <v>0</v>
      </c>
      <c r="T1799" s="62">
        <v>0</v>
      </c>
    </row>
    <row r="1800" spans="1:20" ht="11.1" customHeight="1" x14ac:dyDescent="0.25">
      <c r="A1800" s="56">
        <v>108432</v>
      </c>
      <c r="B1800" s="72">
        <v>46027</v>
      </c>
      <c r="C1800" s="68">
        <v>46027</v>
      </c>
      <c r="D1800" s="58" t="s">
        <v>1710</v>
      </c>
      <c r="E1800" s="59" t="s">
        <v>352</v>
      </c>
      <c r="F1800" s="56">
        <v>36</v>
      </c>
      <c r="G1800" s="73">
        <v>5</v>
      </c>
      <c r="H1800" s="74" t="s">
        <v>1707</v>
      </c>
      <c r="I1800" s="59" t="s">
        <v>1708</v>
      </c>
      <c r="J1800" s="59" t="s">
        <v>1709</v>
      </c>
      <c r="K1800" s="69">
        <v>5403</v>
      </c>
      <c r="L1800" s="56">
        <v>207</v>
      </c>
      <c r="M1800" s="59" t="s">
        <v>26</v>
      </c>
      <c r="N1800" s="61">
        <v>254.9</v>
      </c>
      <c r="O1800" s="59" t="s">
        <v>313</v>
      </c>
      <c r="P1800" s="62">
        <v>238.22</v>
      </c>
      <c r="Q1800" s="63">
        <v>20</v>
      </c>
      <c r="R1800" s="62">
        <v>47.64</v>
      </c>
      <c r="S1800" s="61">
        <v>0</v>
      </c>
      <c r="T1800" s="62">
        <v>16.68</v>
      </c>
    </row>
    <row r="1801" spans="1:20" ht="11.1" customHeight="1" x14ac:dyDescent="0.25">
      <c r="O1801" s="59" t="s">
        <v>436</v>
      </c>
      <c r="P1801" s="62">
        <v>321.60000000000002</v>
      </c>
      <c r="Q1801" s="63">
        <v>20</v>
      </c>
      <c r="R1801" s="62">
        <v>16.68</v>
      </c>
      <c r="S1801" s="61">
        <v>0</v>
      </c>
      <c r="T1801" s="62">
        <v>0</v>
      </c>
    </row>
    <row r="1802" spans="1:20" ht="11.1" customHeight="1" x14ac:dyDescent="0.25">
      <c r="A1802" s="56">
        <v>108437</v>
      </c>
      <c r="B1802" s="72">
        <v>46027</v>
      </c>
      <c r="C1802" s="68">
        <v>46027</v>
      </c>
      <c r="D1802" s="58" t="s">
        <v>1711</v>
      </c>
      <c r="E1802" s="59" t="s">
        <v>352</v>
      </c>
      <c r="F1802" s="56">
        <v>36</v>
      </c>
      <c r="G1802" s="73">
        <v>5</v>
      </c>
      <c r="H1802" s="74" t="s">
        <v>1707</v>
      </c>
      <c r="I1802" s="59" t="s">
        <v>1708</v>
      </c>
      <c r="J1802" s="59" t="s">
        <v>1709</v>
      </c>
      <c r="K1802" s="69">
        <v>5102</v>
      </c>
      <c r="L1802" s="56">
        <v>205</v>
      </c>
      <c r="M1802" s="59" t="s">
        <v>26</v>
      </c>
      <c r="N1802" s="61">
        <v>196.82</v>
      </c>
      <c r="O1802" s="59" t="s">
        <v>313</v>
      </c>
      <c r="P1802" s="62">
        <v>196.82</v>
      </c>
      <c r="Q1802" s="63">
        <v>20</v>
      </c>
      <c r="R1802" s="62">
        <v>39.369999999999997</v>
      </c>
      <c r="S1802" s="61">
        <v>0</v>
      </c>
      <c r="T1802" s="62">
        <v>0</v>
      </c>
    </row>
    <row r="1803" spans="1:20" ht="11.1" customHeight="1" x14ac:dyDescent="0.25">
      <c r="A1803" s="56">
        <v>108438</v>
      </c>
      <c r="B1803" s="72">
        <v>46027</v>
      </c>
      <c r="C1803" s="68">
        <v>46027</v>
      </c>
      <c r="D1803" s="58" t="s">
        <v>1712</v>
      </c>
      <c r="E1803" s="59" t="s">
        <v>352</v>
      </c>
      <c r="F1803" s="56">
        <v>36</v>
      </c>
      <c r="G1803" s="73">
        <v>5</v>
      </c>
      <c r="H1803" s="74" t="s">
        <v>1707</v>
      </c>
      <c r="I1803" s="59" t="s">
        <v>1708</v>
      </c>
      <c r="J1803" s="59" t="s">
        <v>1709</v>
      </c>
      <c r="K1803" s="69">
        <v>5102</v>
      </c>
      <c r="L1803" s="56">
        <v>205</v>
      </c>
      <c r="M1803" s="59" t="s">
        <v>26</v>
      </c>
      <c r="N1803" s="61">
        <v>348.19</v>
      </c>
      <c r="O1803" s="59" t="s">
        <v>313</v>
      </c>
      <c r="P1803" s="62">
        <v>348.19</v>
      </c>
      <c r="Q1803" s="63">
        <v>20</v>
      </c>
      <c r="R1803" s="62">
        <v>69.64</v>
      </c>
      <c r="S1803" s="61">
        <v>0</v>
      </c>
      <c r="T1803" s="62">
        <v>0</v>
      </c>
    </row>
    <row r="1804" spans="1:20" ht="11.1" customHeight="1" x14ac:dyDescent="0.25">
      <c r="A1804" s="56">
        <v>108503</v>
      </c>
      <c r="B1804" s="72">
        <v>46028</v>
      </c>
      <c r="C1804" s="68">
        <v>46028</v>
      </c>
      <c r="D1804" s="58" t="s">
        <v>1713</v>
      </c>
      <c r="E1804" s="59" t="s">
        <v>352</v>
      </c>
      <c r="F1804" s="56">
        <v>36</v>
      </c>
      <c r="G1804" s="73">
        <v>5</v>
      </c>
      <c r="H1804" s="74" t="s">
        <v>1707</v>
      </c>
      <c r="I1804" s="59" t="s">
        <v>1708</v>
      </c>
      <c r="J1804" s="59" t="s">
        <v>1709</v>
      </c>
      <c r="K1804" s="69">
        <v>5102</v>
      </c>
      <c r="L1804" s="56">
        <v>205</v>
      </c>
      <c r="M1804" s="59" t="s">
        <v>26</v>
      </c>
      <c r="N1804" s="61">
        <v>289.08</v>
      </c>
      <c r="O1804" s="59" t="s">
        <v>313</v>
      </c>
      <c r="P1804" s="62">
        <v>289.08</v>
      </c>
      <c r="Q1804" s="63">
        <v>20</v>
      </c>
      <c r="R1804" s="62">
        <v>57.82</v>
      </c>
      <c r="S1804" s="61">
        <v>0</v>
      </c>
      <c r="T1804" s="62">
        <v>0</v>
      </c>
    </row>
    <row r="1805" spans="1:20" ht="11.1" customHeight="1" x14ac:dyDescent="0.25">
      <c r="A1805" s="56">
        <v>108504</v>
      </c>
      <c r="B1805" s="72">
        <v>46028</v>
      </c>
      <c r="C1805" s="68">
        <v>46028</v>
      </c>
      <c r="D1805" s="58" t="s">
        <v>1713</v>
      </c>
      <c r="E1805" s="59" t="s">
        <v>352</v>
      </c>
      <c r="F1805" s="56">
        <v>36</v>
      </c>
      <c r="G1805" s="73">
        <v>5</v>
      </c>
      <c r="H1805" s="74" t="s">
        <v>1707</v>
      </c>
      <c r="I1805" s="59" t="s">
        <v>1708</v>
      </c>
      <c r="J1805" s="59" t="s">
        <v>1709</v>
      </c>
      <c r="K1805" s="69">
        <v>5403</v>
      </c>
      <c r="L1805" s="56">
        <v>207</v>
      </c>
      <c r="M1805" s="59" t="s">
        <v>26</v>
      </c>
      <c r="N1805" s="61">
        <v>339.71</v>
      </c>
      <c r="O1805" s="59" t="s">
        <v>313</v>
      </c>
      <c r="P1805" s="62">
        <v>317.48</v>
      </c>
      <c r="Q1805" s="63">
        <v>20</v>
      </c>
      <c r="R1805" s="62">
        <v>63.49</v>
      </c>
      <c r="S1805" s="61">
        <v>0</v>
      </c>
      <c r="T1805" s="62">
        <v>22.23</v>
      </c>
    </row>
    <row r="1806" spans="1:20" ht="11.1" customHeight="1" x14ac:dyDescent="0.25">
      <c r="O1806" s="59" t="s">
        <v>436</v>
      </c>
      <c r="P1806" s="62">
        <v>428.6</v>
      </c>
      <c r="Q1806" s="63">
        <v>20</v>
      </c>
      <c r="R1806" s="62">
        <v>22.23</v>
      </c>
      <c r="S1806" s="61">
        <v>0</v>
      </c>
      <c r="T1806" s="62">
        <v>0</v>
      </c>
    </row>
    <row r="1807" spans="1:20" ht="11.1" customHeight="1" x14ac:dyDescent="0.25">
      <c r="A1807" s="56">
        <v>108515</v>
      </c>
      <c r="B1807" s="72">
        <v>46028</v>
      </c>
      <c r="C1807" s="68">
        <v>46028</v>
      </c>
      <c r="D1807" s="58" t="s">
        <v>1714</v>
      </c>
      <c r="E1807" s="59" t="s">
        <v>352</v>
      </c>
      <c r="F1807" s="56">
        <v>36</v>
      </c>
      <c r="G1807" s="73">
        <v>5</v>
      </c>
      <c r="H1807" s="74" t="s">
        <v>1707</v>
      </c>
      <c r="I1807" s="59" t="s">
        <v>1708</v>
      </c>
      <c r="J1807" s="59" t="s">
        <v>1709</v>
      </c>
      <c r="K1807" s="69">
        <v>5102</v>
      </c>
      <c r="L1807" s="56">
        <v>205</v>
      </c>
      <c r="M1807" s="59" t="s">
        <v>26</v>
      </c>
      <c r="N1807" s="61">
        <v>5327.32</v>
      </c>
      <c r="O1807" s="59" t="s">
        <v>313</v>
      </c>
      <c r="P1807" s="62">
        <v>5327.32</v>
      </c>
      <c r="Q1807" s="63">
        <v>20</v>
      </c>
      <c r="R1807" s="62">
        <v>1065.46</v>
      </c>
      <c r="S1807" s="61">
        <v>0</v>
      </c>
      <c r="T1807" s="62">
        <v>0</v>
      </c>
    </row>
    <row r="1808" spans="1:20" ht="11.1" customHeight="1" x14ac:dyDescent="0.25">
      <c r="A1808" s="56">
        <v>108517</v>
      </c>
      <c r="B1808" s="72">
        <v>46028</v>
      </c>
      <c r="C1808" s="68">
        <v>46028</v>
      </c>
      <c r="D1808" s="58" t="s">
        <v>1715</v>
      </c>
      <c r="E1808" s="59" t="s">
        <v>352</v>
      </c>
      <c r="F1808" s="56">
        <v>36</v>
      </c>
      <c r="G1808" s="73">
        <v>5</v>
      </c>
      <c r="H1808" s="74" t="s">
        <v>1707</v>
      </c>
      <c r="I1808" s="59" t="s">
        <v>1708</v>
      </c>
      <c r="J1808" s="59" t="s">
        <v>1709</v>
      </c>
      <c r="K1808" s="69">
        <v>5102</v>
      </c>
      <c r="L1808" s="56">
        <v>205</v>
      </c>
      <c r="M1808" s="59" t="s">
        <v>26</v>
      </c>
      <c r="N1808" s="61">
        <v>1011.75</v>
      </c>
      <c r="O1808" s="59" t="s">
        <v>313</v>
      </c>
      <c r="P1808" s="62">
        <v>1011.75</v>
      </c>
      <c r="Q1808" s="63">
        <v>20</v>
      </c>
      <c r="R1808" s="62">
        <v>202.35</v>
      </c>
      <c r="S1808" s="61">
        <v>0</v>
      </c>
      <c r="T1808" s="62">
        <v>0</v>
      </c>
    </row>
    <row r="1809" spans="1:20" ht="11.1" customHeight="1" x14ac:dyDescent="0.25">
      <c r="A1809" s="56">
        <v>108518</v>
      </c>
      <c r="B1809" s="72">
        <v>46028</v>
      </c>
      <c r="C1809" s="68">
        <v>46028</v>
      </c>
      <c r="D1809" s="58" t="s">
        <v>1716</v>
      </c>
      <c r="E1809" s="59" t="s">
        <v>352</v>
      </c>
      <c r="F1809" s="56">
        <v>36</v>
      </c>
      <c r="G1809" s="73">
        <v>5</v>
      </c>
      <c r="H1809" s="74" t="s">
        <v>1707</v>
      </c>
      <c r="I1809" s="59" t="s">
        <v>1708</v>
      </c>
      <c r="J1809" s="59" t="s">
        <v>1709</v>
      </c>
      <c r="K1809" s="69">
        <v>5102</v>
      </c>
      <c r="L1809" s="56">
        <v>205</v>
      </c>
      <c r="M1809" s="59" t="s">
        <v>26</v>
      </c>
      <c r="N1809" s="61">
        <v>149.22</v>
      </c>
      <c r="O1809" s="59" t="s">
        <v>313</v>
      </c>
      <c r="P1809" s="62">
        <v>149.22</v>
      </c>
      <c r="Q1809" s="63">
        <v>20</v>
      </c>
      <c r="R1809" s="62">
        <v>29.84</v>
      </c>
      <c r="S1809" s="61">
        <v>0</v>
      </c>
      <c r="T1809" s="62">
        <v>0</v>
      </c>
    </row>
    <row r="1810" spans="1:20" ht="11.1" customHeight="1" x14ac:dyDescent="0.25">
      <c r="A1810" s="56">
        <v>108547</v>
      </c>
      <c r="B1810" s="72">
        <v>46028</v>
      </c>
      <c r="C1810" s="68">
        <v>46028</v>
      </c>
      <c r="D1810" s="58" t="s">
        <v>1717</v>
      </c>
      <c r="E1810" s="59" t="s">
        <v>352</v>
      </c>
      <c r="F1810" s="56">
        <v>36</v>
      </c>
      <c r="G1810" s="73">
        <v>5</v>
      </c>
      <c r="H1810" s="74" t="s">
        <v>1707</v>
      </c>
      <c r="I1810" s="59" t="s">
        <v>1708</v>
      </c>
      <c r="J1810" s="59" t="s">
        <v>1709</v>
      </c>
      <c r="K1810" s="69">
        <v>5102</v>
      </c>
      <c r="L1810" s="56">
        <v>205</v>
      </c>
      <c r="M1810" s="59" t="s">
        <v>26</v>
      </c>
      <c r="N1810" s="61">
        <v>258.87</v>
      </c>
      <c r="O1810" s="59" t="s">
        <v>313</v>
      </c>
      <c r="P1810" s="62">
        <v>258.87</v>
      </c>
      <c r="Q1810" s="63">
        <v>20</v>
      </c>
      <c r="R1810" s="62">
        <v>51.77</v>
      </c>
      <c r="S1810" s="61">
        <v>0</v>
      </c>
      <c r="T1810" s="62">
        <v>0</v>
      </c>
    </row>
    <row r="1811" spans="1:20" ht="11.1" customHeight="1" x14ac:dyDescent="0.25">
      <c r="A1811" s="56">
        <v>108603</v>
      </c>
      <c r="B1811" s="72">
        <v>46029</v>
      </c>
      <c r="C1811" s="68">
        <v>46029</v>
      </c>
      <c r="D1811" s="58" t="s">
        <v>1718</v>
      </c>
      <c r="E1811" s="59" t="s">
        <v>352</v>
      </c>
      <c r="F1811" s="56">
        <v>36</v>
      </c>
      <c r="G1811" s="73">
        <v>5</v>
      </c>
      <c r="H1811" s="74" t="s">
        <v>1707</v>
      </c>
      <c r="I1811" s="59" t="s">
        <v>1708</v>
      </c>
      <c r="J1811" s="59" t="s">
        <v>1709</v>
      </c>
      <c r="K1811" s="69">
        <v>5102</v>
      </c>
      <c r="L1811" s="56">
        <v>205</v>
      </c>
      <c r="M1811" s="59" t="s">
        <v>26</v>
      </c>
      <c r="N1811" s="61">
        <v>1266.07</v>
      </c>
      <c r="O1811" s="59" t="s">
        <v>313</v>
      </c>
      <c r="P1811" s="62">
        <v>1266.07</v>
      </c>
      <c r="Q1811" s="63">
        <v>20</v>
      </c>
      <c r="R1811" s="62">
        <v>253.22</v>
      </c>
      <c r="S1811" s="61">
        <v>0</v>
      </c>
      <c r="T1811" s="62">
        <v>0</v>
      </c>
    </row>
    <row r="1812" spans="1:20" ht="11.1" customHeight="1" x14ac:dyDescent="0.25">
      <c r="A1812" s="56">
        <v>108604</v>
      </c>
      <c r="B1812" s="72">
        <v>46029</v>
      </c>
      <c r="C1812" s="68">
        <v>46029</v>
      </c>
      <c r="D1812" s="58" t="s">
        <v>1718</v>
      </c>
      <c r="E1812" s="59" t="s">
        <v>352</v>
      </c>
      <c r="F1812" s="56">
        <v>36</v>
      </c>
      <c r="G1812" s="73">
        <v>5</v>
      </c>
      <c r="H1812" s="74" t="s">
        <v>1707</v>
      </c>
      <c r="I1812" s="59" t="s">
        <v>1708</v>
      </c>
      <c r="J1812" s="59" t="s">
        <v>1709</v>
      </c>
      <c r="K1812" s="69">
        <v>5403</v>
      </c>
      <c r="L1812" s="56">
        <v>207</v>
      </c>
      <c r="M1812" s="59" t="s">
        <v>26</v>
      </c>
      <c r="N1812" s="61">
        <v>49.35</v>
      </c>
      <c r="O1812" s="59" t="s">
        <v>313</v>
      </c>
      <c r="P1812" s="62">
        <v>46.12</v>
      </c>
      <c r="Q1812" s="63">
        <v>20</v>
      </c>
      <c r="R1812" s="62">
        <v>9.2200000000000006</v>
      </c>
      <c r="S1812" s="61">
        <v>0</v>
      </c>
      <c r="T1812" s="62">
        <v>3.23</v>
      </c>
    </row>
    <row r="1813" spans="1:20" ht="11.1" customHeight="1" x14ac:dyDescent="0.25">
      <c r="O1813" s="59" t="s">
        <v>436</v>
      </c>
      <c r="P1813" s="62">
        <v>62.26</v>
      </c>
      <c r="Q1813" s="63">
        <v>20</v>
      </c>
      <c r="R1813" s="62">
        <v>3.23</v>
      </c>
      <c r="S1813" s="61">
        <v>0</v>
      </c>
      <c r="T1813" s="62">
        <v>0</v>
      </c>
    </row>
    <row r="1814" spans="1:20" ht="11.1" customHeight="1" x14ac:dyDescent="0.25">
      <c r="A1814" s="56">
        <v>108605</v>
      </c>
      <c r="B1814" s="72">
        <v>46029</v>
      </c>
      <c r="C1814" s="68">
        <v>46029</v>
      </c>
      <c r="D1814" s="58" t="s">
        <v>1719</v>
      </c>
      <c r="E1814" s="59" t="s">
        <v>352</v>
      </c>
      <c r="F1814" s="56">
        <v>36</v>
      </c>
      <c r="G1814" s="73">
        <v>5</v>
      </c>
      <c r="H1814" s="74" t="s">
        <v>1707</v>
      </c>
      <c r="I1814" s="59" t="s">
        <v>1708</v>
      </c>
      <c r="J1814" s="59" t="s">
        <v>1709</v>
      </c>
      <c r="K1814" s="69">
        <v>5102</v>
      </c>
      <c r="L1814" s="56">
        <v>205</v>
      </c>
      <c r="M1814" s="59" t="s">
        <v>26</v>
      </c>
      <c r="N1814" s="61">
        <v>141.84</v>
      </c>
      <c r="O1814" s="59" t="s">
        <v>313</v>
      </c>
      <c r="P1814" s="62">
        <v>141.84</v>
      </c>
      <c r="Q1814" s="63">
        <v>20</v>
      </c>
      <c r="R1814" s="62">
        <v>28.37</v>
      </c>
      <c r="S1814" s="61">
        <v>0</v>
      </c>
      <c r="T1814" s="62">
        <v>0</v>
      </c>
    </row>
    <row r="1815" spans="1:20" ht="11.1" customHeight="1" x14ac:dyDescent="0.25">
      <c r="A1815" s="56">
        <v>108606</v>
      </c>
      <c r="B1815" s="72">
        <v>46029</v>
      </c>
      <c r="C1815" s="68">
        <v>46029</v>
      </c>
      <c r="D1815" s="58" t="s">
        <v>1720</v>
      </c>
      <c r="E1815" s="59" t="s">
        <v>352</v>
      </c>
      <c r="F1815" s="56">
        <v>36</v>
      </c>
      <c r="G1815" s="73">
        <v>5</v>
      </c>
      <c r="H1815" s="74" t="s">
        <v>1707</v>
      </c>
      <c r="I1815" s="59" t="s">
        <v>1708</v>
      </c>
      <c r="J1815" s="59" t="s">
        <v>1709</v>
      </c>
      <c r="K1815" s="69">
        <v>5102</v>
      </c>
      <c r="L1815" s="56">
        <v>205</v>
      </c>
      <c r="M1815" s="59" t="s">
        <v>26</v>
      </c>
      <c r="N1815" s="61">
        <v>228.36</v>
      </c>
      <c r="O1815" s="59" t="s">
        <v>313</v>
      </c>
      <c r="P1815" s="62">
        <v>228.36</v>
      </c>
      <c r="Q1815" s="63">
        <v>20</v>
      </c>
      <c r="R1815" s="62">
        <v>45.67</v>
      </c>
      <c r="S1815" s="61">
        <v>0</v>
      </c>
      <c r="T1815" s="62">
        <v>0</v>
      </c>
    </row>
    <row r="1816" spans="1:20" ht="11.1" customHeight="1" x14ac:dyDescent="0.25">
      <c r="A1816" s="56">
        <v>108624</v>
      </c>
      <c r="B1816" s="72">
        <v>46030</v>
      </c>
      <c r="C1816" s="68">
        <v>46030</v>
      </c>
      <c r="D1816" s="58" t="s">
        <v>1721</v>
      </c>
      <c r="E1816" s="59" t="s">
        <v>352</v>
      </c>
      <c r="F1816" s="56">
        <v>36</v>
      </c>
      <c r="G1816" s="73">
        <v>5</v>
      </c>
      <c r="H1816" s="74" t="s">
        <v>1707</v>
      </c>
      <c r="I1816" s="59" t="s">
        <v>1708</v>
      </c>
      <c r="J1816" s="59" t="s">
        <v>1709</v>
      </c>
      <c r="K1816" s="69">
        <v>5102</v>
      </c>
      <c r="L1816" s="56">
        <v>205</v>
      </c>
      <c r="M1816" s="59" t="s">
        <v>26</v>
      </c>
      <c r="N1816" s="61">
        <v>9520.69</v>
      </c>
      <c r="O1816" s="59" t="s">
        <v>313</v>
      </c>
      <c r="P1816" s="62">
        <v>9520.69</v>
      </c>
      <c r="Q1816" s="63">
        <v>20</v>
      </c>
      <c r="R1816" s="62">
        <v>1904.15</v>
      </c>
      <c r="S1816" s="61">
        <v>0</v>
      </c>
      <c r="T1816" s="62">
        <v>0</v>
      </c>
    </row>
    <row r="1817" spans="1:20" ht="11.1" customHeight="1" x14ac:dyDescent="0.25">
      <c r="A1817" s="56">
        <v>108625</v>
      </c>
      <c r="B1817" s="72">
        <v>46030</v>
      </c>
      <c r="C1817" s="68">
        <v>46030</v>
      </c>
      <c r="D1817" s="58" t="s">
        <v>1721</v>
      </c>
      <c r="E1817" s="59" t="s">
        <v>352</v>
      </c>
      <c r="F1817" s="56">
        <v>36</v>
      </c>
      <c r="G1817" s="73">
        <v>5</v>
      </c>
      <c r="H1817" s="74" t="s">
        <v>1707</v>
      </c>
      <c r="I1817" s="59" t="s">
        <v>1708</v>
      </c>
      <c r="J1817" s="59" t="s">
        <v>1709</v>
      </c>
      <c r="K1817" s="69">
        <v>5403</v>
      </c>
      <c r="L1817" s="56">
        <v>207</v>
      </c>
      <c r="M1817" s="59" t="s">
        <v>26</v>
      </c>
      <c r="N1817" s="61">
        <v>7924.48</v>
      </c>
      <c r="O1817" s="59" t="s">
        <v>313</v>
      </c>
      <c r="P1817" s="62">
        <v>7406.04</v>
      </c>
      <c r="Q1817" s="63">
        <v>20</v>
      </c>
      <c r="R1817" s="62">
        <v>1481.2</v>
      </c>
      <c r="S1817" s="61">
        <v>0</v>
      </c>
      <c r="T1817" s="62">
        <v>518.44000000000005</v>
      </c>
    </row>
    <row r="1818" spans="1:20" ht="11.1" customHeight="1" x14ac:dyDescent="0.25">
      <c r="O1818" s="59" t="s">
        <v>436</v>
      </c>
      <c r="P1818" s="62">
        <v>9998.17</v>
      </c>
      <c r="Q1818" s="63">
        <v>20</v>
      </c>
      <c r="R1818" s="62">
        <v>518.44000000000005</v>
      </c>
      <c r="S1818" s="61">
        <v>0</v>
      </c>
      <c r="T1818" s="62">
        <v>0</v>
      </c>
    </row>
    <row r="1819" spans="1:20" ht="11.1" customHeight="1" x14ac:dyDescent="0.25">
      <c r="A1819" s="56">
        <v>108632</v>
      </c>
      <c r="B1819" s="72">
        <v>46030</v>
      </c>
      <c r="C1819" s="68">
        <v>46030</v>
      </c>
      <c r="D1819" s="58" t="s">
        <v>1722</v>
      </c>
      <c r="E1819" s="59" t="s">
        <v>352</v>
      </c>
      <c r="F1819" s="56">
        <v>36</v>
      </c>
      <c r="G1819" s="73">
        <v>5</v>
      </c>
      <c r="H1819" s="74" t="s">
        <v>1707</v>
      </c>
      <c r="I1819" s="59" t="s">
        <v>1708</v>
      </c>
      <c r="J1819" s="59" t="s">
        <v>1709</v>
      </c>
      <c r="K1819" s="69">
        <v>5102</v>
      </c>
      <c r="L1819" s="56">
        <v>205</v>
      </c>
      <c r="M1819" s="59" t="s">
        <v>26</v>
      </c>
      <c r="N1819" s="61">
        <v>1298.9000000000001</v>
      </c>
      <c r="O1819" s="59" t="s">
        <v>313</v>
      </c>
      <c r="P1819" s="62">
        <v>1298.9000000000001</v>
      </c>
      <c r="Q1819" s="63">
        <v>20</v>
      </c>
      <c r="R1819" s="62">
        <v>259.77999999999997</v>
      </c>
      <c r="S1819" s="61">
        <v>0</v>
      </c>
      <c r="T1819" s="62">
        <v>0</v>
      </c>
    </row>
    <row r="1820" spans="1:20" ht="11.1" customHeight="1" x14ac:dyDescent="0.25">
      <c r="A1820" s="56">
        <v>108633</v>
      </c>
      <c r="B1820" s="72">
        <v>46030</v>
      </c>
      <c r="C1820" s="68">
        <v>46030</v>
      </c>
      <c r="D1820" s="58" t="s">
        <v>1723</v>
      </c>
      <c r="E1820" s="59" t="s">
        <v>352</v>
      </c>
      <c r="F1820" s="56">
        <v>36</v>
      </c>
      <c r="G1820" s="73">
        <v>5</v>
      </c>
      <c r="H1820" s="74" t="s">
        <v>1707</v>
      </c>
      <c r="I1820" s="59" t="s">
        <v>1708</v>
      </c>
      <c r="J1820" s="59" t="s">
        <v>1709</v>
      </c>
      <c r="K1820" s="69">
        <v>5102</v>
      </c>
      <c r="L1820" s="56">
        <v>205</v>
      </c>
      <c r="M1820" s="59" t="s">
        <v>26</v>
      </c>
      <c r="N1820" s="61">
        <v>532.77</v>
      </c>
      <c r="O1820" s="59" t="s">
        <v>313</v>
      </c>
      <c r="P1820" s="62">
        <v>532.77</v>
      </c>
      <c r="Q1820" s="63">
        <v>20</v>
      </c>
      <c r="R1820" s="62">
        <v>106.55</v>
      </c>
      <c r="S1820" s="61">
        <v>0</v>
      </c>
      <c r="T1820" s="62">
        <v>0</v>
      </c>
    </row>
    <row r="1821" spans="1:20" ht="11.1" customHeight="1" x14ac:dyDescent="0.25">
      <c r="A1821" s="56">
        <v>108634</v>
      </c>
      <c r="B1821" s="72">
        <v>46030</v>
      </c>
      <c r="C1821" s="68">
        <v>46030</v>
      </c>
      <c r="D1821" s="58" t="s">
        <v>1723</v>
      </c>
      <c r="E1821" s="59" t="s">
        <v>352</v>
      </c>
      <c r="F1821" s="56">
        <v>36</v>
      </c>
      <c r="G1821" s="73">
        <v>5</v>
      </c>
      <c r="H1821" s="74" t="s">
        <v>1707</v>
      </c>
      <c r="I1821" s="59" t="s">
        <v>1708</v>
      </c>
      <c r="J1821" s="59" t="s">
        <v>1709</v>
      </c>
      <c r="K1821" s="69">
        <v>5403</v>
      </c>
      <c r="L1821" s="56">
        <v>207</v>
      </c>
      <c r="M1821" s="59" t="s">
        <v>26</v>
      </c>
      <c r="N1821" s="61">
        <v>817.21</v>
      </c>
      <c r="O1821" s="59" t="s">
        <v>313</v>
      </c>
      <c r="P1821" s="62">
        <v>763.75</v>
      </c>
      <c r="Q1821" s="63">
        <v>20</v>
      </c>
      <c r="R1821" s="62">
        <v>152.75</v>
      </c>
      <c r="S1821" s="61">
        <v>0</v>
      </c>
      <c r="T1821" s="62">
        <v>53.46</v>
      </c>
    </row>
    <row r="1822" spans="1:20" ht="11.1" customHeight="1" x14ac:dyDescent="0.25">
      <c r="O1822" s="59" t="s">
        <v>436</v>
      </c>
      <c r="P1822" s="62">
        <v>1031.05</v>
      </c>
      <c r="Q1822" s="63">
        <v>20</v>
      </c>
      <c r="R1822" s="62">
        <v>53.46</v>
      </c>
      <c r="S1822" s="61">
        <v>0</v>
      </c>
      <c r="T1822" s="62">
        <v>0</v>
      </c>
    </row>
    <row r="1823" spans="1:20" ht="11.1" customHeight="1" x14ac:dyDescent="0.25">
      <c r="A1823" s="56">
        <v>108664</v>
      </c>
      <c r="B1823" s="72">
        <v>46030</v>
      </c>
      <c r="C1823" s="68">
        <v>46030</v>
      </c>
      <c r="D1823" s="58" t="s">
        <v>1724</v>
      </c>
      <c r="E1823" s="59" t="s">
        <v>352</v>
      </c>
      <c r="F1823" s="56">
        <v>36</v>
      </c>
      <c r="G1823" s="73">
        <v>5</v>
      </c>
      <c r="H1823" s="74" t="s">
        <v>1707</v>
      </c>
      <c r="I1823" s="59" t="s">
        <v>1708</v>
      </c>
      <c r="J1823" s="59" t="s">
        <v>1709</v>
      </c>
      <c r="K1823" s="69">
        <v>5102</v>
      </c>
      <c r="L1823" s="56">
        <v>205</v>
      </c>
      <c r="M1823" s="59" t="s">
        <v>26</v>
      </c>
      <c r="N1823" s="61">
        <v>770.1</v>
      </c>
      <c r="O1823" s="59" t="s">
        <v>313</v>
      </c>
      <c r="P1823" s="62">
        <v>770.1</v>
      </c>
      <c r="Q1823" s="63">
        <v>20</v>
      </c>
      <c r="R1823" s="62">
        <v>154.02000000000001</v>
      </c>
      <c r="S1823" s="61">
        <v>0</v>
      </c>
      <c r="T1823" s="62">
        <v>0</v>
      </c>
    </row>
    <row r="1824" spans="1:20" ht="11.1" customHeight="1" x14ac:dyDescent="0.25">
      <c r="A1824" s="56">
        <v>108690</v>
      </c>
      <c r="B1824" s="72">
        <v>46031</v>
      </c>
      <c r="C1824" s="68">
        <v>46031</v>
      </c>
      <c r="D1824" s="58" t="s">
        <v>1725</v>
      </c>
      <c r="E1824" s="59" t="s">
        <v>352</v>
      </c>
      <c r="F1824" s="56">
        <v>36</v>
      </c>
      <c r="G1824" s="73">
        <v>5</v>
      </c>
      <c r="H1824" s="74" t="s">
        <v>1707</v>
      </c>
      <c r="I1824" s="59" t="s">
        <v>1708</v>
      </c>
      <c r="J1824" s="59" t="s">
        <v>1709</v>
      </c>
      <c r="K1824" s="69">
        <v>5102</v>
      </c>
      <c r="L1824" s="56">
        <v>205</v>
      </c>
      <c r="M1824" s="59" t="s">
        <v>26</v>
      </c>
      <c r="N1824" s="61">
        <v>135.15</v>
      </c>
      <c r="O1824" s="59" t="s">
        <v>313</v>
      </c>
      <c r="P1824" s="62">
        <v>135.15</v>
      </c>
      <c r="Q1824" s="63">
        <v>20</v>
      </c>
      <c r="R1824" s="62">
        <v>27.03</v>
      </c>
      <c r="S1824" s="61">
        <v>0</v>
      </c>
      <c r="T1824" s="62">
        <v>0</v>
      </c>
    </row>
    <row r="1825" spans="1:20" ht="11.1" customHeight="1" x14ac:dyDescent="0.25">
      <c r="A1825" s="56">
        <v>108691</v>
      </c>
      <c r="B1825" s="72">
        <v>46031</v>
      </c>
      <c r="C1825" s="68">
        <v>46031</v>
      </c>
      <c r="D1825" s="58" t="s">
        <v>1726</v>
      </c>
      <c r="E1825" s="59" t="s">
        <v>352</v>
      </c>
      <c r="F1825" s="56">
        <v>36</v>
      </c>
      <c r="G1825" s="73">
        <v>5</v>
      </c>
      <c r="H1825" s="74" t="s">
        <v>1707</v>
      </c>
      <c r="I1825" s="59" t="s">
        <v>1708</v>
      </c>
      <c r="J1825" s="59" t="s">
        <v>1709</v>
      </c>
      <c r="K1825" s="69">
        <v>5102</v>
      </c>
      <c r="L1825" s="56">
        <v>205</v>
      </c>
      <c r="M1825" s="59" t="s">
        <v>26</v>
      </c>
      <c r="N1825" s="61">
        <v>30.48</v>
      </c>
      <c r="O1825" s="59" t="s">
        <v>313</v>
      </c>
      <c r="P1825" s="62">
        <v>30.48</v>
      </c>
      <c r="Q1825" s="63">
        <v>20</v>
      </c>
      <c r="R1825" s="62">
        <v>6.1</v>
      </c>
      <c r="S1825" s="61">
        <v>0</v>
      </c>
      <c r="T1825" s="62">
        <v>0</v>
      </c>
    </row>
    <row r="1826" spans="1:20" ht="11.1" customHeight="1" x14ac:dyDescent="0.25">
      <c r="A1826" s="56">
        <v>108729</v>
      </c>
      <c r="B1826" s="72">
        <v>46031</v>
      </c>
      <c r="C1826" s="68">
        <v>46031</v>
      </c>
      <c r="D1826" s="58" t="s">
        <v>1727</v>
      </c>
      <c r="E1826" s="59" t="s">
        <v>352</v>
      </c>
      <c r="F1826" s="56">
        <v>36</v>
      </c>
      <c r="G1826" s="73">
        <v>5</v>
      </c>
      <c r="H1826" s="74" t="s">
        <v>1707</v>
      </c>
      <c r="I1826" s="59" t="s">
        <v>1708</v>
      </c>
      <c r="J1826" s="59" t="s">
        <v>1709</v>
      </c>
      <c r="K1826" s="69">
        <v>5102</v>
      </c>
      <c r="L1826" s="56">
        <v>205</v>
      </c>
      <c r="M1826" s="59" t="s">
        <v>26</v>
      </c>
      <c r="N1826" s="61">
        <v>1320.7</v>
      </c>
      <c r="O1826" s="59" t="s">
        <v>313</v>
      </c>
      <c r="P1826" s="62">
        <v>1320.7</v>
      </c>
      <c r="Q1826" s="63">
        <v>20</v>
      </c>
      <c r="R1826" s="62">
        <v>264.14</v>
      </c>
      <c r="S1826" s="61">
        <v>0</v>
      </c>
      <c r="T1826" s="62">
        <v>0</v>
      </c>
    </row>
    <row r="1827" spans="1:20" ht="11.1" customHeight="1" x14ac:dyDescent="0.25">
      <c r="A1827" s="56">
        <v>108730</v>
      </c>
      <c r="B1827" s="72">
        <v>46031</v>
      </c>
      <c r="C1827" s="68">
        <v>46031</v>
      </c>
      <c r="D1827" s="58" t="s">
        <v>1727</v>
      </c>
      <c r="E1827" s="59" t="s">
        <v>352</v>
      </c>
      <c r="F1827" s="56">
        <v>36</v>
      </c>
      <c r="G1827" s="73">
        <v>5</v>
      </c>
      <c r="H1827" s="74" t="s">
        <v>1707</v>
      </c>
      <c r="I1827" s="59" t="s">
        <v>1708</v>
      </c>
      <c r="J1827" s="59" t="s">
        <v>1709</v>
      </c>
      <c r="K1827" s="69">
        <v>5403</v>
      </c>
      <c r="L1827" s="56">
        <v>207</v>
      </c>
      <c r="M1827" s="59" t="s">
        <v>26</v>
      </c>
      <c r="N1827" s="61">
        <v>587.77</v>
      </c>
      <c r="O1827" s="59" t="s">
        <v>313</v>
      </c>
      <c r="P1827" s="62">
        <v>549.30999999999995</v>
      </c>
      <c r="Q1827" s="63">
        <v>20</v>
      </c>
      <c r="R1827" s="62">
        <v>109.86</v>
      </c>
      <c r="S1827" s="61">
        <v>0</v>
      </c>
      <c r="T1827" s="62">
        <v>38.46</v>
      </c>
    </row>
    <row r="1828" spans="1:20" ht="11.1" customHeight="1" x14ac:dyDescent="0.25">
      <c r="O1828" s="59" t="s">
        <v>436</v>
      </c>
      <c r="P1828" s="62">
        <v>741.57</v>
      </c>
      <c r="Q1828" s="63">
        <v>20</v>
      </c>
      <c r="R1828" s="62">
        <v>38.46</v>
      </c>
      <c r="S1828" s="61">
        <v>0</v>
      </c>
      <c r="T1828" s="62">
        <v>0</v>
      </c>
    </row>
    <row r="1829" spans="1:20" ht="11.1" customHeight="1" x14ac:dyDescent="0.25">
      <c r="A1829" s="56">
        <v>108764</v>
      </c>
      <c r="B1829" s="72">
        <v>46034</v>
      </c>
      <c r="C1829" s="68">
        <v>46034</v>
      </c>
      <c r="D1829" s="58" t="s">
        <v>1728</v>
      </c>
      <c r="E1829" s="59" t="s">
        <v>352</v>
      </c>
      <c r="F1829" s="56">
        <v>36</v>
      </c>
      <c r="G1829" s="73">
        <v>5</v>
      </c>
      <c r="H1829" s="74" t="s">
        <v>1707</v>
      </c>
      <c r="I1829" s="59" t="s">
        <v>1708</v>
      </c>
      <c r="J1829" s="59" t="s">
        <v>1709</v>
      </c>
      <c r="K1829" s="69">
        <v>5102</v>
      </c>
      <c r="L1829" s="56">
        <v>205</v>
      </c>
      <c r="M1829" s="59" t="s">
        <v>26</v>
      </c>
      <c r="N1829" s="61">
        <v>304</v>
      </c>
      <c r="O1829" s="59" t="s">
        <v>313</v>
      </c>
      <c r="P1829" s="62">
        <v>304</v>
      </c>
      <c r="Q1829" s="63">
        <v>20</v>
      </c>
      <c r="R1829" s="62">
        <v>60.8</v>
      </c>
      <c r="S1829" s="61">
        <v>0</v>
      </c>
      <c r="T1829" s="62">
        <v>0</v>
      </c>
    </row>
    <row r="1830" spans="1:20" ht="11.1" customHeight="1" x14ac:dyDescent="0.25">
      <c r="A1830" s="56">
        <v>108765</v>
      </c>
      <c r="B1830" s="72">
        <v>46034</v>
      </c>
      <c r="C1830" s="68">
        <v>46034</v>
      </c>
      <c r="D1830" s="58" t="s">
        <v>1728</v>
      </c>
      <c r="E1830" s="59" t="s">
        <v>352</v>
      </c>
      <c r="F1830" s="56">
        <v>36</v>
      </c>
      <c r="G1830" s="73">
        <v>5</v>
      </c>
      <c r="H1830" s="74" t="s">
        <v>1707</v>
      </c>
      <c r="I1830" s="59" t="s">
        <v>1708</v>
      </c>
      <c r="J1830" s="59" t="s">
        <v>1709</v>
      </c>
      <c r="K1830" s="69">
        <v>5403</v>
      </c>
      <c r="L1830" s="56">
        <v>207</v>
      </c>
      <c r="M1830" s="59" t="s">
        <v>26</v>
      </c>
      <c r="N1830" s="61">
        <v>1721.07</v>
      </c>
      <c r="O1830" s="59" t="s">
        <v>313</v>
      </c>
      <c r="P1830" s="62">
        <v>1608.48</v>
      </c>
      <c r="Q1830" s="63">
        <v>20</v>
      </c>
      <c r="R1830" s="62">
        <v>321.7</v>
      </c>
      <c r="S1830" s="61">
        <v>0</v>
      </c>
      <c r="T1830" s="62">
        <v>112.59</v>
      </c>
    </row>
    <row r="1831" spans="1:20" ht="11.1" customHeight="1" x14ac:dyDescent="0.25">
      <c r="O1831" s="59" t="s">
        <v>436</v>
      </c>
      <c r="P1831" s="62">
        <v>2171.4499999999998</v>
      </c>
      <c r="Q1831" s="63">
        <v>20</v>
      </c>
      <c r="R1831" s="62">
        <v>112.59</v>
      </c>
      <c r="S1831" s="61">
        <v>0</v>
      </c>
      <c r="T1831" s="62">
        <v>0</v>
      </c>
    </row>
    <row r="1832" spans="1:20" ht="11.1" customHeight="1" x14ac:dyDescent="0.25">
      <c r="A1832" s="56">
        <v>108773</v>
      </c>
      <c r="B1832" s="72">
        <v>46034</v>
      </c>
      <c r="C1832" s="68">
        <v>46034</v>
      </c>
      <c r="D1832" s="58" t="s">
        <v>1729</v>
      </c>
      <c r="E1832" s="59" t="s">
        <v>352</v>
      </c>
      <c r="F1832" s="56">
        <v>36</v>
      </c>
      <c r="G1832" s="73">
        <v>5</v>
      </c>
      <c r="H1832" s="74" t="s">
        <v>1707</v>
      </c>
      <c r="I1832" s="59" t="s">
        <v>1708</v>
      </c>
      <c r="J1832" s="59" t="s">
        <v>1709</v>
      </c>
      <c r="K1832" s="69">
        <v>5403</v>
      </c>
      <c r="L1832" s="56">
        <v>207</v>
      </c>
      <c r="M1832" s="59" t="s">
        <v>26</v>
      </c>
      <c r="N1832" s="61">
        <v>52.03</v>
      </c>
      <c r="O1832" s="59" t="s">
        <v>313</v>
      </c>
      <c r="P1832" s="62">
        <v>48.62</v>
      </c>
      <c r="Q1832" s="63">
        <v>20</v>
      </c>
      <c r="R1832" s="62">
        <v>9.7200000000000006</v>
      </c>
      <c r="S1832" s="61">
        <v>0</v>
      </c>
      <c r="T1832" s="62">
        <v>3.41</v>
      </c>
    </row>
    <row r="1833" spans="1:20" ht="11.1" customHeight="1" x14ac:dyDescent="0.25">
      <c r="O1833" s="59" t="s">
        <v>436</v>
      </c>
      <c r="P1833" s="62">
        <v>65.64</v>
      </c>
      <c r="Q1833" s="63">
        <v>20</v>
      </c>
      <c r="R1833" s="62">
        <v>3.41</v>
      </c>
      <c r="S1833" s="61">
        <v>0</v>
      </c>
      <c r="T1833" s="62">
        <v>0</v>
      </c>
    </row>
    <row r="1834" spans="1:20" ht="11.1" customHeight="1" x14ac:dyDescent="0.25">
      <c r="A1834" s="56">
        <v>108774</v>
      </c>
      <c r="B1834" s="72">
        <v>46034</v>
      </c>
      <c r="C1834" s="68">
        <v>46034</v>
      </c>
      <c r="D1834" s="58" t="s">
        <v>1730</v>
      </c>
      <c r="E1834" s="59" t="s">
        <v>352</v>
      </c>
      <c r="F1834" s="56">
        <v>36</v>
      </c>
      <c r="G1834" s="73">
        <v>5</v>
      </c>
      <c r="H1834" s="74" t="s">
        <v>1707</v>
      </c>
      <c r="I1834" s="59" t="s">
        <v>1708</v>
      </c>
      <c r="J1834" s="59" t="s">
        <v>1709</v>
      </c>
      <c r="K1834" s="69">
        <v>5403</v>
      </c>
      <c r="L1834" s="56">
        <v>207</v>
      </c>
      <c r="M1834" s="59" t="s">
        <v>26</v>
      </c>
      <c r="N1834" s="61">
        <v>87.44</v>
      </c>
      <c r="O1834" s="59" t="s">
        <v>313</v>
      </c>
      <c r="P1834" s="62">
        <v>81.72</v>
      </c>
      <c r="Q1834" s="63">
        <v>20</v>
      </c>
      <c r="R1834" s="62">
        <v>16.34</v>
      </c>
      <c r="S1834" s="61">
        <v>0</v>
      </c>
      <c r="T1834" s="62">
        <v>5.72</v>
      </c>
    </row>
    <row r="1835" spans="1:20" ht="11.1" customHeight="1" x14ac:dyDescent="0.25">
      <c r="O1835" s="59" t="s">
        <v>436</v>
      </c>
      <c r="P1835" s="62">
        <v>110.32</v>
      </c>
      <c r="Q1835" s="63">
        <v>20</v>
      </c>
      <c r="R1835" s="62">
        <v>5.72</v>
      </c>
      <c r="S1835" s="61">
        <v>0</v>
      </c>
      <c r="T1835" s="62">
        <v>0</v>
      </c>
    </row>
    <row r="1836" spans="1:20" ht="11.1" customHeight="1" x14ac:dyDescent="0.25">
      <c r="A1836" s="56">
        <v>108789</v>
      </c>
      <c r="B1836" s="72">
        <v>46034</v>
      </c>
      <c r="C1836" s="68">
        <v>46034</v>
      </c>
      <c r="D1836" s="58" t="s">
        <v>1731</v>
      </c>
      <c r="E1836" s="59" t="s">
        <v>352</v>
      </c>
      <c r="F1836" s="56">
        <v>36</v>
      </c>
      <c r="G1836" s="73">
        <v>5</v>
      </c>
      <c r="H1836" s="74" t="s">
        <v>1707</v>
      </c>
      <c r="I1836" s="59" t="s">
        <v>1708</v>
      </c>
      <c r="J1836" s="59" t="s">
        <v>1709</v>
      </c>
      <c r="K1836" s="69">
        <v>5102</v>
      </c>
      <c r="L1836" s="56">
        <v>205</v>
      </c>
      <c r="M1836" s="59" t="s">
        <v>26</v>
      </c>
      <c r="N1836" s="61">
        <v>362.49</v>
      </c>
      <c r="O1836" s="59" t="s">
        <v>313</v>
      </c>
      <c r="P1836" s="62">
        <v>362.49</v>
      </c>
      <c r="Q1836" s="63">
        <v>20</v>
      </c>
      <c r="R1836" s="62">
        <v>72.5</v>
      </c>
      <c r="S1836" s="61">
        <v>0</v>
      </c>
      <c r="T1836" s="62">
        <v>0</v>
      </c>
    </row>
    <row r="1837" spans="1:20" ht="11.1" customHeight="1" x14ac:dyDescent="0.25">
      <c r="A1837" s="56">
        <v>108790</v>
      </c>
      <c r="B1837" s="72">
        <v>46034</v>
      </c>
      <c r="C1837" s="68">
        <v>46034</v>
      </c>
      <c r="D1837" s="58" t="s">
        <v>1731</v>
      </c>
      <c r="E1837" s="59" t="s">
        <v>352</v>
      </c>
      <c r="F1837" s="56">
        <v>36</v>
      </c>
      <c r="G1837" s="73">
        <v>5</v>
      </c>
      <c r="H1837" s="74" t="s">
        <v>1707</v>
      </c>
      <c r="I1837" s="59" t="s">
        <v>1708</v>
      </c>
      <c r="J1837" s="59" t="s">
        <v>1709</v>
      </c>
      <c r="K1837" s="69">
        <v>5405</v>
      </c>
      <c r="L1837" s="56">
        <v>206</v>
      </c>
      <c r="M1837" s="59" t="s">
        <v>26</v>
      </c>
      <c r="N1837" s="61">
        <v>558.6</v>
      </c>
      <c r="O1837" s="59" t="s">
        <v>313</v>
      </c>
      <c r="P1837" s="62">
        <v>0</v>
      </c>
      <c r="Q1837" s="63">
        <v>0</v>
      </c>
      <c r="R1837" s="62">
        <v>0</v>
      </c>
      <c r="S1837" s="61">
        <v>0</v>
      </c>
      <c r="T1837" s="62">
        <v>558.6</v>
      </c>
    </row>
    <row r="1838" spans="1:20" ht="11.1" customHeight="1" x14ac:dyDescent="0.25">
      <c r="A1838" s="56">
        <v>108791</v>
      </c>
      <c r="B1838" s="72">
        <v>46034</v>
      </c>
      <c r="C1838" s="68">
        <v>46034</v>
      </c>
      <c r="D1838" s="58" t="s">
        <v>1731</v>
      </c>
      <c r="E1838" s="59" t="s">
        <v>352</v>
      </c>
      <c r="F1838" s="56">
        <v>36</v>
      </c>
      <c r="G1838" s="73">
        <v>5</v>
      </c>
      <c r="H1838" s="74" t="s">
        <v>1707</v>
      </c>
      <c r="I1838" s="59" t="s">
        <v>1708</v>
      </c>
      <c r="J1838" s="59" t="s">
        <v>1709</v>
      </c>
      <c r="K1838" s="69">
        <v>5403</v>
      </c>
      <c r="L1838" s="56">
        <v>207</v>
      </c>
      <c r="M1838" s="59" t="s">
        <v>26</v>
      </c>
      <c r="N1838" s="61">
        <v>381.09</v>
      </c>
      <c r="O1838" s="59" t="s">
        <v>313</v>
      </c>
      <c r="P1838" s="62">
        <v>356.16</v>
      </c>
      <c r="Q1838" s="63">
        <v>20</v>
      </c>
      <c r="R1838" s="62">
        <v>71.23</v>
      </c>
      <c r="S1838" s="61">
        <v>0</v>
      </c>
      <c r="T1838" s="62">
        <v>24.93</v>
      </c>
    </row>
    <row r="1839" spans="1:20" ht="11.1" customHeight="1" x14ac:dyDescent="0.25">
      <c r="O1839" s="59" t="s">
        <v>436</v>
      </c>
      <c r="P1839" s="62">
        <v>480.82</v>
      </c>
      <c r="Q1839" s="63">
        <v>20</v>
      </c>
      <c r="R1839" s="62">
        <v>24.93</v>
      </c>
      <c r="S1839" s="61">
        <v>0</v>
      </c>
      <c r="T1839" s="62">
        <v>0</v>
      </c>
    </row>
    <row r="1840" spans="1:20" ht="11.1" customHeight="1" x14ac:dyDescent="0.25">
      <c r="A1840" s="56">
        <v>108805</v>
      </c>
      <c r="B1840" s="72">
        <v>46034</v>
      </c>
      <c r="C1840" s="68">
        <v>46034</v>
      </c>
      <c r="D1840" s="58" t="s">
        <v>1732</v>
      </c>
      <c r="E1840" s="59" t="s">
        <v>352</v>
      </c>
      <c r="F1840" s="56">
        <v>36</v>
      </c>
      <c r="G1840" s="73">
        <v>5</v>
      </c>
      <c r="H1840" s="74" t="s">
        <v>1707</v>
      </c>
      <c r="I1840" s="59" t="s">
        <v>1708</v>
      </c>
      <c r="J1840" s="59" t="s">
        <v>1709</v>
      </c>
      <c r="K1840" s="69">
        <v>5102</v>
      </c>
      <c r="L1840" s="56">
        <v>205</v>
      </c>
      <c r="M1840" s="59" t="s">
        <v>26</v>
      </c>
      <c r="N1840" s="61">
        <v>1298.9000000000001</v>
      </c>
      <c r="O1840" s="59" t="s">
        <v>313</v>
      </c>
      <c r="P1840" s="62">
        <v>1298.9000000000001</v>
      </c>
      <c r="Q1840" s="63">
        <v>20</v>
      </c>
      <c r="R1840" s="62">
        <v>259.77999999999997</v>
      </c>
      <c r="S1840" s="61">
        <v>0</v>
      </c>
      <c r="T1840" s="62">
        <v>0</v>
      </c>
    </row>
    <row r="1841" spans="1:20" ht="11.1" customHeight="1" x14ac:dyDescent="0.25">
      <c r="A1841" s="56">
        <v>108834</v>
      </c>
      <c r="B1841" s="72">
        <v>46035</v>
      </c>
      <c r="C1841" s="68">
        <v>46035</v>
      </c>
      <c r="D1841" s="58" t="s">
        <v>1733</v>
      </c>
      <c r="E1841" s="59" t="s">
        <v>352</v>
      </c>
      <c r="F1841" s="56">
        <v>36</v>
      </c>
      <c r="G1841" s="73">
        <v>5</v>
      </c>
      <c r="H1841" s="74" t="s">
        <v>1707</v>
      </c>
      <c r="I1841" s="59" t="s">
        <v>1708</v>
      </c>
      <c r="J1841" s="59" t="s">
        <v>1709</v>
      </c>
      <c r="K1841" s="69">
        <v>5102</v>
      </c>
      <c r="L1841" s="56">
        <v>205</v>
      </c>
      <c r="M1841" s="59" t="s">
        <v>26</v>
      </c>
      <c r="N1841" s="61">
        <v>465.12</v>
      </c>
      <c r="O1841" s="59" t="s">
        <v>313</v>
      </c>
      <c r="P1841" s="62">
        <v>465.12</v>
      </c>
      <c r="Q1841" s="63">
        <v>20</v>
      </c>
      <c r="R1841" s="62">
        <v>93.02</v>
      </c>
      <c r="S1841" s="61">
        <v>0</v>
      </c>
      <c r="T1841" s="62">
        <v>0</v>
      </c>
    </row>
    <row r="1842" spans="1:20" ht="11.1" customHeight="1" x14ac:dyDescent="0.25">
      <c r="A1842" s="56">
        <v>108835</v>
      </c>
      <c r="B1842" s="72">
        <v>46035</v>
      </c>
      <c r="C1842" s="68">
        <v>46035</v>
      </c>
      <c r="D1842" s="58" t="s">
        <v>1733</v>
      </c>
      <c r="E1842" s="59" t="s">
        <v>352</v>
      </c>
      <c r="F1842" s="56">
        <v>36</v>
      </c>
      <c r="G1842" s="73">
        <v>5</v>
      </c>
      <c r="H1842" s="74" t="s">
        <v>1707</v>
      </c>
      <c r="I1842" s="59" t="s">
        <v>1708</v>
      </c>
      <c r="J1842" s="59" t="s">
        <v>1709</v>
      </c>
      <c r="K1842" s="69">
        <v>5403</v>
      </c>
      <c r="L1842" s="56">
        <v>207</v>
      </c>
      <c r="M1842" s="59" t="s">
        <v>26</v>
      </c>
      <c r="N1842" s="61">
        <v>537.77</v>
      </c>
      <c r="O1842" s="59" t="s">
        <v>313</v>
      </c>
      <c r="P1842" s="62">
        <v>502.58</v>
      </c>
      <c r="Q1842" s="63">
        <v>20</v>
      </c>
      <c r="R1842" s="62">
        <v>100.51</v>
      </c>
      <c r="S1842" s="61">
        <v>0</v>
      </c>
      <c r="T1842" s="62">
        <v>35.19</v>
      </c>
    </row>
    <row r="1843" spans="1:20" ht="11.1" customHeight="1" x14ac:dyDescent="0.25">
      <c r="O1843" s="59" t="s">
        <v>436</v>
      </c>
      <c r="P1843" s="62">
        <v>678.48</v>
      </c>
      <c r="Q1843" s="63">
        <v>20</v>
      </c>
      <c r="R1843" s="62">
        <v>35.19</v>
      </c>
      <c r="S1843" s="61">
        <v>0</v>
      </c>
      <c r="T1843" s="62">
        <v>0</v>
      </c>
    </row>
    <row r="1844" spans="1:20" ht="11.1" customHeight="1" x14ac:dyDescent="0.25">
      <c r="A1844" s="56">
        <v>108860</v>
      </c>
      <c r="B1844" s="72">
        <v>46035</v>
      </c>
      <c r="C1844" s="68">
        <v>46035</v>
      </c>
      <c r="D1844" s="58" t="s">
        <v>1734</v>
      </c>
      <c r="E1844" s="59" t="s">
        <v>352</v>
      </c>
      <c r="F1844" s="56">
        <v>36</v>
      </c>
      <c r="G1844" s="73">
        <v>5</v>
      </c>
      <c r="H1844" s="74" t="s">
        <v>1707</v>
      </c>
      <c r="I1844" s="59" t="s">
        <v>1708</v>
      </c>
      <c r="J1844" s="59" t="s">
        <v>1709</v>
      </c>
      <c r="K1844" s="69">
        <v>5102</v>
      </c>
      <c r="L1844" s="56">
        <v>205</v>
      </c>
      <c r="M1844" s="59" t="s">
        <v>26</v>
      </c>
      <c r="N1844" s="61">
        <v>1575.26</v>
      </c>
      <c r="O1844" s="59" t="s">
        <v>313</v>
      </c>
      <c r="P1844" s="62">
        <v>1575.26</v>
      </c>
      <c r="Q1844" s="63">
        <v>20</v>
      </c>
      <c r="R1844" s="62">
        <v>315.05</v>
      </c>
      <c r="S1844" s="61">
        <v>0</v>
      </c>
      <c r="T1844" s="62">
        <v>0</v>
      </c>
    </row>
    <row r="1845" spans="1:20" ht="11.1" customHeight="1" x14ac:dyDescent="0.25">
      <c r="A1845" s="56">
        <v>108901</v>
      </c>
      <c r="B1845" s="72">
        <v>46036</v>
      </c>
      <c r="C1845" s="68">
        <v>46036</v>
      </c>
      <c r="D1845" s="58" t="s">
        <v>1735</v>
      </c>
      <c r="E1845" s="59" t="s">
        <v>352</v>
      </c>
      <c r="F1845" s="56">
        <v>36</v>
      </c>
      <c r="G1845" s="73">
        <v>5</v>
      </c>
      <c r="H1845" s="74" t="s">
        <v>1707</v>
      </c>
      <c r="I1845" s="59" t="s">
        <v>1708</v>
      </c>
      <c r="J1845" s="59" t="s">
        <v>1709</v>
      </c>
      <c r="K1845" s="69">
        <v>5102</v>
      </c>
      <c r="L1845" s="56">
        <v>205</v>
      </c>
      <c r="M1845" s="59" t="s">
        <v>26</v>
      </c>
      <c r="N1845" s="61">
        <v>408.69</v>
      </c>
      <c r="O1845" s="59" t="s">
        <v>313</v>
      </c>
      <c r="P1845" s="62">
        <v>408.69</v>
      </c>
      <c r="Q1845" s="63">
        <v>20</v>
      </c>
      <c r="R1845" s="62">
        <v>81.739999999999995</v>
      </c>
      <c r="S1845" s="61">
        <v>0</v>
      </c>
      <c r="T1845" s="62">
        <v>0</v>
      </c>
    </row>
    <row r="1846" spans="1:20" ht="11.1" customHeight="1" x14ac:dyDescent="0.25">
      <c r="A1846" s="56">
        <v>108902</v>
      </c>
      <c r="B1846" s="72">
        <v>46036</v>
      </c>
      <c r="C1846" s="68">
        <v>46036</v>
      </c>
      <c r="D1846" s="58" t="s">
        <v>1735</v>
      </c>
      <c r="E1846" s="59" t="s">
        <v>352</v>
      </c>
      <c r="F1846" s="56">
        <v>36</v>
      </c>
      <c r="G1846" s="73">
        <v>5</v>
      </c>
      <c r="H1846" s="74" t="s">
        <v>1707</v>
      </c>
      <c r="I1846" s="59" t="s">
        <v>1708</v>
      </c>
      <c r="J1846" s="59" t="s">
        <v>1709</v>
      </c>
      <c r="K1846" s="69">
        <v>5403</v>
      </c>
      <c r="L1846" s="56">
        <v>207</v>
      </c>
      <c r="M1846" s="59" t="s">
        <v>26</v>
      </c>
      <c r="N1846" s="61">
        <v>407.2</v>
      </c>
      <c r="O1846" s="59" t="s">
        <v>313</v>
      </c>
      <c r="P1846" s="62">
        <v>380.56</v>
      </c>
      <c r="Q1846" s="63">
        <v>20</v>
      </c>
      <c r="R1846" s="62">
        <v>76.11</v>
      </c>
      <c r="S1846" s="61">
        <v>0</v>
      </c>
      <c r="T1846" s="62">
        <v>26.64</v>
      </c>
    </row>
    <row r="1847" spans="1:20" ht="11.1" customHeight="1" x14ac:dyDescent="0.25">
      <c r="O1847" s="59" t="s">
        <v>436</v>
      </c>
      <c r="P1847" s="62">
        <v>513.75</v>
      </c>
      <c r="Q1847" s="63">
        <v>20</v>
      </c>
      <c r="R1847" s="62">
        <v>26.64</v>
      </c>
      <c r="S1847" s="61">
        <v>0</v>
      </c>
      <c r="T1847" s="62">
        <v>0</v>
      </c>
    </row>
    <row r="1848" spans="1:20" ht="11.1" customHeight="1" x14ac:dyDescent="0.25">
      <c r="A1848" s="56">
        <v>108925</v>
      </c>
      <c r="B1848" s="72">
        <v>46036</v>
      </c>
      <c r="C1848" s="68">
        <v>46036</v>
      </c>
      <c r="D1848" s="58" t="s">
        <v>1736</v>
      </c>
      <c r="E1848" s="59" t="s">
        <v>352</v>
      </c>
      <c r="F1848" s="56">
        <v>36</v>
      </c>
      <c r="G1848" s="73">
        <v>5</v>
      </c>
      <c r="H1848" s="74" t="s">
        <v>1707</v>
      </c>
      <c r="I1848" s="59" t="s">
        <v>1708</v>
      </c>
      <c r="J1848" s="59" t="s">
        <v>1709</v>
      </c>
      <c r="K1848" s="69">
        <v>5102</v>
      </c>
      <c r="L1848" s="56">
        <v>205</v>
      </c>
      <c r="M1848" s="59" t="s">
        <v>26</v>
      </c>
      <c r="N1848" s="61">
        <v>10125.219999999999</v>
      </c>
      <c r="O1848" s="59" t="s">
        <v>313</v>
      </c>
      <c r="P1848" s="62">
        <v>10125.219999999999</v>
      </c>
      <c r="Q1848" s="63">
        <v>20</v>
      </c>
      <c r="R1848" s="62">
        <v>2025.09</v>
      </c>
      <c r="S1848" s="61">
        <v>0</v>
      </c>
      <c r="T1848" s="62">
        <v>0</v>
      </c>
    </row>
    <row r="1849" spans="1:20" ht="11.1" customHeight="1" x14ac:dyDescent="0.25">
      <c r="A1849" s="56">
        <v>108926</v>
      </c>
      <c r="B1849" s="72">
        <v>46036</v>
      </c>
      <c r="C1849" s="68">
        <v>46036</v>
      </c>
      <c r="D1849" s="58" t="s">
        <v>1736</v>
      </c>
      <c r="E1849" s="59" t="s">
        <v>352</v>
      </c>
      <c r="F1849" s="56">
        <v>36</v>
      </c>
      <c r="G1849" s="73">
        <v>5</v>
      </c>
      <c r="H1849" s="74" t="s">
        <v>1707</v>
      </c>
      <c r="I1849" s="59" t="s">
        <v>1708</v>
      </c>
      <c r="J1849" s="59" t="s">
        <v>1709</v>
      </c>
      <c r="K1849" s="69">
        <v>5403</v>
      </c>
      <c r="L1849" s="56">
        <v>207</v>
      </c>
      <c r="M1849" s="59" t="s">
        <v>26</v>
      </c>
      <c r="N1849" s="61">
        <v>12577.55</v>
      </c>
      <c r="O1849" s="59" t="s">
        <v>313</v>
      </c>
      <c r="P1849" s="62">
        <v>11754.75</v>
      </c>
      <c r="Q1849" s="63">
        <v>20</v>
      </c>
      <c r="R1849" s="62">
        <v>2350.96</v>
      </c>
      <c r="S1849" s="61">
        <v>0</v>
      </c>
      <c r="T1849" s="62">
        <v>822.8</v>
      </c>
    </row>
    <row r="1850" spans="1:20" ht="11.1" customHeight="1" x14ac:dyDescent="0.25">
      <c r="O1850" s="59" t="s">
        <v>436</v>
      </c>
      <c r="P1850" s="62">
        <v>15868.93</v>
      </c>
      <c r="Q1850" s="63">
        <v>20</v>
      </c>
      <c r="R1850" s="62">
        <v>822.8</v>
      </c>
      <c r="S1850" s="61">
        <v>0</v>
      </c>
      <c r="T1850" s="62">
        <v>0</v>
      </c>
    </row>
    <row r="1851" spans="1:20" ht="11.1" customHeight="1" x14ac:dyDescent="0.25">
      <c r="A1851" s="56">
        <v>108927</v>
      </c>
      <c r="B1851" s="72">
        <v>46036</v>
      </c>
      <c r="C1851" s="68">
        <v>46036</v>
      </c>
      <c r="D1851" s="58" t="s">
        <v>1737</v>
      </c>
      <c r="E1851" s="59" t="s">
        <v>352</v>
      </c>
      <c r="F1851" s="56">
        <v>36</v>
      </c>
      <c r="G1851" s="73">
        <v>5</v>
      </c>
      <c r="H1851" s="74" t="s">
        <v>1707</v>
      </c>
      <c r="I1851" s="59" t="s">
        <v>1708</v>
      </c>
      <c r="J1851" s="59" t="s">
        <v>1709</v>
      </c>
      <c r="K1851" s="69">
        <v>5102</v>
      </c>
      <c r="L1851" s="56">
        <v>205</v>
      </c>
      <c r="M1851" s="59" t="s">
        <v>26</v>
      </c>
      <c r="N1851" s="61">
        <v>141.84</v>
      </c>
      <c r="O1851" s="59" t="s">
        <v>313</v>
      </c>
      <c r="P1851" s="62">
        <v>141.84</v>
      </c>
      <c r="Q1851" s="63">
        <v>20</v>
      </c>
      <c r="R1851" s="62">
        <v>28.37</v>
      </c>
      <c r="S1851" s="61">
        <v>0</v>
      </c>
      <c r="T1851" s="62">
        <v>0</v>
      </c>
    </row>
    <row r="1852" spans="1:20" ht="11.1" customHeight="1" x14ac:dyDescent="0.25">
      <c r="A1852" s="56">
        <v>108953</v>
      </c>
      <c r="B1852" s="72">
        <v>46037</v>
      </c>
      <c r="C1852" s="68">
        <v>46037</v>
      </c>
      <c r="D1852" s="58" t="s">
        <v>1738</v>
      </c>
      <c r="E1852" s="59" t="s">
        <v>352</v>
      </c>
      <c r="F1852" s="56">
        <v>36</v>
      </c>
      <c r="G1852" s="73">
        <v>5</v>
      </c>
      <c r="H1852" s="74" t="s">
        <v>1707</v>
      </c>
      <c r="I1852" s="59" t="s">
        <v>1708</v>
      </c>
      <c r="J1852" s="59" t="s">
        <v>1709</v>
      </c>
      <c r="K1852" s="69">
        <v>5102</v>
      </c>
      <c r="L1852" s="56">
        <v>205</v>
      </c>
      <c r="M1852" s="59" t="s">
        <v>26</v>
      </c>
      <c r="N1852" s="61">
        <v>309.45</v>
      </c>
      <c r="O1852" s="59" t="s">
        <v>313</v>
      </c>
      <c r="P1852" s="62">
        <v>309.45</v>
      </c>
      <c r="Q1852" s="63">
        <v>20</v>
      </c>
      <c r="R1852" s="62">
        <v>61.89</v>
      </c>
      <c r="S1852" s="61">
        <v>0</v>
      </c>
      <c r="T1852" s="62">
        <v>0</v>
      </c>
    </row>
    <row r="1853" spans="1:20" ht="11.1" customHeight="1" x14ac:dyDescent="0.25">
      <c r="A1853" s="56">
        <v>108954</v>
      </c>
      <c r="B1853" s="72">
        <v>46037</v>
      </c>
      <c r="C1853" s="68">
        <v>46037</v>
      </c>
      <c r="D1853" s="58" t="s">
        <v>1738</v>
      </c>
      <c r="E1853" s="59" t="s">
        <v>352</v>
      </c>
      <c r="F1853" s="56">
        <v>36</v>
      </c>
      <c r="G1853" s="73">
        <v>5</v>
      </c>
      <c r="H1853" s="74" t="s">
        <v>1707</v>
      </c>
      <c r="I1853" s="59" t="s">
        <v>1708</v>
      </c>
      <c r="J1853" s="59" t="s">
        <v>1709</v>
      </c>
      <c r="K1853" s="69">
        <v>5403</v>
      </c>
      <c r="L1853" s="56">
        <v>207</v>
      </c>
      <c r="M1853" s="59" t="s">
        <v>26</v>
      </c>
      <c r="N1853" s="61">
        <v>98.69</v>
      </c>
      <c r="O1853" s="59" t="s">
        <v>313</v>
      </c>
      <c r="P1853" s="62">
        <v>92.24</v>
      </c>
      <c r="Q1853" s="63">
        <v>20</v>
      </c>
      <c r="R1853" s="62">
        <v>18.45</v>
      </c>
      <c r="S1853" s="61">
        <v>0</v>
      </c>
      <c r="T1853" s="62">
        <v>6.45</v>
      </c>
    </row>
    <row r="1854" spans="1:20" ht="11.1" customHeight="1" x14ac:dyDescent="0.25">
      <c r="O1854" s="59" t="s">
        <v>436</v>
      </c>
      <c r="P1854" s="62">
        <v>124.52</v>
      </c>
      <c r="Q1854" s="63">
        <v>20</v>
      </c>
      <c r="R1854" s="62">
        <v>6.45</v>
      </c>
      <c r="S1854" s="61">
        <v>0</v>
      </c>
      <c r="T1854" s="62">
        <v>0</v>
      </c>
    </row>
    <row r="1855" spans="1:20" ht="11.1" customHeight="1" x14ac:dyDescent="0.25">
      <c r="A1855" s="56">
        <v>108971</v>
      </c>
      <c r="B1855" s="72">
        <v>46037</v>
      </c>
      <c r="C1855" s="68">
        <v>46037</v>
      </c>
      <c r="D1855" s="58" t="s">
        <v>1739</v>
      </c>
      <c r="E1855" s="59" t="s">
        <v>352</v>
      </c>
      <c r="F1855" s="56">
        <v>36</v>
      </c>
      <c r="G1855" s="73">
        <v>5</v>
      </c>
      <c r="H1855" s="74" t="s">
        <v>1707</v>
      </c>
      <c r="I1855" s="59" t="s">
        <v>1708</v>
      </c>
      <c r="J1855" s="59" t="s">
        <v>1709</v>
      </c>
      <c r="K1855" s="69">
        <v>5102</v>
      </c>
      <c r="L1855" s="56">
        <v>205</v>
      </c>
      <c r="M1855" s="59" t="s">
        <v>26</v>
      </c>
      <c r="N1855" s="61">
        <v>758.73</v>
      </c>
      <c r="O1855" s="59" t="s">
        <v>313</v>
      </c>
      <c r="P1855" s="62">
        <v>758.73</v>
      </c>
      <c r="Q1855" s="63">
        <v>20</v>
      </c>
      <c r="R1855" s="62">
        <v>151.75</v>
      </c>
      <c r="S1855" s="61">
        <v>0</v>
      </c>
      <c r="T1855" s="62">
        <v>0</v>
      </c>
    </row>
    <row r="1856" spans="1:20" ht="11.1" customHeight="1" x14ac:dyDescent="0.25">
      <c r="A1856" s="56">
        <v>109004</v>
      </c>
      <c r="B1856" s="72">
        <v>46037</v>
      </c>
      <c r="C1856" s="68">
        <v>46037</v>
      </c>
      <c r="D1856" s="58" t="s">
        <v>1740</v>
      </c>
      <c r="E1856" s="59" t="s">
        <v>352</v>
      </c>
      <c r="F1856" s="56">
        <v>36</v>
      </c>
      <c r="G1856" s="73">
        <v>5</v>
      </c>
      <c r="H1856" s="74" t="s">
        <v>1707</v>
      </c>
      <c r="I1856" s="59" t="s">
        <v>1708</v>
      </c>
      <c r="J1856" s="59" t="s">
        <v>1709</v>
      </c>
      <c r="K1856" s="69">
        <v>5102</v>
      </c>
      <c r="L1856" s="56">
        <v>205</v>
      </c>
      <c r="M1856" s="59" t="s">
        <v>26</v>
      </c>
      <c r="N1856" s="61">
        <v>1298.9000000000001</v>
      </c>
      <c r="O1856" s="59" t="s">
        <v>313</v>
      </c>
      <c r="P1856" s="62">
        <v>1298.9000000000001</v>
      </c>
      <c r="Q1856" s="63">
        <v>20</v>
      </c>
      <c r="R1856" s="62">
        <v>259.77999999999997</v>
      </c>
      <c r="S1856" s="61">
        <v>0</v>
      </c>
      <c r="T1856" s="62">
        <v>0</v>
      </c>
    </row>
    <row r="1857" spans="1:20" ht="11.1" customHeight="1" x14ac:dyDescent="0.25">
      <c r="A1857" s="56">
        <v>109038</v>
      </c>
      <c r="B1857" s="72">
        <v>46038</v>
      </c>
      <c r="C1857" s="68">
        <v>46038</v>
      </c>
      <c r="D1857" s="58" t="s">
        <v>1741</v>
      </c>
      <c r="E1857" s="59" t="s">
        <v>352</v>
      </c>
      <c r="F1857" s="56">
        <v>36</v>
      </c>
      <c r="G1857" s="73">
        <v>5</v>
      </c>
      <c r="H1857" s="74" t="s">
        <v>1707</v>
      </c>
      <c r="I1857" s="59" t="s">
        <v>1708</v>
      </c>
      <c r="J1857" s="59" t="s">
        <v>1709</v>
      </c>
      <c r="K1857" s="69">
        <v>5102</v>
      </c>
      <c r="L1857" s="56">
        <v>205</v>
      </c>
      <c r="M1857" s="59" t="s">
        <v>26</v>
      </c>
      <c r="N1857" s="61">
        <v>817.16</v>
      </c>
      <c r="O1857" s="59" t="s">
        <v>313</v>
      </c>
      <c r="P1857" s="62">
        <v>817.16</v>
      </c>
      <c r="Q1857" s="63">
        <v>20</v>
      </c>
      <c r="R1857" s="62">
        <v>163.43</v>
      </c>
      <c r="S1857" s="61">
        <v>0</v>
      </c>
      <c r="T1857" s="62">
        <v>0</v>
      </c>
    </row>
    <row r="1858" spans="1:20" ht="11.1" customHeight="1" x14ac:dyDescent="0.25">
      <c r="A1858" s="56">
        <v>109091</v>
      </c>
      <c r="B1858" s="72">
        <v>46041</v>
      </c>
      <c r="C1858" s="68">
        <v>46041</v>
      </c>
      <c r="D1858" s="58" t="s">
        <v>1742</v>
      </c>
      <c r="E1858" s="59" t="s">
        <v>352</v>
      </c>
      <c r="F1858" s="56">
        <v>36</v>
      </c>
      <c r="G1858" s="73">
        <v>5</v>
      </c>
      <c r="H1858" s="74" t="s">
        <v>1707</v>
      </c>
      <c r="I1858" s="59" t="s">
        <v>1708</v>
      </c>
      <c r="J1858" s="59" t="s">
        <v>1709</v>
      </c>
      <c r="K1858" s="69">
        <v>5403</v>
      </c>
      <c r="L1858" s="56">
        <v>207</v>
      </c>
      <c r="M1858" s="59" t="s">
        <v>26</v>
      </c>
      <c r="N1858" s="61">
        <v>136.91</v>
      </c>
      <c r="O1858" s="59" t="s">
        <v>313</v>
      </c>
      <c r="P1858" s="62">
        <v>127.95</v>
      </c>
      <c r="Q1858" s="63">
        <v>20</v>
      </c>
      <c r="R1858" s="62">
        <v>25.59</v>
      </c>
      <c r="S1858" s="61">
        <v>0</v>
      </c>
      <c r="T1858" s="62">
        <v>8.9600000000000009</v>
      </c>
    </row>
    <row r="1859" spans="1:20" ht="11.1" customHeight="1" x14ac:dyDescent="0.25">
      <c r="O1859" s="59" t="s">
        <v>436</v>
      </c>
      <c r="P1859" s="62">
        <v>172.73</v>
      </c>
      <c r="Q1859" s="63">
        <v>20</v>
      </c>
      <c r="R1859" s="62">
        <v>8.9600000000000009</v>
      </c>
      <c r="S1859" s="61">
        <v>0</v>
      </c>
      <c r="T1859" s="62">
        <v>0</v>
      </c>
    </row>
    <row r="1860" spans="1:20" ht="11.1" customHeight="1" x14ac:dyDescent="0.25">
      <c r="A1860" s="56">
        <v>109118</v>
      </c>
      <c r="B1860" s="72">
        <v>46041</v>
      </c>
      <c r="C1860" s="68">
        <v>46041</v>
      </c>
      <c r="D1860" s="58" t="s">
        <v>1743</v>
      </c>
      <c r="E1860" s="59" t="s">
        <v>352</v>
      </c>
      <c r="F1860" s="56">
        <v>36</v>
      </c>
      <c r="G1860" s="73">
        <v>5</v>
      </c>
      <c r="H1860" s="74" t="s">
        <v>1707</v>
      </c>
      <c r="I1860" s="59" t="s">
        <v>1708</v>
      </c>
      <c r="J1860" s="59" t="s">
        <v>1709</v>
      </c>
      <c r="K1860" s="69">
        <v>5102</v>
      </c>
      <c r="L1860" s="56">
        <v>205</v>
      </c>
      <c r="M1860" s="59" t="s">
        <v>26</v>
      </c>
      <c r="N1860" s="61">
        <v>274.27999999999997</v>
      </c>
      <c r="O1860" s="59" t="s">
        <v>313</v>
      </c>
      <c r="P1860" s="62">
        <v>274.27999999999997</v>
      </c>
      <c r="Q1860" s="63">
        <v>20</v>
      </c>
      <c r="R1860" s="62">
        <v>54.85</v>
      </c>
      <c r="S1860" s="61">
        <v>0</v>
      </c>
      <c r="T1860" s="62">
        <v>0</v>
      </c>
    </row>
    <row r="1861" spans="1:20" ht="11.1" customHeight="1" x14ac:dyDescent="0.25">
      <c r="A1861" s="56">
        <v>109119</v>
      </c>
      <c r="B1861" s="72">
        <v>46041</v>
      </c>
      <c r="C1861" s="68">
        <v>46041</v>
      </c>
      <c r="D1861" s="58" t="s">
        <v>1743</v>
      </c>
      <c r="E1861" s="59" t="s">
        <v>352</v>
      </c>
      <c r="F1861" s="56">
        <v>36</v>
      </c>
      <c r="G1861" s="73">
        <v>5</v>
      </c>
      <c r="H1861" s="74" t="s">
        <v>1707</v>
      </c>
      <c r="I1861" s="59" t="s">
        <v>1708</v>
      </c>
      <c r="J1861" s="59" t="s">
        <v>1709</v>
      </c>
      <c r="K1861" s="69">
        <v>5403</v>
      </c>
      <c r="L1861" s="56">
        <v>207</v>
      </c>
      <c r="M1861" s="59" t="s">
        <v>26</v>
      </c>
      <c r="N1861" s="61">
        <v>1021.5</v>
      </c>
      <c r="O1861" s="59" t="s">
        <v>313</v>
      </c>
      <c r="P1861" s="62">
        <v>954.69</v>
      </c>
      <c r="Q1861" s="63">
        <v>20</v>
      </c>
      <c r="R1861" s="62">
        <v>190.95</v>
      </c>
      <c r="S1861" s="61">
        <v>0</v>
      </c>
      <c r="T1861" s="62">
        <v>66.81</v>
      </c>
    </row>
    <row r="1862" spans="1:20" ht="11.1" customHeight="1" x14ac:dyDescent="0.25">
      <c r="O1862" s="59" t="s">
        <v>436</v>
      </c>
      <c r="P1862" s="62">
        <v>1288.83</v>
      </c>
      <c r="Q1862" s="63">
        <v>20</v>
      </c>
      <c r="R1862" s="62">
        <v>66.81</v>
      </c>
      <c r="S1862" s="61">
        <v>0</v>
      </c>
      <c r="T1862" s="62">
        <v>0</v>
      </c>
    </row>
    <row r="1863" spans="1:20" ht="11.1" customHeight="1" x14ac:dyDescent="0.25">
      <c r="A1863" s="56">
        <v>109247</v>
      </c>
      <c r="B1863" s="72">
        <v>46043</v>
      </c>
      <c r="C1863" s="68">
        <v>46043</v>
      </c>
      <c r="D1863" s="58" t="s">
        <v>1744</v>
      </c>
      <c r="E1863" s="59" t="s">
        <v>352</v>
      </c>
      <c r="F1863" s="56">
        <v>36</v>
      </c>
      <c r="G1863" s="73">
        <v>5</v>
      </c>
      <c r="H1863" s="74" t="s">
        <v>1707</v>
      </c>
      <c r="I1863" s="59" t="s">
        <v>1708</v>
      </c>
      <c r="J1863" s="59" t="s">
        <v>1709</v>
      </c>
      <c r="K1863" s="69">
        <v>5102</v>
      </c>
      <c r="L1863" s="56">
        <v>205</v>
      </c>
      <c r="M1863" s="59" t="s">
        <v>26</v>
      </c>
      <c r="N1863" s="61">
        <v>7074.17</v>
      </c>
      <c r="O1863" s="59" t="s">
        <v>313</v>
      </c>
      <c r="P1863" s="62">
        <v>7074.17</v>
      </c>
      <c r="Q1863" s="63">
        <v>20</v>
      </c>
      <c r="R1863" s="62">
        <v>1414.83</v>
      </c>
      <c r="S1863" s="61">
        <v>0</v>
      </c>
      <c r="T1863" s="62">
        <v>0</v>
      </c>
    </row>
    <row r="1864" spans="1:20" ht="11.1" customHeight="1" x14ac:dyDescent="0.25">
      <c r="A1864" s="56">
        <v>109248</v>
      </c>
      <c r="B1864" s="72">
        <v>46043</v>
      </c>
      <c r="C1864" s="68">
        <v>46043</v>
      </c>
      <c r="D1864" s="58" t="s">
        <v>1744</v>
      </c>
      <c r="E1864" s="59" t="s">
        <v>352</v>
      </c>
      <c r="F1864" s="56">
        <v>36</v>
      </c>
      <c r="G1864" s="73">
        <v>5</v>
      </c>
      <c r="H1864" s="74" t="s">
        <v>1707</v>
      </c>
      <c r="I1864" s="59" t="s">
        <v>1708</v>
      </c>
      <c r="J1864" s="59" t="s">
        <v>1709</v>
      </c>
      <c r="K1864" s="69">
        <v>5403</v>
      </c>
      <c r="L1864" s="56">
        <v>207</v>
      </c>
      <c r="M1864" s="59" t="s">
        <v>26</v>
      </c>
      <c r="N1864" s="61">
        <v>9742.1200000000008</v>
      </c>
      <c r="O1864" s="59" t="s">
        <v>313</v>
      </c>
      <c r="P1864" s="62">
        <v>9104.76</v>
      </c>
      <c r="Q1864" s="63">
        <v>20</v>
      </c>
      <c r="R1864" s="62">
        <v>1820.94</v>
      </c>
      <c r="S1864" s="61">
        <v>0</v>
      </c>
      <c r="T1864" s="62">
        <v>637.36</v>
      </c>
    </row>
    <row r="1865" spans="1:20" ht="11.1" customHeight="1" x14ac:dyDescent="0.25">
      <c r="O1865" s="59" t="s">
        <v>436</v>
      </c>
      <c r="P1865" s="62">
        <v>12291.46</v>
      </c>
      <c r="Q1865" s="63">
        <v>20</v>
      </c>
      <c r="R1865" s="62">
        <v>637.36</v>
      </c>
      <c r="S1865" s="61">
        <v>0</v>
      </c>
      <c r="T1865" s="62">
        <v>0</v>
      </c>
    </row>
    <row r="1866" spans="1:20" ht="11.1" customHeight="1" x14ac:dyDescent="0.25">
      <c r="A1866" s="56">
        <v>109355</v>
      </c>
      <c r="B1866" s="72">
        <v>46045</v>
      </c>
      <c r="C1866" s="68">
        <v>46045</v>
      </c>
      <c r="D1866" s="58" t="s">
        <v>1745</v>
      </c>
      <c r="E1866" s="59" t="s">
        <v>352</v>
      </c>
      <c r="F1866" s="56">
        <v>36</v>
      </c>
      <c r="G1866" s="73">
        <v>5</v>
      </c>
      <c r="H1866" s="74" t="s">
        <v>1707</v>
      </c>
      <c r="I1866" s="59" t="s">
        <v>1708</v>
      </c>
      <c r="J1866" s="59" t="s">
        <v>1709</v>
      </c>
      <c r="K1866" s="69">
        <v>5102</v>
      </c>
      <c r="L1866" s="56">
        <v>205</v>
      </c>
      <c r="M1866" s="59" t="s">
        <v>26</v>
      </c>
      <c r="N1866" s="61">
        <v>331.2</v>
      </c>
      <c r="O1866" s="59" t="s">
        <v>313</v>
      </c>
      <c r="P1866" s="62">
        <v>331.2</v>
      </c>
      <c r="Q1866" s="63">
        <v>20</v>
      </c>
      <c r="R1866" s="62">
        <v>66.239999999999995</v>
      </c>
      <c r="S1866" s="61">
        <v>0</v>
      </c>
      <c r="T1866" s="62">
        <v>0</v>
      </c>
    </row>
    <row r="1867" spans="1:20" ht="11.1" customHeight="1" x14ac:dyDescent="0.25">
      <c r="A1867" s="56">
        <v>109390</v>
      </c>
      <c r="B1867" s="72">
        <v>46045</v>
      </c>
      <c r="C1867" s="68">
        <v>46045</v>
      </c>
      <c r="D1867" s="58" t="s">
        <v>1746</v>
      </c>
      <c r="E1867" s="59" t="s">
        <v>352</v>
      </c>
      <c r="F1867" s="56">
        <v>36</v>
      </c>
      <c r="G1867" s="73">
        <v>5</v>
      </c>
      <c r="H1867" s="74" t="s">
        <v>1707</v>
      </c>
      <c r="I1867" s="59" t="s">
        <v>1708</v>
      </c>
      <c r="J1867" s="59" t="s">
        <v>1709</v>
      </c>
      <c r="K1867" s="69">
        <v>5102</v>
      </c>
      <c r="L1867" s="56">
        <v>205</v>
      </c>
      <c r="M1867" s="59" t="s">
        <v>26</v>
      </c>
      <c r="N1867" s="61">
        <v>11.49</v>
      </c>
      <c r="O1867" s="59" t="s">
        <v>313</v>
      </c>
      <c r="P1867" s="62">
        <v>11.49</v>
      </c>
      <c r="Q1867" s="63">
        <v>20</v>
      </c>
      <c r="R1867" s="62">
        <v>2.2999999999999998</v>
      </c>
      <c r="S1867" s="61">
        <v>0</v>
      </c>
      <c r="T1867" s="62">
        <v>0</v>
      </c>
    </row>
    <row r="1868" spans="1:20" ht="11.1" customHeight="1" x14ac:dyDescent="0.25">
      <c r="A1868" s="56">
        <v>109415</v>
      </c>
      <c r="B1868" s="72">
        <v>46048</v>
      </c>
      <c r="C1868" s="68">
        <v>46048</v>
      </c>
      <c r="D1868" s="58" t="s">
        <v>1747</v>
      </c>
      <c r="E1868" s="59" t="s">
        <v>352</v>
      </c>
      <c r="F1868" s="56">
        <v>36</v>
      </c>
      <c r="G1868" s="73">
        <v>5</v>
      </c>
      <c r="H1868" s="74" t="s">
        <v>1707</v>
      </c>
      <c r="I1868" s="59" t="s">
        <v>1708</v>
      </c>
      <c r="J1868" s="59" t="s">
        <v>1709</v>
      </c>
      <c r="K1868" s="69">
        <v>5403</v>
      </c>
      <c r="L1868" s="56">
        <v>207</v>
      </c>
      <c r="M1868" s="59" t="s">
        <v>26</v>
      </c>
      <c r="N1868" s="61">
        <v>365.84</v>
      </c>
      <c r="O1868" s="59" t="s">
        <v>313</v>
      </c>
      <c r="P1868" s="62">
        <v>341.91</v>
      </c>
      <c r="Q1868" s="63">
        <v>20</v>
      </c>
      <c r="R1868" s="62">
        <v>68.38</v>
      </c>
      <c r="S1868" s="61">
        <v>0</v>
      </c>
      <c r="T1868" s="62">
        <v>23.93</v>
      </c>
    </row>
    <row r="1869" spans="1:20" ht="11.1" customHeight="1" x14ac:dyDescent="0.25">
      <c r="O1869" s="59" t="s">
        <v>436</v>
      </c>
      <c r="P1869" s="62">
        <v>461.58</v>
      </c>
      <c r="Q1869" s="63">
        <v>20</v>
      </c>
      <c r="R1869" s="62">
        <v>23.93</v>
      </c>
      <c r="S1869" s="61">
        <v>0</v>
      </c>
      <c r="T1869" s="62">
        <v>0</v>
      </c>
    </row>
    <row r="1870" spans="1:20" ht="11.1" customHeight="1" x14ac:dyDescent="0.25">
      <c r="A1870" s="56">
        <v>109576</v>
      </c>
      <c r="B1870" s="72">
        <v>46050</v>
      </c>
      <c r="C1870" s="68">
        <v>46050</v>
      </c>
      <c r="D1870" s="58" t="s">
        <v>1748</v>
      </c>
      <c r="E1870" s="59" t="s">
        <v>352</v>
      </c>
      <c r="F1870" s="56">
        <v>36</v>
      </c>
      <c r="G1870" s="73">
        <v>5</v>
      </c>
      <c r="H1870" s="74" t="s">
        <v>1707</v>
      </c>
      <c r="I1870" s="59" t="s">
        <v>1708</v>
      </c>
      <c r="J1870" s="59" t="s">
        <v>1709</v>
      </c>
      <c r="K1870" s="69">
        <v>5102</v>
      </c>
      <c r="L1870" s="56">
        <v>205</v>
      </c>
      <c r="M1870" s="59" t="s">
        <v>26</v>
      </c>
      <c r="N1870" s="61">
        <v>1165.9100000000001</v>
      </c>
      <c r="O1870" s="59" t="s">
        <v>313</v>
      </c>
      <c r="P1870" s="62">
        <v>1165.9100000000001</v>
      </c>
      <c r="Q1870" s="63">
        <v>20</v>
      </c>
      <c r="R1870" s="62">
        <v>233.19</v>
      </c>
      <c r="S1870" s="61">
        <v>0</v>
      </c>
      <c r="T1870" s="62">
        <v>0</v>
      </c>
    </row>
    <row r="1871" spans="1:20" ht="11.1" customHeight="1" x14ac:dyDescent="0.25">
      <c r="A1871" s="56">
        <v>109577</v>
      </c>
      <c r="B1871" s="72">
        <v>46050</v>
      </c>
      <c r="C1871" s="68">
        <v>46050</v>
      </c>
      <c r="D1871" s="58" t="s">
        <v>1748</v>
      </c>
      <c r="E1871" s="59" t="s">
        <v>352</v>
      </c>
      <c r="F1871" s="56">
        <v>36</v>
      </c>
      <c r="G1871" s="73">
        <v>5</v>
      </c>
      <c r="H1871" s="74" t="s">
        <v>1707</v>
      </c>
      <c r="I1871" s="59" t="s">
        <v>1708</v>
      </c>
      <c r="J1871" s="59" t="s">
        <v>1709</v>
      </c>
      <c r="K1871" s="69">
        <v>5403</v>
      </c>
      <c r="L1871" s="56">
        <v>207</v>
      </c>
      <c r="M1871" s="59" t="s">
        <v>26</v>
      </c>
      <c r="N1871" s="61">
        <v>774.71</v>
      </c>
      <c r="O1871" s="59" t="s">
        <v>313</v>
      </c>
      <c r="P1871" s="62">
        <v>724.03</v>
      </c>
      <c r="Q1871" s="63">
        <v>20</v>
      </c>
      <c r="R1871" s="62">
        <v>144.81</v>
      </c>
      <c r="S1871" s="61">
        <v>0</v>
      </c>
      <c r="T1871" s="62">
        <v>50.68</v>
      </c>
    </row>
    <row r="1872" spans="1:20" ht="11.1" customHeight="1" x14ac:dyDescent="0.25">
      <c r="O1872" s="59" t="s">
        <v>436</v>
      </c>
      <c r="P1872" s="62">
        <v>977.44</v>
      </c>
      <c r="Q1872" s="63">
        <v>20</v>
      </c>
      <c r="R1872" s="62">
        <v>50.68</v>
      </c>
      <c r="S1872" s="61">
        <v>0</v>
      </c>
      <c r="T1872" s="62">
        <v>0</v>
      </c>
    </row>
    <row r="1873" spans="1:20" ht="11.85" customHeight="1" x14ac:dyDescent="0.25">
      <c r="A1873" s="71" t="s">
        <v>620</v>
      </c>
      <c r="B1873" s="71"/>
      <c r="C1873" s="71"/>
      <c r="D1873" s="71"/>
      <c r="E1873" s="71"/>
      <c r="F1873" s="71"/>
      <c r="G1873" s="71"/>
      <c r="H1873" s="71"/>
    </row>
    <row r="1874" spans="1:20" ht="11.1" customHeight="1" x14ac:dyDescent="0.25">
      <c r="O1874" s="59" t="s">
        <v>313</v>
      </c>
      <c r="P1874" s="62">
        <v>85671.98</v>
      </c>
      <c r="R1874" s="62">
        <v>17134.43</v>
      </c>
      <c r="S1874" s="61">
        <v>0</v>
      </c>
      <c r="T1874" s="62">
        <v>3036.57</v>
      </c>
    </row>
    <row r="1875" spans="1:20" ht="11.1" customHeight="1" x14ac:dyDescent="0.25">
      <c r="O1875" s="59" t="s">
        <v>436</v>
      </c>
      <c r="P1875" s="62">
        <v>47789.2</v>
      </c>
      <c r="R1875" s="62">
        <v>2477.9699999999998</v>
      </c>
      <c r="S1875" s="61">
        <v>0</v>
      </c>
      <c r="T1875" s="62">
        <v>0</v>
      </c>
    </row>
    <row r="1876" spans="1:20" ht="11.1" customHeight="1" x14ac:dyDescent="0.25">
      <c r="A1876" s="56">
        <v>108399</v>
      </c>
      <c r="B1876" s="72">
        <v>46024</v>
      </c>
      <c r="C1876" s="68">
        <v>46024</v>
      </c>
      <c r="D1876" s="58" t="s">
        <v>1749</v>
      </c>
      <c r="E1876" s="59" t="s">
        <v>352</v>
      </c>
      <c r="F1876" s="56">
        <v>36</v>
      </c>
      <c r="G1876" s="73">
        <v>10</v>
      </c>
      <c r="H1876" s="74" t="s">
        <v>1750</v>
      </c>
      <c r="I1876" s="59" t="s">
        <v>1751</v>
      </c>
      <c r="J1876" s="59" t="s">
        <v>1752</v>
      </c>
      <c r="K1876" s="69">
        <v>5102</v>
      </c>
      <c r="L1876" s="56">
        <v>205</v>
      </c>
      <c r="M1876" s="59" t="s">
        <v>26</v>
      </c>
      <c r="N1876" s="61">
        <v>175.42</v>
      </c>
      <c r="O1876" s="59" t="s">
        <v>313</v>
      </c>
      <c r="P1876" s="62">
        <v>175.42</v>
      </c>
      <c r="Q1876" s="63">
        <v>20</v>
      </c>
      <c r="R1876" s="62">
        <v>35.08</v>
      </c>
      <c r="S1876" s="61">
        <v>0</v>
      </c>
      <c r="T1876" s="62">
        <v>0</v>
      </c>
    </row>
    <row r="1877" spans="1:20" ht="11.1" customHeight="1" x14ac:dyDescent="0.25">
      <c r="A1877" s="56">
        <v>108400</v>
      </c>
      <c r="B1877" s="72">
        <v>46024</v>
      </c>
      <c r="C1877" s="68">
        <v>46024</v>
      </c>
      <c r="D1877" s="58" t="s">
        <v>1749</v>
      </c>
      <c r="E1877" s="59" t="s">
        <v>352</v>
      </c>
      <c r="F1877" s="56">
        <v>36</v>
      </c>
      <c r="G1877" s="73">
        <v>10</v>
      </c>
      <c r="H1877" s="74" t="s">
        <v>1750</v>
      </c>
      <c r="I1877" s="59" t="s">
        <v>1751</v>
      </c>
      <c r="J1877" s="59" t="s">
        <v>1752</v>
      </c>
      <c r="K1877" s="69">
        <v>5403</v>
      </c>
      <c r="L1877" s="56">
        <v>207</v>
      </c>
      <c r="M1877" s="59" t="s">
        <v>26</v>
      </c>
      <c r="N1877" s="61">
        <v>317.39999999999998</v>
      </c>
      <c r="O1877" s="59" t="s">
        <v>313</v>
      </c>
      <c r="P1877" s="62">
        <v>296.64</v>
      </c>
      <c r="Q1877" s="63">
        <v>20</v>
      </c>
      <c r="R1877" s="62">
        <v>59.33</v>
      </c>
      <c r="S1877" s="61">
        <v>0</v>
      </c>
      <c r="T1877" s="62">
        <v>20.76</v>
      </c>
    </row>
    <row r="1878" spans="1:20" ht="11.1" customHeight="1" x14ac:dyDescent="0.25">
      <c r="O1878" s="59" t="s">
        <v>436</v>
      </c>
      <c r="P1878" s="62">
        <v>400.46</v>
      </c>
      <c r="Q1878" s="63">
        <v>20</v>
      </c>
      <c r="R1878" s="62">
        <v>20.76</v>
      </c>
      <c r="S1878" s="61">
        <v>0</v>
      </c>
      <c r="T1878" s="62">
        <v>0</v>
      </c>
    </row>
    <row r="1879" spans="1:20" ht="11.1" customHeight="1" x14ac:dyDescent="0.25">
      <c r="A1879" s="56">
        <v>108423</v>
      </c>
      <c r="B1879" s="72">
        <v>46024</v>
      </c>
      <c r="C1879" s="68">
        <v>46024</v>
      </c>
      <c r="D1879" s="58" t="s">
        <v>1753</v>
      </c>
      <c r="E1879" s="59" t="s">
        <v>352</v>
      </c>
      <c r="F1879" s="56">
        <v>36</v>
      </c>
      <c r="G1879" s="73">
        <v>10</v>
      </c>
      <c r="H1879" s="74" t="s">
        <v>1750</v>
      </c>
      <c r="I1879" s="59" t="s">
        <v>1751</v>
      </c>
      <c r="J1879" s="59" t="s">
        <v>1752</v>
      </c>
      <c r="K1879" s="69">
        <v>5102</v>
      </c>
      <c r="L1879" s="56">
        <v>205</v>
      </c>
      <c r="M1879" s="59" t="s">
        <v>26</v>
      </c>
      <c r="N1879" s="61">
        <v>2278.9499999999998</v>
      </c>
      <c r="O1879" s="59" t="s">
        <v>313</v>
      </c>
      <c r="P1879" s="62">
        <v>2278.9499999999998</v>
      </c>
      <c r="Q1879" s="63">
        <v>20</v>
      </c>
      <c r="R1879" s="62">
        <v>455.8</v>
      </c>
      <c r="S1879" s="61">
        <v>0</v>
      </c>
      <c r="T1879" s="62">
        <v>0</v>
      </c>
    </row>
    <row r="1880" spans="1:20" ht="11.1" customHeight="1" x14ac:dyDescent="0.25">
      <c r="A1880" s="56">
        <v>108424</v>
      </c>
      <c r="B1880" s="72">
        <v>46024</v>
      </c>
      <c r="C1880" s="68">
        <v>46024</v>
      </c>
      <c r="D1880" s="58" t="s">
        <v>1753</v>
      </c>
      <c r="E1880" s="59" t="s">
        <v>352</v>
      </c>
      <c r="F1880" s="56">
        <v>36</v>
      </c>
      <c r="G1880" s="73">
        <v>10</v>
      </c>
      <c r="H1880" s="74" t="s">
        <v>1750</v>
      </c>
      <c r="I1880" s="59" t="s">
        <v>1751</v>
      </c>
      <c r="J1880" s="59" t="s">
        <v>1752</v>
      </c>
      <c r="K1880" s="69">
        <v>5403</v>
      </c>
      <c r="L1880" s="56">
        <v>207</v>
      </c>
      <c r="M1880" s="59" t="s">
        <v>26</v>
      </c>
      <c r="N1880" s="61">
        <v>1427.14</v>
      </c>
      <c r="O1880" s="59" t="s">
        <v>313</v>
      </c>
      <c r="P1880" s="62">
        <v>1333.78</v>
      </c>
      <c r="Q1880" s="63">
        <v>20</v>
      </c>
      <c r="R1880" s="62">
        <v>266.75</v>
      </c>
      <c r="S1880" s="61">
        <v>0</v>
      </c>
      <c r="T1880" s="62">
        <v>93.36</v>
      </c>
    </row>
    <row r="1881" spans="1:20" ht="11.1" customHeight="1" x14ac:dyDescent="0.25">
      <c r="O1881" s="59" t="s">
        <v>436</v>
      </c>
      <c r="P1881" s="62">
        <v>1800.6</v>
      </c>
      <c r="Q1881" s="63">
        <v>20</v>
      </c>
      <c r="R1881" s="62">
        <v>93.36</v>
      </c>
      <c r="S1881" s="61">
        <v>0</v>
      </c>
      <c r="T1881" s="62">
        <v>0</v>
      </c>
    </row>
    <row r="1882" spans="1:20" ht="11.1" customHeight="1" x14ac:dyDescent="0.25">
      <c r="A1882" s="56">
        <v>108534</v>
      </c>
      <c r="B1882" s="72">
        <v>46028</v>
      </c>
      <c r="C1882" s="68">
        <v>46028</v>
      </c>
      <c r="D1882" s="58" t="s">
        <v>1754</v>
      </c>
      <c r="E1882" s="59" t="s">
        <v>352</v>
      </c>
      <c r="F1882" s="56">
        <v>36</v>
      </c>
      <c r="G1882" s="73">
        <v>10</v>
      </c>
      <c r="H1882" s="74" t="s">
        <v>1750</v>
      </c>
      <c r="I1882" s="59" t="s">
        <v>1751</v>
      </c>
      <c r="J1882" s="59" t="s">
        <v>1752</v>
      </c>
      <c r="K1882" s="69">
        <v>5102</v>
      </c>
      <c r="L1882" s="56">
        <v>205</v>
      </c>
      <c r="M1882" s="59" t="s">
        <v>26</v>
      </c>
      <c r="N1882" s="61">
        <v>5896.89</v>
      </c>
      <c r="O1882" s="59" t="s">
        <v>313</v>
      </c>
      <c r="P1882" s="62">
        <v>5896.89</v>
      </c>
      <c r="Q1882" s="63">
        <v>20</v>
      </c>
      <c r="R1882" s="62">
        <v>1179.3900000000001</v>
      </c>
      <c r="S1882" s="61">
        <v>0</v>
      </c>
      <c r="T1882" s="62">
        <v>0</v>
      </c>
    </row>
    <row r="1883" spans="1:20" ht="11.1" customHeight="1" x14ac:dyDescent="0.25">
      <c r="A1883" s="56">
        <v>108535</v>
      </c>
      <c r="B1883" s="72">
        <v>46028</v>
      </c>
      <c r="C1883" s="68">
        <v>46028</v>
      </c>
      <c r="D1883" s="58" t="s">
        <v>1754</v>
      </c>
      <c r="E1883" s="59" t="s">
        <v>352</v>
      </c>
      <c r="F1883" s="56">
        <v>36</v>
      </c>
      <c r="G1883" s="73">
        <v>10</v>
      </c>
      <c r="H1883" s="74" t="s">
        <v>1750</v>
      </c>
      <c r="I1883" s="59" t="s">
        <v>1751</v>
      </c>
      <c r="J1883" s="59" t="s">
        <v>1752</v>
      </c>
      <c r="K1883" s="69">
        <v>5403</v>
      </c>
      <c r="L1883" s="56">
        <v>207</v>
      </c>
      <c r="M1883" s="59" t="s">
        <v>26</v>
      </c>
      <c r="N1883" s="61">
        <v>5120.95</v>
      </c>
      <c r="O1883" s="59" t="s">
        <v>313</v>
      </c>
      <c r="P1883" s="62">
        <v>4785.95</v>
      </c>
      <c r="Q1883" s="63">
        <v>20</v>
      </c>
      <c r="R1883" s="62">
        <v>957.2</v>
      </c>
      <c r="S1883" s="61">
        <v>0</v>
      </c>
      <c r="T1883" s="62">
        <v>335</v>
      </c>
    </row>
    <row r="1884" spans="1:20" ht="11.1" customHeight="1" x14ac:dyDescent="0.25">
      <c r="O1884" s="59" t="s">
        <v>436</v>
      </c>
      <c r="P1884" s="62">
        <v>6461.02</v>
      </c>
      <c r="Q1884" s="63">
        <v>20</v>
      </c>
      <c r="R1884" s="62">
        <v>335</v>
      </c>
      <c r="S1884" s="61">
        <v>0</v>
      </c>
      <c r="T1884" s="62">
        <v>0</v>
      </c>
    </row>
    <row r="1885" spans="1:20" ht="11.1" customHeight="1" x14ac:dyDescent="0.25">
      <c r="A1885" s="56">
        <v>108562</v>
      </c>
      <c r="B1885" s="72">
        <v>46029</v>
      </c>
      <c r="C1885" s="68">
        <v>46029</v>
      </c>
      <c r="D1885" s="58" t="s">
        <v>1755</v>
      </c>
      <c r="E1885" s="59" t="s">
        <v>352</v>
      </c>
      <c r="F1885" s="56">
        <v>36</v>
      </c>
      <c r="G1885" s="73">
        <v>10</v>
      </c>
      <c r="H1885" s="74" t="s">
        <v>1750</v>
      </c>
      <c r="I1885" s="59" t="s">
        <v>1751</v>
      </c>
      <c r="J1885" s="59" t="s">
        <v>1752</v>
      </c>
      <c r="K1885" s="69">
        <v>5102</v>
      </c>
      <c r="L1885" s="56">
        <v>205</v>
      </c>
      <c r="M1885" s="59" t="s">
        <v>26</v>
      </c>
      <c r="N1885" s="61">
        <v>273.89999999999998</v>
      </c>
      <c r="O1885" s="59" t="s">
        <v>313</v>
      </c>
      <c r="P1885" s="62">
        <v>273.89999999999998</v>
      </c>
      <c r="Q1885" s="63">
        <v>20</v>
      </c>
      <c r="R1885" s="62">
        <v>54.78</v>
      </c>
      <c r="S1885" s="61">
        <v>0</v>
      </c>
      <c r="T1885" s="62">
        <v>0</v>
      </c>
    </row>
    <row r="1886" spans="1:20" ht="11.1" customHeight="1" x14ac:dyDescent="0.25">
      <c r="A1886" s="56">
        <v>108564</v>
      </c>
      <c r="B1886" s="72">
        <v>46029</v>
      </c>
      <c r="C1886" s="68">
        <v>46029</v>
      </c>
      <c r="D1886" s="58" t="s">
        <v>1756</v>
      </c>
      <c r="E1886" s="59" t="s">
        <v>352</v>
      </c>
      <c r="F1886" s="56">
        <v>36</v>
      </c>
      <c r="G1886" s="73">
        <v>10</v>
      </c>
      <c r="H1886" s="74" t="s">
        <v>1750</v>
      </c>
      <c r="I1886" s="59" t="s">
        <v>1751</v>
      </c>
      <c r="J1886" s="59" t="s">
        <v>1752</v>
      </c>
      <c r="K1886" s="69">
        <v>5102</v>
      </c>
      <c r="L1886" s="56">
        <v>205</v>
      </c>
      <c r="M1886" s="59" t="s">
        <v>26</v>
      </c>
      <c r="N1886" s="61">
        <v>2212.38</v>
      </c>
      <c r="O1886" s="59" t="s">
        <v>313</v>
      </c>
      <c r="P1886" s="62">
        <v>2212.38</v>
      </c>
      <c r="Q1886" s="63">
        <v>20</v>
      </c>
      <c r="R1886" s="62">
        <v>442.48</v>
      </c>
      <c r="S1886" s="61">
        <v>0</v>
      </c>
      <c r="T1886" s="62">
        <v>0</v>
      </c>
    </row>
    <row r="1887" spans="1:20" ht="11.1" customHeight="1" x14ac:dyDescent="0.25">
      <c r="A1887" s="56">
        <v>108565</v>
      </c>
      <c r="B1887" s="72">
        <v>46029</v>
      </c>
      <c r="C1887" s="68">
        <v>46029</v>
      </c>
      <c r="D1887" s="58" t="s">
        <v>1756</v>
      </c>
      <c r="E1887" s="59" t="s">
        <v>352</v>
      </c>
      <c r="F1887" s="56">
        <v>36</v>
      </c>
      <c r="G1887" s="73">
        <v>10</v>
      </c>
      <c r="H1887" s="74" t="s">
        <v>1750</v>
      </c>
      <c r="I1887" s="59" t="s">
        <v>1751</v>
      </c>
      <c r="J1887" s="59" t="s">
        <v>1752</v>
      </c>
      <c r="K1887" s="69">
        <v>5403</v>
      </c>
      <c r="L1887" s="56">
        <v>207</v>
      </c>
      <c r="M1887" s="59" t="s">
        <v>26</v>
      </c>
      <c r="N1887" s="61">
        <v>255.13</v>
      </c>
      <c r="O1887" s="59" t="s">
        <v>313</v>
      </c>
      <c r="P1887" s="62">
        <v>238.44</v>
      </c>
      <c r="Q1887" s="63">
        <v>20</v>
      </c>
      <c r="R1887" s="62">
        <v>47.69</v>
      </c>
      <c r="S1887" s="61">
        <v>0</v>
      </c>
      <c r="T1887" s="62">
        <v>16.690000000000001</v>
      </c>
    </row>
    <row r="1888" spans="1:20" ht="11.1" customHeight="1" x14ac:dyDescent="0.25">
      <c r="O1888" s="59" t="s">
        <v>436</v>
      </c>
      <c r="P1888" s="62">
        <v>321.89</v>
      </c>
      <c r="Q1888" s="63">
        <v>20</v>
      </c>
      <c r="R1888" s="62">
        <v>16.690000000000001</v>
      </c>
      <c r="S1888" s="61">
        <v>0</v>
      </c>
      <c r="T1888" s="62">
        <v>0</v>
      </c>
    </row>
    <row r="1889" spans="1:20" ht="11.1" customHeight="1" x14ac:dyDescent="0.25">
      <c r="A1889" s="56">
        <v>108709</v>
      </c>
      <c r="B1889" s="72">
        <v>46031</v>
      </c>
      <c r="C1889" s="68">
        <v>46031</v>
      </c>
      <c r="D1889" s="58" t="s">
        <v>1757</v>
      </c>
      <c r="E1889" s="59" t="s">
        <v>352</v>
      </c>
      <c r="F1889" s="56">
        <v>36</v>
      </c>
      <c r="G1889" s="73">
        <v>10</v>
      </c>
      <c r="H1889" s="74" t="s">
        <v>1750</v>
      </c>
      <c r="I1889" s="59" t="s">
        <v>1751</v>
      </c>
      <c r="J1889" s="59" t="s">
        <v>1752</v>
      </c>
      <c r="K1889" s="69">
        <v>5102</v>
      </c>
      <c r="L1889" s="56">
        <v>205</v>
      </c>
      <c r="M1889" s="59" t="s">
        <v>26</v>
      </c>
      <c r="N1889" s="61">
        <v>406.08</v>
      </c>
      <c r="O1889" s="59" t="s">
        <v>313</v>
      </c>
      <c r="P1889" s="62">
        <v>406.08</v>
      </c>
      <c r="Q1889" s="63">
        <v>20</v>
      </c>
      <c r="R1889" s="62">
        <v>81.209999999999994</v>
      </c>
      <c r="S1889" s="61">
        <v>0</v>
      </c>
      <c r="T1889" s="62">
        <v>0</v>
      </c>
    </row>
    <row r="1890" spans="1:20" ht="11.1" customHeight="1" x14ac:dyDescent="0.25">
      <c r="A1890" s="56">
        <v>108710</v>
      </c>
      <c r="B1890" s="72">
        <v>46031</v>
      </c>
      <c r="C1890" s="68">
        <v>46031</v>
      </c>
      <c r="D1890" s="58" t="s">
        <v>1757</v>
      </c>
      <c r="E1890" s="59" t="s">
        <v>352</v>
      </c>
      <c r="F1890" s="56">
        <v>36</v>
      </c>
      <c r="G1890" s="73">
        <v>10</v>
      </c>
      <c r="H1890" s="74" t="s">
        <v>1750</v>
      </c>
      <c r="I1890" s="59" t="s">
        <v>1751</v>
      </c>
      <c r="J1890" s="59" t="s">
        <v>1752</v>
      </c>
      <c r="K1890" s="69">
        <v>5403</v>
      </c>
      <c r="L1890" s="56">
        <v>207</v>
      </c>
      <c r="M1890" s="59" t="s">
        <v>26</v>
      </c>
      <c r="N1890" s="61">
        <v>127.41</v>
      </c>
      <c r="O1890" s="59" t="s">
        <v>313</v>
      </c>
      <c r="P1890" s="62">
        <v>119.08</v>
      </c>
      <c r="Q1890" s="63">
        <v>20</v>
      </c>
      <c r="R1890" s="62">
        <v>23.82</v>
      </c>
      <c r="S1890" s="61">
        <v>0</v>
      </c>
      <c r="T1890" s="62">
        <v>8.33</v>
      </c>
    </row>
    <row r="1891" spans="1:20" ht="11.1" customHeight="1" x14ac:dyDescent="0.25">
      <c r="O1891" s="59" t="s">
        <v>436</v>
      </c>
      <c r="P1891" s="62">
        <v>160.76</v>
      </c>
      <c r="Q1891" s="63">
        <v>20</v>
      </c>
      <c r="R1891" s="62">
        <v>8.33</v>
      </c>
      <c r="S1891" s="61">
        <v>0</v>
      </c>
      <c r="T1891" s="62">
        <v>0</v>
      </c>
    </row>
    <row r="1892" spans="1:20" ht="11.1" customHeight="1" x14ac:dyDescent="0.25">
      <c r="A1892" s="56">
        <v>108870</v>
      </c>
      <c r="B1892" s="72">
        <v>46035</v>
      </c>
      <c r="C1892" s="68">
        <v>46035</v>
      </c>
      <c r="D1892" s="58" t="s">
        <v>1758</v>
      </c>
      <c r="E1892" s="59" t="s">
        <v>352</v>
      </c>
      <c r="F1892" s="56">
        <v>36</v>
      </c>
      <c r="G1892" s="73">
        <v>10</v>
      </c>
      <c r="H1892" s="74" t="s">
        <v>1750</v>
      </c>
      <c r="I1892" s="59" t="s">
        <v>1751</v>
      </c>
      <c r="J1892" s="59" t="s">
        <v>1752</v>
      </c>
      <c r="K1892" s="69">
        <v>5102</v>
      </c>
      <c r="L1892" s="56">
        <v>205</v>
      </c>
      <c r="M1892" s="59" t="s">
        <v>26</v>
      </c>
      <c r="N1892" s="61">
        <v>4217.1099999999997</v>
      </c>
      <c r="O1892" s="59" t="s">
        <v>313</v>
      </c>
      <c r="P1892" s="62">
        <v>4217.1099999999997</v>
      </c>
      <c r="Q1892" s="63">
        <v>20</v>
      </c>
      <c r="R1892" s="62">
        <v>843.43</v>
      </c>
      <c r="S1892" s="61">
        <v>0</v>
      </c>
      <c r="T1892" s="62">
        <v>0</v>
      </c>
    </row>
    <row r="1893" spans="1:20" ht="11.1" customHeight="1" x14ac:dyDescent="0.25">
      <c r="A1893" s="56">
        <v>108871</v>
      </c>
      <c r="B1893" s="72">
        <v>46035</v>
      </c>
      <c r="C1893" s="68">
        <v>46035</v>
      </c>
      <c r="D1893" s="58" t="s">
        <v>1758</v>
      </c>
      <c r="E1893" s="59" t="s">
        <v>352</v>
      </c>
      <c r="F1893" s="56">
        <v>36</v>
      </c>
      <c r="G1893" s="73">
        <v>10</v>
      </c>
      <c r="H1893" s="74" t="s">
        <v>1750</v>
      </c>
      <c r="I1893" s="59" t="s">
        <v>1751</v>
      </c>
      <c r="J1893" s="59" t="s">
        <v>1752</v>
      </c>
      <c r="K1893" s="69">
        <v>5403</v>
      </c>
      <c r="L1893" s="56">
        <v>207</v>
      </c>
      <c r="M1893" s="59" t="s">
        <v>26</v>
      </c>
      <c r="N1893" s="61">
        <v>6168.76</v>
      </c>
      <c r="O1893" s="59" t="s">
        <v>313</v>
      </c>
      <c r="P1893" s="62">
        <v>5765.17</v>
      </c>
      <c r="Q1893" s="63">
        <v>20</v>
      </c>
      <c r="R1893" s="62">
        <v>1153.03</v>
      </c>
      <c r="S1893" s="61">
        <v>0</v>
      </c>
      <c r="T1893" s="62">
        <v>403.59</v>
      </c>
    </row>
    <row r="1894" spans="1:20" ht="11.1" customHeight="1" x14ac:dyDescent="0.25">
      <c r="O1894" s="59" t="s">
        <v>436</v>
      </c>
      <c r="P1894" s="62">
        <v>7783.02</v>
      </c>
      <c r="Q1894" s="63">
        <v>20</v>
      </c>
      <c r="R1894" s="62">
        <v>403.59</v>
      </c>
      <c r="S1894" s="61">
        <v>0</v>
      </c>
      <c r="T1894" s="62">
        <v>0</v>
      </c>
    </row>
    <row r="1895" spans="1:20" ht="11.1" customHeight="1" x14ac:dyDescent="0.25">
      <c r="A1895" s="56">
        <v>108897</v>
      </c>
      <c r="B1895" s="72">
        <v>46036</v>
      </c>
      <c r="C1895" s="68">
        <v>46036</v>
      </c>
      <c r="D1895" s="58" t="s">
        <v>1759</v>
      </c>
      <c r="E1895" s="59" t="s">
        <v>352</v>
      </c>
      <c r="F1895" s="56">
        <v>36</v>
      </c>
      <c r="G1895" s="73">
        <v>10</v>
      </c>
      <c r="H1895" s="74" t="s">
        <v>1750</v>
      </c>
      <c r="I1895" s="59" t="s">
        <v>1751</v>
      </c>
      <c r="J1895" s="59" t="s">
        <v>1752</v>
      </c>
      <c r="K1895" s="69">
        <v>5102</v>
      </c>
      <c r="L1895" s="56">
        <v>205</v>
      </c>
      <c r="M1895" s="59" t="s">
        <v>26</v>
      </c>
      <c r="N1895" s="61">
        <v>302.64</v>
      </c>
      <c r="O1895" s="59" t="s">
        <v>313</v>
      </c>
      <c r="P1895" s="62">
        <v>302.64</v>
      </c>
      <c r="Q1895" s="63">
        <v>20</v>
      </c>
      <c r="R1895" s="62">
        <v>60.53</v>
      </c>
      <c r="S1895" s="61">
        <v>0</v>
      </c>
      <c r="T1895" s="62">
        <v>0</v>
      </c>
    </row>
    <row r="1896" spans="1:20" ht="11.1" customHeight="1" x14ac:dyDescent="0.25">
      <c r="A1896" s="56">
        <v>108946</v>
      </c>
      <c r="B1896" s="72">
        <v>46037</v>
      </c>
      <c r="C1896" s="68">
        <v>46037</v>
      </c>
      <c r="D1896" s="58" t="s">
        <v>1760</v>
      </c>
      <c r="E1896" s="59" t="s">
        <v>352</v>
      </c>
      <c r="F1896" s="56">
        <v>36</v>
      </c>
      <c r="G1896" s="73">
        <v>10</v>
      </c>
      <c r="H1896" s="74" t="s">
        <v>1750</v>
      </c>
      <c r="I1896" s="59" t="s">
        <v>1751</v>
      </c>
      <c r="J1896" s="59" t="s">
        <v>1752</v>
      </c>
      <c r="K1896" s="69">
        <v>5102</v>
      </c>
      <c r="L1896" s="56">
        <v>205</v>
      </c>
      <c r="M1896" s="59" t="s">
        <v>26</v>
      </c>
      <c r="N1896" s="61">
        <v>39.94</v>
      </c>
      <c r="O1896" s="59" t="s">
        <v>313</v>
      </c>
      <c r="P1896" s="62">
        <v>39.94</v>
      </c>
      <c r="Q1896" s="63">
        <v>20</v>
      </c>
      <c r="R1896" s="62">
        <v>7.99</v>
      </c>
      <c r="S1896" s="61">
        <v>0</v>
      </c>
      <c r="T1896" s="62">
        <v>0</v>
      </c>
    </row>
    <row r="1897" spans="1:20" ht="11.1" customHeight="1" x14ac:dyDescent="0.25">
      <c r="A1897" s="56">
        <v>108947</v>
      </c>
      <c r="B1897" s="72">
        <v>46037</v>
      </c>
      <c r="C1897" s="68">
        <v>46037</v>
      </c>
      <c r="D1897" s="58" t="s">
        <v>1760</v>
      </c>
      <c r="E1897" s="59" t="s">
        <v>352</v>
      </c>
      <c r="F1897" s="56">
        <v>36</v>
      </c>
      <c r="G1897" s="73">
        <v>10</v>
      </c>
      <c r="H1897" s="74" t="s">
        <v>1750</v>
      </c>
      <c r="I1897" s="59" t="s">
        <v>1751</v>
      </c>
      <c r="J1897" s="59" t="s">
        <v>1752</v>
      </c>
      <c r="K1897" s="69">
        <v>5403</v>
      </c>
      <c r="L1897" s="56">
        <v>207</v>
      </c>
      <c r="M1897" s="59" t="s">
        <v>26</v>
      </c>
      <c r="N1897" s="61">
        <v>768.85</v>
      </c>
      <c r="O1897" s="59" t="s">
        <v>313</v>
      </c>
      <c r="P1897" s="62">
        <v>718.54</v>
      </c>
      <c r="Q1897" s="63">
        <v>20</v>
      </c>
      <c r="R1897" s="62">
        <v>143.69999999999999</v>
      </c>
      <c r="S1897" s="61">
        <v>0</v>
      </c>
      <c r="T1897" s="62">
        <v>50.31</v>
      </c>
    </row>
    <row r="1898" spans="1:20" ht="11.1" customHeight="1" x14ac:dyDescent="0.25">
      <c r="O1898" s="59" t="s">
        <v>436</v>
      </c>
      <c r="P1898" s="62">
        <v>970.03</v>
      </c>
      <c r="Q1898" s="63">
        <v>20</v>
      </c>
      <c r="R1898" s="62">
        <v>50.31</v>
      </c>
      <c r="S1898" s="61">
        <v>0</v>
      </c>
      <c r="T1898" s="62">
        <v>0</v>
      </c>
    </row>
    <row r="1899" spans="1:20" ht="11.1" customHeight="1" x14ac:dyDescent="0.25">
      <c r="A1899" s="56">
        <v>108948</v>
      </c>
      <c r="B1899" s="72">
        <v>46037</v>
      </c>
      <c r="C1899" s="68">
        <v>46037</v>
      </c>
      <c r="D1899" s="58" t="s">
        <v>1761</v>
      </c>
      <c r="E1899" s="59" t="s">
        <v>352</v>
      </c>
      <c r="F1899" s="56">
        <v>36</v>
      </c>
      <c r="G1899" s="73">
        <v>10</v>
      </c>
      <c r="H1899" s="74" t="s">
        <v>1750</v>
      </c>
      <c r="I1899" s="59" t="s">
        <v>1751</v>
      </c>
      <c r="J1899" s="59" t="s">
        <v>1752</v>
      </c>
      <c r="K1899" s="69">
        <v>5403</v>
      </c>
      <c r="L1899" s="56">
        <v>207</v>
      </c>
      <c r="M1899" s="59" t="s">
        <v>26</v>
      </c>
      <c r="N1899" s="61">
        <v>2806.44</v>
      </c>
      <c r="O1899" s="59" t="s">
        <v>313</v>
      </c>
      <c r="P1899" s="62">
        <v>2622.84</v>
      </c>
      <c r="Q1899" s="63">
        <v>20</v>
      </c>
      <c r="R1899" s="62">
        <v>524.57000000000005</v>
      </c>
      <c r="S1899" s="61">
        <v>0</v>
      </c>
      <c r="T1899" s="62">
        <v>183.6</v>
      </c>
    </row>
    <row r="1900" spans="1:20" ht="11.1" customHeight="1" x14ac:dyDescent="0.25">
      <c r="O1900" s="59" t="s">
        <v>436</v>
      </c>
      <c r="P1900" s="62">
        <v>3540.83</v>
      </c>
      <c r="Q1900" s="63">
        <v>20</v>
      </c>
      <c r="R1900" s="62">
        <v>183.6</v>
      </c>
      <c r="S1900" s="61">
        <v>0</v>
      </c>
      <c r="T1900" s="62">
        <v>0</v>
      </c>
    </row>
    <row r="1901" spans="1:20" ht="11.1" customHeight="1" x14ac:dyDescent="0.25">
      <c r="A1901" s="56">
        <v>109094</v>
      </c>
      <c r="B1901" s="72">
        <v>46041</v>
      </c>
      <c r="C1901" s="68">
        <v>46041</v>
      </c>
      <c r="D1901" s="58" t="s">
        <v>1762</v>
      </c>
      <c r="E1901" s="59" t="s">
        <v>352</v>
      </c>
      <c r="F1901" s="56">
        <v>36</v>
      </c>
      <c r="G1901" s="73">
        <v>10</v>
      </c>
      <c r="H1901" s="74" t="s">
        <v>1750</v>
      </c>
      <c r="I1901" s="59" t="s">
        <v>1751</v>
      </c>
      <c r="J1901" s="59" t="s">
        <v>1752</v>
      </c>
      <c r="K1901" s="69">
        <v>5102</v>
      </c>
      <c r="L1901" s="56">
        <v>205</v>
      </c>
      <c r="M1901" s="59" t="s">
        <v>26</v>
      </c>
      <c r="N1901" s="61">
        <v>843.03</v>
      </c>
      <c r="O1901" s="59" t="s">
        <v>313</v>
      </c>
      <c r="P1901" s="62">
        <v>843.03</v>
      </c>
      <c r="Q1901" s="63">
        <v>20</v>
      </c>
      <c r="R1901" s="62">
        <v>168.61</v>
      </c>
      <c r="S1901" s="61">
        <v>0</v>
      </c>
      <c r="T1901" s="62">
        <v>0</v>
      </c>
    </row>
    <row r="1902" spans="1:20" ht="11.1" customHeight="1" x14ac:dyDescent="0.25">
      <c r="A1902" s="56">
        <v>109095</v>
      </c>
      <c r="B1902" s="72">
        <v>46041</v>
      </c>
      <c r="C1902" s="68">
        <v>46041</v>
      </c>
      <c r="D1902" s="58" t="s">
        <v>1762</v>
      </c>
      <c r="E1902" s="59" t="s">
        <v>352</v>
      </c>
      <c r="F1902" s="56">
        <v>36</v>
      </c>
      <c r="G1902" s="73">
        <v>10</v>
      </c>
      <c r="H1902" s="74" t="s">
        <v>1750</v>
      </c>
      <c r="I1902" s="59" t="s">
        <v>1751</v>
      </c>
      <c r="J1902" s="59" t="s">
        <v>1752</v>
      </c>
      <c r="K1902" s="69">
        <v>5403</v>
      </c>
      <c r="L1902" s="56">
        <v>207</v>
      </c>
      <c r="M1902" s="59" t="s">
        <v>26</v>
      </c>
      <c r="N1902" s="61">
        <v>1728.72</v>
      </c>
      <c r="O1902" s="59" t="s">
        <v>313</v>
      </c>
      <c r="P1902" s="62">
        <v>1615.62</v>
      </c>
      <c r="Q1902" s="63">
        <v>20</v>
      </c>
      <c r="R1902" s="62">
        <v>323.12</v>
      </c>
      <c r="S1902" s="61">
        <v>0</v>
      </c>
      <c r="T1902" s="62">
        <v>113.1</v>
      </c>
    </row>
    <row r="1903" spans="1:20" ht="11.1" customHeight="1" x14ac:dyDescent="0.25">
      <c r="O1903" s="59" t="s">
        <v>436</v>
      </c>
      <c r="P1903" s="62">
        <v>2181.09</v>
      </c>
      <c r="Q1903" s="63">
        <v>20</v>
      </c>
      <c r="R1903" s="62">
        <v>113.1</v>
      </c>
      <c r="S1903" s="61">
        <v>0</v>
      </c>
      <c r="T1903" s="62">
        <v>0</v>
      </c>
    </row>
    <row r="1904" spans="1:20" ht="11.1" customHeight="1" x14ac:dyDescent="0.25">
      <c r="A1904" s="56">
        <v>109097</v>
      </c>
      <c r="B1904" s="72">
        <v>46041</v>
      </c>
      <c r="C1904" s="68">
        <v>46041</v>
      </c>
      <c r="D1904" s="58" t="s">
        <v>1763</v>
      </c>
      <c r="E1904" s="59" t="s">
        <v>352</v>
      </c>
      <c r="F1904" s="56">
        <v>36</v>
      </c>
      <c r="G1904" s="73">
        <v>10</v>
      </c>
      <c r="H1904" s="74" t="s">
        <v>1750</v>
      </c>
      <c r="I1904" s="59" t="s">
        <v>1751</v>
      </c>
      <c r="J1904" s="59" t="s">
        <v>1752</v>
      </c>
      <c r="K1904" s="69">
        <v>5102</v>
      </c>
      <c r="L1904" s="56">
        <v>205</v>
      </c>
      <c r="M1904" s="59" t="s">
        <v>26</v>
      </c>
      <c r="N1904" s="61">
        <v>850.5</v>
      </c>
      <c r="O1904" s="59" t="s">
        <v>313</v>
      </c>
      <c r="P1904" s="62">
        <v>850.5</v>
      </c>
      <c r="Q1904" s="63">
        <v>20</v>
      </c>
      <c r="R1904" s="62">
        <v>170.1</v>
      </c>
      <c r="S1904" s="61">
        <v>0</v>
      </c>
      <c r="T1904" s="62">
        <v>0</v>
      </c>
    </row>
    <row r="1905" spans="1:20" ht="11.1" customHeight="1" x14ac:dyDescent="0.25">
      <c r="A1905" s="56">
        <v>109376</v>
      </c>
      <c r="B1905" s="72">
        <v>46045</v>
      </c>
      <c r="C1905" s="68">
        <v>46045</v>
      </c>
      <c r="D1905" s="58" t="s">
        <v>1764</v>
      </c>
      <c r="E1905" s="59" t="s">
        <v>352</v>
      </c>
      <c r="F1905" s="56">
        <v>36</v>
      </c>
      <c r="G1905" s="73">
        <v>10</v>
      </c>
      <c r="H1905" s="74" t="s">
        <v>1750</v>
      </c>
      <c r="I1905" s="59" t="s">
        <v>1751</v>
      </c>
      <c r="J1905" s="59" t="s">
        <v>1752</v>
      </c>
      <c r="K1905" s="69">
        <v>5403</v>
      </c>
      <c r="L1905" s="56">
        <v>207</v>
      </c>
      <c r="M1905" s="59" t="s">
        <v>26</v>
      </c>
      <c r="N1905" s="61">
        <v>1643.29</v>
      </c>
      <c r="O1905" s="59" t="s">
        <v>313</v>
      </c>
      <c r="P1905" s="62">
        <v>1535.8</v>
      </c>
      <c r="Q1905" s="63">
        <v>20</v>
      </c>
      <c r="R1905" s="62">
        <v>307.17</v>
      </c>
      <c r="S1905" s="61">
        <v>0</v>
      </c>
      <c r="T1905" s="62">
        <v>107.49</v>
      </c>
    </row>
    <row r="1906" spans="1:20" ht="11.1" customHeight="1" x14ac:dyDescent="0.25">
      <c r="O1906" s="59" t="s">
        <v>436</v>
      </c>
      <c r="P1906" s="62">
        <v>2073.33</v>
      </c>
      <c r="Q1906" s="63">
        <v>20</v>
      </c>
      <c r="R1906" s="62">
        <v>107.49</v>
      </c>
      <c r="S1906" s="61">
        <v>0</v>
      </c>
      <c r="T1906" s="62">
        <v>0</v>
      </c>
    </row>
    <row r="1907" spans="1:20" ht="11.1" customHeight="1" x14ac:dyDescent="0.25">
      <c r="A1907" s="56">
        <v>109424</v>
      </c>
      <c r="B1907" s="72">
        <v>46048</v>
      </c>
      <c r="C1907" s="68">
        <v>46048</v>
      </c>
      <c r="D1907" s="58" t="s">
        <v>1765</v>
      </c>
      <c r="E1907" s="59" t="s">
        <v>352</v>
      </c>
      <c r="F1907" s="56">
        <v>36</v>
      </c>
      <c r="G1907" s="73">
        <v>10</v>
      </c>
      <c r="H1907" s="74" t="s">
        <v>1750</v>
      </c>
      <c r="I1907" s="59" t="s">
        <v>1751</v>
      </c>
      <c r="J1907" s="59" t="s">
        <v>1752</v>
      </c>
      <c r="K1907" s="69">
        <v>5102</v>
      </c>
      <c r="L1907" s="56">
        <v>205</v>
      </c>
      <c r="M1907" s="59" t="s">
        <v>26</v>
      </c>
      <c r="N1907" s="61">
        <v>805.68</v>
      </c>
      <c r="O1907" s="59" t="s">
        <v>313</v>
      </c>
      <c r="P1907" s="62">
        <v>805.68</v>
      </c>
      <c r="Q1907" s="63">
        <v>20</v>
      </c>
      <c r="R1907" s="62">
        <v>161.13999999999999</v>
      </c>
      <c r="S1907" s="61">
        <v>0</v>
      </c>
      <c r="T1907" s="62">
        <v>0</v>
      </c>
    </row>
    <row r="1908" spans="1:20" ht="11.1" customHeight="1" x14ac:dyDescent="0.25">
      <c r="A1908" s="56">
        <v>109425</v>
      </c>
      <c r="B1908" s="72">
        <v>46048</v>
      </c>
      <c r="C1908" s="68">
        <v>46048</v>
      </c>
      <c r="D1908" s="58" t="s">
        <v>1765</v>
      </c>
      <c r="E1908" s="59" t="s">
        <v>352</v>
      </c>
      <c r="F1908" s="56">
        <v>36</v>
      </c>
      <c r="G1908" s="73">
        <v>10</v>
      </c>
      <c r="H1908" s="74" t="s">
        <v>1750</v>
      </c>
      <c r="I1908" s="59" t="s">
        <v>1751</v>
      </c>
      <c r="J1908" s="59" t="s">
        <v>1752</v>
      </c>
      <c r="K1908" s="69">
        <v>5403</v>
      </c>
      <c r="L1908" s="56">
        <v>207</v>
      </c>
      <c r="M1908" s="59" t="s">
        <v>26</v>
      </c>
      <c r="N1908" s="61">
        <v>867.09</v>
      </c>
      <c r="O1908" s="59" t="s">
        <v>313</v>
      </c>
      <c r="P1908" s="62">
        <v>810.36</v>
      </c>
      <c r="Q1908" s="63">
        <v>20</v>
      </c>
      <c r="R1908" s="62">
        <v>162.07</v>
      </c>
      <c r="S1908" s="61">
        <v>0</v>
      </c>
      <c r="T1908" s="62">
        <v>56.73</v>
      </c>
    </row>
    <row r="1909" spans="1:20" ht="11.1" customHeight="1" x14ac:dyDescent="0.25">
      <c r="O1909" s="59" t="s">
        <v>436</v>
      </c>
      <c r="P1909" s="62">
        <v>1093.99</v>
      </c>
      <c r="Q1909" s="63">
        <v>20</v>
      </c>
      <c r="R1909" s="62">
        <v>56.73</v>
      </c>
      <c r="S1909" s="61">
        <v>0</v>
      </c>
      <c r="T1909" s="62">
        <v>0</v>
      </c>
    </row>
    <row r="1910" spans="1:20" ht="11.1" customHeight="1" x14ac:dyDescent="0.25">
      <c r="A1910" s="56">
        <v>109525</v>
      </c>
      <c r="B1910" s="72">
        <v>46050</v>
      </c>
      <c r="C1910" s="68">
        <v>46050</v>
      </c>
      <c r="D1910" s="58" t="s">
        <v>1766</v>
      </c>
      <c r="E1910" s="59" t="s">
        <v>352</v>
      </c>
      <c r="F1910" s="56">
        <v>36</v>
      </c>
      <c r="G1910" s="73">
        <v>10</v>
      </c>
      <c r="H1910" s="74" t="s">
        <v>1750</v>
      </c>
      <c r="I1910" s="59" t="s">
        <v>1751</v>
      </c>
      <c r="J1910" s="59" t="s">
        <v>1752</v>
      </c>
      <c r="K1910" s="69">
        <v>5403</v>
      </c>
      <c r="L1910" s="56">
        <v>207</v>
      </c>
      <c r="M1910" s="59" t="s">
        <v>26</v>
      </c>
      <c r="N1910" s="61">
        <v>438.75</v>
      </c>
      <c r="O1910" s="59" t="s">
        <v>313</v>
      </c>
      <c r="P1910" s="62">
        <v>410.05</v>
      </c>
      <c r="Q1910" s="63">
        <v>20</v>
      </c>
      <c r="R1910" s="62">
        <v>82.01</v>
      </c>
      <c r="S1910" s="61">
        <v>0</v>
      </c>
      <c r="T1910" s="62">
        <v>28.7</v>
      </c>
    </row>
    <row r="1911" spans="1:20" ht="11.1" customHeight="1" x14ac:dyDescent="0.25">
      <c r="O1911" s="59" t="s">
        <v>436</v>
      </c>
      <c r="P1911" s="62">
        <v>553.57000000000005</v>
      </c>
      <c r="Q1911" s="63">
        <v>20</v>
      </c>
      <c r="R1911" s="62">
        <v>28.7</v>
      </c>
      <c r="S1911" s="61">
        <v>0</v>
      </c>
      <c r="T1911" s="62">
        <v>0</v>
      </c>
    </row>
    <row r="1912" spans="1:20" ht="11.1" customHeight="1" x14ac:dyDescent="0.25">
      <c r="A1912" s="56">
        <v>109558</v>
      </c>
      <c r="B1912" s="72">
        <v>46050</v>
      </c>
      <c r="C1912" s="68">
        <v>46050</v>
      </c>
      <c r="D1912" s="58" t="s">
        <v>1767</v>
      </c>
      <c r="E1912" s="59" t="s">
        <v>352</v>
      </c>
      <c r="F1912" s="56">
        <v>36</v>
      </c>
      <c r="G1912" s="73">
        <v>10</v>
      </c>
      <c r="H1912" s="74" t="s">
        <v>1750</v>
      </c>
      <c r="I1912" s="59" t="s">
        <v>1751</v>
      </c>
      <c r="J1912" s="59" t="s">
        <v>1752</v>
      </c>
      <c r="K1912" s="69">
        <v>5102</v>
      </c>
      <c r="L1912" s="56">
        <v>205</v>
      </c>
      <c r="M1912" s="59" t="s">
        <v>26</v>
      </c>
      <c r="N1912" s="61">
        <v>53.16</v>
      </c>
      <c r="O1912" s="59" t="s">
        <v>313</v>
      </c>
      <c r="P1912" s="62">
        <v>53.16</v>
      </c>
      <c r="Q1912" s="63">
        <v>20</v>
      </c>
      <c r="R1912" s="62">
        <v>10.63</v>
      </c>
      <c r="S1912" s="61">
        <v>0</v>
      </c>
      <c r="T1912" s="62">
        <v>0</v>
      </c>
    </row>
    <row r="1913" spans="1:20" ht="11.85" customHeight="1" x14ac:dyDescent="0.25">
      <c r="A1913" s="71" t="s">
        <v>620</v>
      </c>
      <c r="B1913" s="71"/>
      <c r="C1913" s="71"/>
      <c r="D1913" s="71"/>
      <c r="E1913" s="71"/>
      <c r="F1913" s="71"/>
      <c r="G1913" s="71"/>
      <c r="H1913" s="71"/>
    </row>
    <row r="1914" spans="1:20" ht="11.1" customHeight="1" x14ac:dyDescent="0.25">
      <c r="O1914" s="59" t="s">
        <v>313</v>
      </c>
      <c r="P1914" s="62">
        <v>38607.949999999997</v>
      </c>
      <c r="R1914" s="62">
        <v>7721.63</v>
      </c>
      <c r="S1914" s="61">
        <v>0</v>
      </c>
      <c r="T1914" s="62">
        <v>1417.66</v>
      </c>
    </row>
    <row r="1915" spans="1:20" ht="11.1" customHeight="1" x14ac:dyDescent="0.25">
      <c r="O1915" s="59" t="s">
        <v>436</v>
      </c>
      <c r="P1915" s="62">
        <v>27340.59</v>
      </c>
      <c r="R1915" s="62">
        <v>1417.66</v>
      </c>
      <c r="S1915" s="61">
        <v>0</v>
      </c>
      <c r="T1915" s="62">
        <v>0</v>
      </c>
    </row>
    <row r="1916" spans="1:20" ht="11.1" customHeight="1" x14ac:dyDescent="0.25">
      <c r="A1916" s="56">
        <v>108617</v>
      </c>
      <c r="B1916" s="72">
        <v>46029</v>
      </c>
      <c r="C1916" s="68">
        <v>46029</v>
      </c>
      <c r="D1916" s="58" t="s">
        <v>1768</v>
      </c>
      <c r="E1916" s="59" t="s">
        <v>352</v>
      </c>
      <c r="F1916" s="56">
        <v>36</v>
      </c>
      <c r="G1916" s="73">
        <v>756</v>
      </c>
      <c r="H1916" s="74" t="s">
        <v>1769</v>
      </c>
      <c r="I1916" s="59" t="s">
        <v>1770</v>
      </c>
      <c r="J1916" s="59" t="s">
        <v>1771</v>
      </c>
      <c r="K1916" s="69">
        <v>5403</v>
      </c>
      <c r="L1916" s="56">
        <v>207</v>
      </c>
      <c r="M1916" s="59" t="s">
        <v>26</v>
      </c>
      <c r="N1916" s="61">
        <v>507.53</v>
      </c>
      <c r="O1916" s="59" t="s">
        <v>313</v>
      </c>
      <c r="P1916" s="62">
        <v>474.33</v>
      </c>
      <c r="Q1916" s="63">
        <v>20</v>
      </c>
      <c r="R1916" s="62">
        <v>94.87</v>
      </c>
      <c r="S1916" s="61">
        <v>0</v>
      </c>
      <c r="T1916" s="62">
        <v>33.200000000000003</v>
      </c>
    </row>
    <row r="1917" spans="1:20" ht="11.1" customHeight="1" x14ac:dyDescent="0.25">
      <c r="O1917" s="59" t="s">
        <v>436</v>
      </c>
      <c r="P1917" s="62">
        <v>640.35</v>
      </c>
      <c r="Q1917" s="63">
        <v>20</v>
      </c>
      <c r="R1917" s="62">
        <v>33.200000000000003</v>
      </c>
      <c r="S1917" s="61">
        <v>0</v>
      </c>
      <c r="T1917" s="62">
        <v>0</v>
      </c>
    </row>
    <row r="1918" spans="1:20" ht="11.85" customHeight="1" x14ac:dyDescent="0.25">
      <c r="A1918" s="71" t="s">
        <v>620</v>
      </c>
      <c r="B1918" s="71"/>
      <c r="C1918" s="71"/>
      <c r="D1918" s="71"/>
      <c r="E1918" s="71"/>
      <c r="F1918" s="71"/>
      <c r="G1918" s="71"/>
      <c r="H1918" s="71"/>
    </row>
    <row r="1919" spans="1:20" ht="11.1" customHeight="1" x14ac:dyDescent="0.25">
      <c r="O1919" s="59" t="s">
        <v>313</v>
      </c>
      <c r="P1919" s="62">
        <v>474.33</v>
      </c>
      <c r="R1919" s="62">
        <v>94.87</v>
      </c>
      <c r="S1919" s="61">
        <v>0</v>
      </c>
      <c r="T1919" s="62">
        <v>33.200000000000003</v>
      </c>
    </row>
    <row r="1920" spans="1:20" ht="11.1" customHeight="1" x14ac:dyDescent="0.25">
      <c r="O1920" s="59" t="s">
        <v>436</v>
      </c>
      <c r="P1920" s="62">
        <v>640.35</v>
      </c>
      <c r="R1920" s="62">
        <v>33.200000000000003</v>
      </c>
      <c r="S1920" s="61">
        <v>0</v>
      </c>
      <c r="T1920" s="62">
        <v>0</v>
      </c>
    </row>
    <row r="1921" spans="1:20" ht="11.1" customHeight="1" x14ac:dyDescent="0.25">
      <c r="A1921" s="56">
        <v>109185</v>
      </c>
      <c r="B1921" s="72">
        <v>46043</v>
      </c>
      <c r="C1921" s="68">
        <v>46043</v>
      </c>
      <c r="D1921" s="58" t="s">
        <v>1772</v>
      </c>
      <c r="E1921" s="59" t="s">
        <v>352</v>
      </c>
      <c r="F1921" s="56">
        <v>36</v>
      </c>
      <c r="G1921" s="73">
        <v>16</v>
      </c>
      <c r="H1921" s="74" t="s">
        <v>1773</v>
      </c>
      <c r="I1921" s="59" t="s">
        <v>1774</v>
      </c>
      <c r="J1921" s="59" t="s">
        <v>1775</v>
      </c>
      <c r="K1921" s="69">
        <v>5102</v>
      </c>
      <c r="L1921" s="56">
        <v>205</v>
      </c>
      <c r="M1921" s="59" t="s">
        <v>26</v>
      </c>
      <c r="N1921" s="61">
        <v>1563.77</v>
      </c>
      <c r="O1921" s="59" t="s">
        <v>313</v>
      </c>
      <c r="P1921" s="62">
        <v>1563.77</v>
      </c>
      <c r="Q1921" s="63">
        <v>20</v>
      </c>
      <c r="R1921" s="62">
        <v>312.76</v>
      </c>
      <c r="S1921" s="61">
        <v>0</v>
      </c>
      <c r="T1921" s="62">
        <v>0</v>
      </c>
    </row>
    <row r="1922" spans="1:20" ht="11.85" customHeight="1" x14ac:dyDescent="0.25">
      <c r="A1922" s="71" t="s">
        <v>620</v>
      </c>
      <c r="B1922" s="71"/>
      <c r="C1922" s="71"/>
      <c r="D1922" s="71"/>
      <c r="E1922" s="71"/>
      <c r="F1922" s="71"/>
      <c r="G1922" s="71"/>
      <c r="H1922" s="71"/>
    </row>
    <row r="1923" spans="1:20" ht="11.1" customHeight="1" x14ac:dyDescent="0.25">
      <c r="O1923" s="59" t="s">
        <v>313</v>
      </c>
      <c r="P1923" s="62">
        <v>1563.77</v>
      </c>
      <c r="R1923" s="62">
        <v>312.76</v>
      </c>
      <c r="S1923" s="61">
        <v>0</v>
      </c>
      <c r="T1923" s="62">
        <v>0</v>
      </c>
    </row>
    <row r="1924" spans="1:20" ht="11.1" customHeight="1" x14ac:dyDescent="0.25">
      <c r="A1924" s="56">
        <v>108538</v>
      </c>
      <c r="B1924" s="72">
        <v>46028</v>
      </c>
      <c r="C1924" s="68">
        <v>46028</v>
      </c>
      <c r="D1924" s="58" t="s">
        <v>1776</v>
      </c>
      <c r="E1924" s="59" t="s">
        <v>352</v>
      </c>
      <c r="F1924" s="56">
        <v>36</v>
      </c>
      <c r="G1924" s="73">
        <v>762</v>
      </c>
      <c r="H1924" s="74" t="s">
        <v>502</v>
      </c>
      <c r="I1924" s="59" t="s">
        <v>1777</v>
      </c>
      <c r="J1924" s="59" t="s">
        <v>1778</v>
      </c>
      <c r="K1924" s="69">
        <v>6102</v>
      </c>
      <c r="L1924" s="56">
        <v>238</v>
      </c>
      <c r="M1924" s="59" t="s">
        <v>34</v>
      </c>
      <c r="N1924" s="61">
        <v>958.8</v>
      </c>
      <c r="O1924" s="59" t="s">
        <v>313</v>
      </c>
      <c r="P1924" s="62">
        <v>958.8</v>
      </c>
      <c r="Q1924" s="63">
        <v>12</v>
      </c>
      <c r="R1924" s="62">
        <v>115.06</v>
      </c>
      <c r="S1924" s="61">
        <v>0</v>
      </c>
      <c r="T1924" s="62">
        <v>0</v>
      </c>
    </row>
    <row r="1925" spans="1:20" ht="11.1" customHeight="1" x14ac:dyDescent="0.25">
      <c r="A1925" s="56">
        <v>108993</v>
      </c>
      <c r="B1925" s="72">
        <v>46037</v>
      </c>
      <c r="C1925" s="68">
        <v>46037</v>
      </c>
      <c r="D1925" s="58" t="s">
        <v>1779</v>
      </c>
      <c r="E1925" s="59" t="s">
        <v>352</v>
      </c>
      <c r="F1925" s="56">
        <v>36</v>
      </c>
      <c r="G1925" s="73">
        <v>762</v>
      </c>
      <c r="H1925" s="74" t="s">
        <v>502</v>
      </c>
      <c r="I1925" s="59" t="s">
        <v>1777</v>
      </c>
      <c r="J1925" s="59" t="s">
        <v>1778</v>
      </c>
      <c r="K1925" s="69">
        <v>6102</v>
      </c>
      <c r="L1925" s="56">
        <v>238</v>
      </c>
      <c r="M1925" s="59" t="s">
        <v>34</v>
      </c>
      <c r="N1925" s="61">
        <v>1972.5</v>
      </c>
      <c r="O1925" s="59" t="s">
        <v>313</v>
      </c>
      <c r="P1925" s="62">
        <v>1972.5</v>
      </c>
      <c r="Q1925" s="63">
        <v>12</v>
      </c>
      <c r="R1925" s="62">
        <v>236.7</v>
      </c>
      <c r="S1925" s="61">
        <v>0</v>
      </c>
      <c r="T1925" s="62">
        <v>0</v>
      </c>
    </row>
    <row r="1926" spans="1:20" ht="11.1" customHeight="1" x14ac:dyDescent="0.25">
      <c r="A1926" s="56">
        <v>109393</v>
      </c>
      <c r="B1926" s="72">
        <v>46045</v>
      </c>
      <c r="C1926" s="68">
        <v>46045</v>
      </c>
      <c r="D1926" s="58" t="s">
        <v>1780</v>
      </c>
      <c r="E1926" s="59" t="s">
        <v>352</v>
      </c>
      <c r="F1926" s="56">
        <v>36</v>
      </c>
      <c r="G1926" s="73">
        <v>762</v>
      </c>
      <c r="H1926" s="74" t="s">
        <v>502</v>
      </c>
      <c r="I1926" s="59" t="s">
        <v>1777</v>
      </c>
      <c r="J1926" s="59" t="s">
        <v>1778</v>
      </c>
      <c r="K1926" s="69">
        <v>6403</v>
      </c>
      <c r="L1926" s="56">
        <v>207</v>
      </c>
      <c r="M1926" s="59" t="s">
        <v>34</v>
      </c>
      <c r="N1926" s="61">
        <v>131.09</v>
      </c>
      <c r="O1926" s="59" t="s">
        <v>313</v>
      </c>
      <c r="P1926" s="62">
        <v>113.8</v>
      </c>
      <c r="Q1926" s="63">
        <v>12</v>
      </c>
      <c r="R1926" s="62">
        <v>13.66</v>
      </c>
      <c r="S1926" s="61">
        <v>0</v>
      </c>
      <c r="T1926" s="62">
        <v>17.29</v>
      </c>
    </row>
    <row r="1927" spans="1:20" ht="11.1" customHeight="1" x14ac:dyDescent="0.25">
      <c r="O1927" s="59" t="s">
        <v>436</v>
      </c>
      <c r="P1927" s="62">
        <v>162.88999999999999</v>
      </c>
      <c r="Q1927" s="63">
        <v>19</v>
      </c>
      <c r="R1927" s="62">
        <v>17.29</v>
      </c>
      <c r="S1927" s="61">
        <v>0</v>
      </c>
      <c r="T1927" s="62">
        <v>0</v>
      </c>
    </row>
    <row r="1928" spans="1:20" ht="11.1" customHeight="1" x14ac:dyDescent="0.25">
      <c r="A1928" s="56">
        <v>109394</v>
      </c>
      <c r="B1928" s="72">
        <v>46045</v>
      </c>
      <c r="C1928" s="68">
        <v>46045</v>
      </c>
      <c r="D1928" s="58" t="s">
        <v>1780</v>
      </c>
      <c r="E1928" s="59" t="s">
        <v>352</v>
      </c>
      <c r="F1928" s="56">
        <v>36</v>
      </c>
      <c r="G1928" s="73">
        <v>762</v>
      </c>
      <c r="H1928" s="74" t="s">
        <v>502</v>
      </c>
      <c r="I1928" s="59" t="s">
        <v>1777</v>
      </c>
      <c r="J1928" s="59" t="s">
        <v>1778</v>
      </c>
      <c r="K1928" s="69">
        <v>6102</v>
      </c>
      <c r="L1928" s="56">
        <v>238</v>
      </c>
      <c r="M1928" s="59" t="s">
        <v>34</v>
      </c>
      <c r="N1928" s="61">
        <v>1284.9000000000001</v>
      </c>
      <c r="O1928" s="59" t="s">
        <v>313</v>
      </c>
      <c r="P1928" s="62">
        <v>1284.9000000000001</v>
      </c>
      <c r="Q1928" s="63">
        <v>12</v>
      </c>
      <c r="R1928" s="62">
        <v>154.19</v>
      </c>
      <c r="S1928" s="61">
        <v>0</v>
      </c>
      <c r="T1928" s="62">
        <v>0</v>
      </c>
    </row>
    <row r="1929" spans="1:20" ht="11.85" customHeight="1" x14ac:dyDescent="0.25">
      <c r="A1929" s="71" t="s">
        <v>620</v>
      </c>
      <c r="B1929" s="71"/>
      <c r="C1929" s="71"/>
      <c r="D1929" s="71"/>
      <c r="E1929" s="71"/>
      <c r="F1929" s="71"/>
      <c r="G1929" s="71"/>
      <c r="H1929" s="71"/>
    </row>
    <row r="1930" spans="1:20" ht="11.1" customHeight="1" x14ac:dyDescent="0.25">
      <c r="O1930" s="59" t="s">
        <v>313</v>
      </c>
      <c r="P1930" s="62">
        <v>4330</v>
      </c>
      <c r="R1930" s="62">
        <v>519.61</v>
      </c>
      <c r="S1930" s="61">
        <v>0</v>
      </c>
      <c r="T1930" s="62">
        <v>17.29</v>
      </c>
    </row>
    <row r="1931" spans="1:20" ht="11.1" customHeight="1" x14ac:dyDescent="0.25">
      <c r="O1931" s="59" t="s">
        <v>436</v>
      </c>
      <c r="P1931" s="62">
        <v>162.88999999999999</v>
      </c>
      <c r="R1931" s="62">
        <v>17.29</v>
      </c>
      <c r="S1931" s="61">
        <v>0</v>
      </c>
      <c r="T1931" s="62">
        <v>0</v>
      </c>
    </row>
    <row r="1932" spans="1:20" ht="11.1" customHeight="1" x14ac:dyDescent="0.25">
      <c r="A1932" s="56">
        <v>109644</v>
      </c>
      <c r="B1932" s="72">
        <v>46051</v>
      </c>
      <c r="C1932" s="68">
        <v>46051</v>
      </c>
      <c r="D1932" s="58" t="s">
        <v>1781</v>
      </c>
      <c r="E1932" s="59" t="s">
        <v>352</v>
      </c>
      <c r="F1932" s="56">
        <v>36</v>
      </c>
      <c r="G1932" s="73">
        <v>673</v>
      </c>
      <c r="H1932" s="74" t="s">
        <v>1782</v>
      </c>
      <c r="I1932" s="59" t="s">
        <v>1783</v>
      </c>
      <c r="J1932" s="59" t="s">
        <v>1784</v>
      </c>
      <c r="K1932" s="69">
        <v>5102</v>
      </c>
      <c r="L1932" s="56">
        <v>205</v>
      </c>
      <c r="M1932" s="59" t="s">
        <v>26</v>
      </c>
      <c r="N1932" s="61">
        <v>155.33000000000001</v>
      </c>
      <c r="O1932" s="59" t="s">
        <v>313</v>
      </c>
      <c r="P1932" s="62">
        <v>155.33000000000001</v>
      </c>
      <c r="Q1932" s="63">
        <v>20</v>
      </c>
      <c r="R1932" s="62">
        <v>31.06</v>
      </c>
      <c r="S1932" s="61">
        <v>0</v>
      </c>
      <c r="T1932" s="62">
        <v>0</v>
      </c>
    </row>
    <row r="1933" spans="1:20" ht="11.1" customHeight="1" x14ac:dyDescent="0.25">
      <c r="A1933" s="56">
        <v>109645</v>
      </c>
      <c r="B1933" s="72">
        <v>46051</v>
      </c>
      <c r="C1933" s="68">
        <v>46051</v>
      </c>
      <c r="D1933" s="58" t="s">
        <v>1781</v>
      </c>
      <c r="E1933" s="59" t="s">
        <v>352</v>
      </c>
      <c r="F1933" s="56">
        <v>36</v>
      </c>
      <c r="G1933" s="73">
        <v>673</v>
      </c>
      <c r="H1933" s="74" t="s">
        <v>1782</v>
      </c>
      <c r="I1933" s="59" t="s">
        <v>1783</v>
      </c>
      <c r="J1933" s="59" t="s">
        <v>1784</v>
      </c>
      <c r="K1933" s="69">
        <v>5403</v>
      </c>
      <c r="L1933" s="56">
        <v>207</v>
      </c>
      <c r="M1933" s="59" t="s">
        <v>26</v>
      </c>
      <c r="N1933" s="61">
        <v>338.78</v>
      </c>
      <c r="O1933" s="59" t="s">
        <v>313</v>
      </c>
      <c r="P1933" s="62">
        <v>338.78</v>
      </c>
      <c r="Q1933" s="63">
        <v>20</v>
      </c>
      <c r="R1933" s="62">
        <v>67.760000000000005</v>
      </c>
      <c r="S1933" s="61">
        <v>0</v>
      </c>
      <c r="T1933" s="62">
        <v>0</v>
      </c>
    </row>
    <row r="1934" spans="1:20" ht="11.85" customHeight="1" x14ac:dyDescent="0.25">
      <c r="A1934" s="71" t="s">
        <v>620</v>
      </c>
      <c r="B1934" s="71"/>
      <c r="C1934" s="71"/>
      <c r="D1934" s="71"/>
      <c r="E1934" s="71"/>
      <c r="F1934" s="71"/>
      <c r="G1934" s="71"/>
      <c r="H1934" s="71"/>
    </row>
    <row r="1935" spans="1:20" ht="11.1" customHeight="1" x14ac:dyDescent="0.25">
      <c r="O1935" s="59" t="s">
        <v>313</v>
      </c>
      <c r="P1935" s="62">
        <v>494.11</v>
      </c>
      <c r="R1935" s="62">
        <v>98.82</v>
      </c>
      <c r="S1935" s="61">
        <v>0</v>
      </c>
      <c r="T1935" s="62">
        <v>0</v>
      </c>
    </row>
    <row r="1936" spans="1:20" ht="11.1" customHeight="1" x14ac:dyDescent="0.25">
      <c r="A1936" s="56">
        <v>109426</v>
      </c>
      <c r="B1936" s="72">
        <v>46048</v>
      </c>
      <c r="C1936" s="68">
        <v>46048</v>
      </c>
      <c r="D1936" s="58" t="s">
        <v>1785</v>
      </c>
      <c r="E1936" s="59" t="s">
        <v>352</v>
      </c>
      <c r="F1936" s="56">
        <v>36</v>
      </c>
      <c r="G1936" s="73">
        <v>758</v>
      </c>
      <c r="H1936" s="74" t="s">
        <v>1786</v>
      </c>
      <c r="I1936" s="59" t="s">
        <v>1787</v>
      </c>
      <c r="J1936" s="59" t="s">
        <v>1788</v>
      </c>
      <c r="K1936" s="69">
        <v>5403</v>
      </c>
      <c r="L1936" s="56">
        <v>207</v>
      </c>
      <c r="M1936" s="59" t="s">
        <v>26</v>
      </c>
      <c r="N1936" s="61">
        <v>259.58999999999997</v>
      </c>
      <c r="O1936" s="59" t="s">
        <v>313</v>
      </c>
      <c r="P1936" s="62">
        <v>242.61</v>
      </c>
      <c r="Q1936" s="63">
        <v>20</v>
      </c>
      <c r="R1936" s="62">
        <v>48.52</v>
      </c>
      <c r="S1936" s="61">
        <v>0</v>
      </c>
      <c r="T1936" s="62">
        <v>16.98</v>
      </c>
    </row>
    <row r="1937" spans="1:20" ht="11.1" customHeight="1" x14ac:dyDescent="0.25">
      <c r="O1937" s="59" t="s">
        <v>436</v>
      </c>
      <c r="P1937" s="62">
        <v>327.52</v>
      </c>
      <c r="Q1937" s="63">
        <v>20</v>
      </c>
      <c r="R1937" s="62">
        <v>16.98</v>
      </c>
      <c r="S1937" s="61">
        <v>0</v>
      </c>
      <c r="T1937" s="62">
        <v>0</v>
      </c>
    </row>
    <row r="1938" spans="1:20" ht="11.85" customHeight="1" x14ac:dyDescent="0.25">
      <c r="A1938" s="71" t="s">
        <v>620</v>
      </c>
      <c r="B1938" s="71"/>
      <c r="C1938" s="71"/>
      <c r="D1938" s="71"/>
      <c r="E1938" s="71"/>
      <c r="F1938" s="71"/>
      <c r="G1938" s="71"/>
      <c r="H1938" s="71"/>
    </row>
    <row r="1939" spans="1:20" ht="11.1" customHeight="1" x14ac:dyDescent="0.25">
      <c r="O1939" s="59" t="s">
        <v>313</v>
      </c>
      <c r="P1939" s="62">
        <v>242.61</v>
      </c>
      <c r="R1939" s="62">
        <v>48.52</v>
      </c>
      <c r="S1939" s="61">
        <v>0</v>
      </c>
      <c r="T1939" s="62">
        <v>16.98</v>
      </c>
    </row>
    <row r="1940" spans="1:20" ht="11.1" customHeight="1" x14ac:dyDescent="0.25">
      <c r="O1940" s="59" t="s">
        <v>436</v>
      </c>
      <c r="P1940" s="62">
        <v>327.52</v>
      </c>
      <c r="R1940" s="62">
        <v>16.98</v>
      </c>
      <c r="S1940" s="61">
        <v>0</v>
      </c>
      <c r="T1940" s="62">
        <v>0</v>
      </c>
    </row>
    <row r="1941" spans="1:20" ht="11.1" customHeight="1" x14ac:dyDescent="0.25">
      <c r="A1941" s="56">
        <v>109216</v>
      </c>
      <c r="B1941" s="72">
        <v>46043</v>
      </c>
      <c r="C1941" s="68">
        <v>46043</v>
      </c>
      <c r="D1941" s="58" t="s">
        <v>1789</v>
      </c>
      <c r="E1941" s="59" t="s">
        <v>352</v>
      </c>
      <c r="F1941" s="56">
        <v>36</v>
      </c>
      <c r="G1941" s="73">
        <v>854</v>
      </c>
      <c r="H1941" s="74" t="s">
        <v>1790</v>
      </c>
      <c r="I1941" s="59" t="s">
        <v>1791</v>
      </c>
      <c r="J1941" s="59" t="s">
        <v>1792</v>
      </c>
      <c r="K1941" s="69">
        <v>5102</v>
      </c>
      <c r="L1941" s="56">
        <v>205</v>
      </c>
      <c r="M1941" s="59" t="s">
        <v>26</v>
      </c>
      <c r="N1941" s="61">
        <v>633.42999999999995</v>
      </c>
      <c r="O1941" s="59" t="s">
        <v>313</v>
      </c>
      <c r="P1941" s="62">
        <v>633.42999999999995</v>
      </c>
      <c r="Q1941" s="63">
        <v>20</v>
      </c>
      <c r="R1941" s="62">
        <v>126.69</v>
      </c>
      <c r="S1941" s="61">
        <v>0</v>
      </c>
      <c r="T1941" s="62">
        <v>0</v>
      </c>
    </row>
    <row r="1942" spans="1:20" ht="11.1" customHeight="1" x14ac:dyDescent="0.25">
      <c r="A1942" s="56">
        <v>109507</v>
      </c>
      <c r="B1942" s="72">
        <v>46049</v>
      </c>
      <c r="C1942" s="68">
        <v>46049</v>
      </c>
      <c r="D1942" s="58" t="s">
        <v>1793</v>
      </c>
      <c r="E1942" s="59" t="s">
        <v>352</v>
      </c>
      <c r="F1942" s="56">
        <v>36</v>
      </c>
      <c r="G1942" s="73">
        <v>854</v>
      </c>
      <c r="H1942" s="74" t="s">
        <v>1790</v>
      </c>
      <c r="I1942" s="59" t="s">
        <v>1791</v>
      </c>
      <c r="J1942" s="59" t="s">
        <v>1792</v>
      </c>
      <c r="K1942" s="69">
        <v>5102</v>
      </c>
      <c r="L1942" s="56">
        <v>205</v>
      </c>
      <c r="M1942" s="59" t="s">
        <v>26</v>
      </c>
      <c r="N1942" s="61">
        <v>1185.31</v>
      </c>
      <c r="O1942" s="59" t="s">
        <v>313</v>
      </c>
      <c r="P1942" s="62">
        <v>1185.31</v>
      </c>
      <c r="Q1942" s="63">
        <v>20</v>
      </c>
      <c r="R1942" s="62">
        <v>237.07</v>
      </c>
      <c r="S1942" s="61">
        <v>0</v>
      </c>
      <c r="T1942" s="62">
        <v>0</v>
      </c>
    </row>
    <row r="1943" spans="1:20" ht="11.1" customHeight="1" x14ac:dyDescent="0.25">
      <c r="A1943" s="56">
        <v>109683</v>
      </c>
      <c r="B1943" s="72">
        <v>46052</v>
      </c>
      <c r="C1943" s="68">
        <v>46052</v>
      </c>
      <c r="D1943" s="58" t="s">
        <v>1794</v>
      </c>
      <c r="E1943" s="59" t="s">
        <v>352</v>
      </c>
      <c r="F1943" s="56">
        <v>36</v>
      </c>
      <c r="G1943" s="73">
        <v>854</v>
      </c>
      <c r="H1943" s="74" t="s">
        <v>1790</v>
      </c>
      <c r="I1943" s="59" t="s">
        <v>1791</v>
      </c>
      <c r="J1943" s="59" t="s">
        <v>1792</v>
      </c>
      <c r="K1943" s="69">
        <v>5102</v>
      </c>
      <c r="L1943" s="56">
        <v>205</v>
      </c>
      <c r="M1943" s="59" t="s">
        <v>26</v>
      </c>
      <c r="N1943" s="61">
        <v>554.63</v>
      </c>
      <c r="O1943" s="59" t="s">
        <v>313</v>
      </c>
      <c r="P1943" s="62">
        <v>554.63</v>
      </c>
      <c r="Q1943" s="63">
        <v>20</v>
      </c>
      <c r="R1943" s="62">
        <v>110.93</v>
      </c>
      <c r="S1943" s="61">
        <v>0</v>
      </c>
      <c r="T1943" s="62">
        <v>0</v>
      </c>
    </row>
    <row r="1944" spans="1:20" ht="11.85" customHeight="1" x14ac:dyDescent="0.25">
      <c r="A1944" s="71" t="s">
        <v>620</v>
      </c>
      <c r="B1944" s="71"/>
      <c r="C1944" s="71"/>
      <c r="D1944" s="71"/>
      <c r="E1944" s="71"/>
      <c r="F1944" s="71"/>
      <c r="G1944" s="71"/>
      <c r="H1944" s="71"/>
    </row>
    <row r="1945" spans="1:20" ht="11.1" customHeight="1" x14ac:dyDescent="0.25">
      <c r="O1945" s="59" t="s">
        <v>313</v>
      </c>
      <c r="P1945" s="62">
        <v>2373.37</v>
      </c>
      <c r="R1945" s="62">
        <v>474.69</v>
      </c>
      <c r="S1945" s="61">
        <v>0</v>
      </c>
      <c r="T1945" s="62">
        <v>0</v>
      </c>
    </row>
    <row r="1946" spans="1:20" ht="11.1" customHeight="1" x14ac:dyDescent="0.25">
      <c r="A1946" s="56">
        <v>109406</v>
      </c>
      <c r="B1946" s="72">
        <v>46045</v>
      </c>
      <c r="C1946" s="68">
        <v>46045</v>
      </c>
      <c r="D1946" s="58" t="s">
        <v>1795</v>
      </c>
      <c r="E1946" s="59" t="s">
        <v>352</v>
      </c>
      <c r="F1946" s="56">
        <v>36</v>
      </c>
      <c r="G1946" s="73">
        <v>25</v>
      </c>
      <c r="H1946" s="74" t="s">
        <v>1796</v>
      </c>
      <c r="I1946" s="59" t="s">
        <v>1797</v>
      </c>
      <c r="J1946" s="59" t="s">
        <v>1798</v>
      </c>
      <c r="K1946" s="69">
        <v>5102</v>
      </c>
      <c r="L1946" s="56">
        <v>205</v>
      </c>
      <c r="M1946" s="59" t="s">
        <v>26</v>
      </c>
      <c r="N1946" s="61">
        <v>2914.5</v>
      </c>
      <c r="O1946" s="59" t="s">
        <v>313</v>
      </c>
      <c r="P1946" s="62">
        <v>2914.5</v>
      </c>
      <c r="Q1946" s="63">
        <v>20</v>
      </c>
      <c r="R1946" s="62">
        <v>582.9</v>
      </c>
      <c r="S1946" s="61">
        <v>0</v>
      </c>
      <c r="T1946" s="62">
        <v>0</v>
      </c>
    </row>
    <row r="1947" spans="1:20" ht="11.1" customHeight="1" x14ac:dyDescent="0.25">
      <c r="A1947" s="56">
        <v>109407</v>
      </c>
      <c r="B1947" s="72">
        <v>46045</v>
      </c>
      <c r="C1947" s="68">
        <v>46045</v>
      </c>
      <c r="D1947" s="58" t="s">
        <v>1795</v>
      </c>
      <c r="E1947" s="59" t="s">
        <v>352</v>
      </c>
      <c r="F1947" s="56">
        <v>36</v>
      </c>
      <c r="G1947" s="73">
        <v>25</v>
      </c>
      <c r="H1947" s="74" t="s">
        <v>1796</v>
      </c>
      <c r="I1947" s="59" t="s">
        <v>1797</v>
      </c>
      <c r="J1947" s="59" t="s">
        <v>1798</v>
      </c>
      <c r="K1947" s="69">
        <v>5403</v>
      </c>
      <c r="L1947" s="56">
        <v>207</v>
      </c>
      <c r="M1947" s="59" t="s">
        <v>26</v>
      </c>
      <c r="N1947" s="61">
        <v>342.73</v>
      </c>
      <c r="O1947" s="59" t="s">
        <v>313</v>
      </c>
      <c r="P1947" s="62">
        <v>320.31</v>
      </c>
      <c r="Q1947" s="63">
        <v>20</v>
      </c>
      <c r="R1947" s="62">
        <v>64.06</v>
      </c>
      <c r="S1947" s="61">
        <v>0</v>
      </c>
      <c r="T1947" s="62">
        <v>22.42</v>
      </c>
    </row>
    <row r="1948" spans="1:20" ht="11.1" customHeight="1" x14ac:dyDescent="0.25">
      <c r="O1948" s="59" t="s">
        <v>436</v>
      </c>
      <c r="P1948" s="62">
        <v>432.42</v>
      </c>
      <c r="Q1948" s="63">
        <v>20</v>
      </c>
      <c r="R1948" s="62">
        <v>22.42</v>
      </c>
      <c r="S1948" s="61">
        <v>0</v>
      </c>
      <c r="T1948" s="62">
        <v>0</v>
      </c>
    </row>
    <row r="1949" spans="1:20" ht="11.85" customHeight="1" x14ac:dyDescent="0.25">
      <c r="A1949" s="71" t="s">
        <v>620</v>
      </c>
      <c r="B1949" s="71"/>
      <c r="C1949" s="71"/>
      <c r="D1949" s="71"/>
      <c r="E1949" s="71"/>
      <c r="F1949" s="71"/>
      <c r="G1949" s="71"/>
      <c r="H1949" s="71"/>
    </row>
    <row r="1950" spans="1:20" ht="11.1" customHeight="1" x14ac:dyDescent="0.25">
      <c r="O1950" s="59" t="s">
        <v>313</v>
      </c>
      <c r="P1950" s="62">
        <v>3234.81</v>
      </c>
      <c r="R1950" s="62">
        <v>646.96</v>
      </c>
      <c r="S1950" s="61">
        <v>0</v>
      </c>
      <c r="T1950" s="62">
        <v>22.42</v>
      </c>
    </row>
    <row r="1951" spans="1:20" ht="11.1" customHeight="1" x14ac:dyDescent="0.25">
      <c r="O1951" s="59" t="s">
        <v>436</v>
      </c>
      <c r="P1951" s="62">
        <v>432.42</v>
      </c>
      <c r="R1951" s="62">
        <v>22.42</v>
      </c>
      <c r="S1951" s="61">
        <v>0</v>
      </c>
      <c r="T1951" s="62">
        <v>0</v>
      </c>
    </row>
    <row r="1952" spans="1:20" ht="11.1" customHeight="1" x14ac:dyDescent="0.25">
      <c r="A1952" s="56">
        <v>109006</v>
      </c>
      <c r="B1952" s="72">
        <v>46038</v>
      </c>
      <c r="C1952" s="68">
        <v>46038</v>
      </c>
      <c r="D1952" s="58" t="s">
        <v>1799</v>
      </c>
      <c r="E1952" s="59" t="s">
        <v>352</v>
      </c>
      <c r="F1952" s="56">
        <v>36</v>
      </c>
      <c r="G1952" s="73">
        <v>169</v>
      </c>
      <c r="H1952" s="74" t="s">
        <v>1800</v>
      </c>
      <c r="I1952" s="59" t="s">
        <v>1801</v>
      </c>
      <c r="J1952" s="59" t="s">
        <v>1802</v>
      </c>
      <c r="K1952" s="69">
        <v>5102</v>
      </c>
      <c r="L1952" s="56">
        <v>205</v>
      </c>
      <c r="M1952" s="59" t="s">
        <v>26</v>
      </c>
      <c r="N1952" s="61">
        <v>465.74</v>
      </c>
      <c r="O1952" s="59" t="s">
        <v>313</v>
      </c>
      <c r="P1952" s="62">
        <v>465.74</v>
      </c>
      <c r="Q1952" s="63">
        <v>20</v>
      </c>
      <c r="R1952" s="62">
        <v>93.15</v>
      </c>
      <c r="S1952" s="61">
        <v>0</v>
      </c>
      <c r="T1952" s="62">
        <v>0</v>
      </c>
    </row>
    <row r="1953" spans="1:20" ht="11.1" customHeight="1" x14ac:dyDescent="0.25">
      <c r="A1953" s="56">
        <v>109007</v>
      </c>
      <c r="B1953" s="72">
        <v>46038</v>
      </c>
      <c r="C1953" s="68">
        <v>46038</v>
      </c>
      <c r="D1953" s="58" t="s">
        <v>1799</v>
      </c>
      <c r="E1953" s="59" t="s">
        <v>352</v>
      </c>
      <c r="F1953" s="56">
        <v>36</v>
      </c>
      <c r="G1953" s="73">
        <v>169</v>
      </c>
      <c r="H1953" s="74" t="s">
        <v>1800</v>
      </c>
      <c r="I1953" s="59" t="s">
        <v>1801</v>
      </c>
      <c r="J1953" s="59" t="s">
        <v>1802</v>
      </c>
      <c r="K1953" s="69">
        <v>5403</v>
      </c>
      <c r="L1953" s="56">
        <v>207</v>
      </c>
      <c r="M1953" s="59" t="s">
        <v>26</v>
      </c>
      <c r="N1953" s="61">
        <v>35.74</v>
      </c>
      <c r="O1953" s="59" t="s">
        <v>313</v>
      </c>
      <c r="P1953" s="62">
        <v>33.4</v>
      </c>
      <c r="Q1953" s="63">
        <v>20</v>
      </c>
      <c r="R1953" s="62">
        <v>6.68</v>
      </c>
      <c r="S1953" s="61">
        <v>0</v>
      </c>
      <c r="T1953" s="62">
        <v>2.34</v>
      </c>
    </row>
    <row r="1954" spans="1:20" ht="11.1" customHeight="1" x14ac:dyDescent="0.25">
      <c r="O1954" s="59" t="s">
        <v>436</v>
      </c>
      <c r="P1954" s="62">
        <v>45.09</v>
      </c>
      <c r="Q1954" s="63">
        <v>20</v>
      </c>
      <c r="R1954" s="62">
        <v>2.34</v>
      </c>
      <c r="S1954" s="61">
        <v>0</v>
      </c>
      <c r="T1954" s="62">
        <v>0</v>
      </c>
    </row>
    <row r="1955" spans="1:20" ht="11.85" customHeight="1" x14ac:dyDescent="0.25">
      <c r="A1955" s="71" t="s">
        <v>620</v>
      </c>
      <c r="B1955" s="71"/>
      <c r="C1955" s="71"/>
      <c r="D1955" s="71"/>
      <c r="E1955" s="71"/>
      <c r="F1955" s="71"/>
      <c r="G1955" s="71"/>
      <c r="H1955" s="71"/>
    </row>
    <row r="1956" spans="1:20" ht="11.1" customHeight="1" x14ac:dyDescent="0.25">
      <c r="O1956" s="59" t="s">
        <v>313</v>
      </c>
      <c r="P1956" s="62">
        <v>499.14</v>
      </c>
      <c r="R1956" s="62">
        <v>99.83</v>
      </c>
      <c r="S1956" s="61">
        <v>0</v>
      </c>
      <c r="T1956" s="62">
        <v>2.34</v>
      </c>
    </row>
    <row r="1957" spans="1:20" ht="11.1" customHeight="1" x14ac:dyDescent="0.25">
      <c r="O1957" s="59" t="s">
        <v>436</v>
      </c>
      <c r="P1957" s="62">
        <v>45.09</v>
      </c>
      <c r="R1957" s="62">
        <v>2.34</v>
      </c>
      <c r="S1957" s="61">
        <v>0</v>
      </c>
      <c r="T1957" s="62">
        <v>0</v>
      </c>
    </row>
    <row r="1958" spans="1:20" ht="11.1" customHeight="1" x14ac:dyDescent="0.25">
      <c r="A1958" s="56">
        <v>108459</v>
      </c>
      <c r="B1958" s="72">
        <v>46027</v>
      </c>
      <c r="C1958" s="68">
        <v>46027</v>
      </c>
      <c r="D1958" s="58" t="s">
        <v>1803</v>
      </c>
      <c r="E1958" s="59" t="s">
        <v>352</v>
      </c>
      <c r="F1958" s="56">
        <v>36</v>
      </c>
      <c r="G1958" s="73">
        <v>8</v>
      </c>
      <c r="H1958" s="74" t="s">
        <v>1804</v>
      </c>
      <c r="I1958" s="59" t="s">
        <v>1805</v>
      </c>
      <c r="J1958" s="59" t="s">
        <v>1806</v>
      </c>
      <c r="K1958" s="69">
        <v>5102</v>
      </c>
      <c r="L1958" s="56">
        <v>205</v>
      </c>
      <c r="M1958" s="59" t="s">
        <v>26</v>
      </c>
      <c r="N1958" s="61">
        <v>365.32</v>
      </c>
      <c r="O1958" s="59" t="s">
        <v>313</v>
      </c>
      <c r="P1958" s="62">
        <v>365.32</v>
      </c>
      <c r="Q1958" s="63">
        <v>20</v>
      </c>
      <c r="R1958" s="62">
        <v>73.06</v>
      </c>
      <c r="S1958" s="61">
        <v>0</v>
      </c>
      <c r="T1958" s="62">
        <v>0</v>
      </c>
    </row>
    <row r="1959" spans="1:20" ht="11.1" customHeight="1" x14ac:dyDescent="0.25">
      <c r="A1959" s="56">
        <v>108460</v>
      </c>
      <c r="B1959" s="72">
        <v>46027</v>
      </c>
      <c r="C1959" s="68">
        <v>46027</v>
      </c>
      <c r="D1959" s="58" t="s">
        <v>1803</v>
      </c>
      <c r="E1959" s="59" t="s">
        <v>352</v>
      </c>
      <c r="F1959" s="56">
        <v>36</v>
      </c>
      <c r="G1959" s="73">
        <v>8</v>
      </c>
      <c r="H1959" s="74" t="s">
        <v>1804</v>
      </c>
      <c r="I1959" s="59" t="s">
        <v>1805</v>
      </c>
      <c r="J1959" s="59" t="s">
        <v>1806</v>
      </c>
      <c r="K1959" s="69">
        <v>5403</v>
      </c>
      <c r="L1959" s="56">
        <v>207</v>
      </c>
      <c r="M1959" s="59" t="s">
        <v>26</v>
      </c>
      <c r="N1959" s="61">
        <v>256.08999999999997</v>
      </c>
      <c r="O1959" s="59" t="s">
        <v>313</v>
      </c>
      <c r="P1959" s="62">
        <v>239.34</v>
      </c>
      <c r="Q1959" s="63">
        <v>20</v>
      </c>
      <c r="R1959" s="62">
        <v>47.87</v>
      </c>
      <c r="S1959" s="61">
        <v>0</v>
      </c>
      <c r="T1959" s="62">
        <v>16.75</v>
      </c>
    </row>
    <row r="1960" spans="1:20" ht="11.1" customHeight="1" x14ac:dyDescent="0.25">
      <c r="O1960" s="59" t="s">
        <v>436</v>
      </c>
      <c r="P1960" s="62">
        <v>323.11</v>
      </c>
      <c r="Q1960" s="63">
        <v>20</v>
      </c>
      <c r="R1960" s="62">
        <v>16.75</v>
      </c>
      <c r="S1960" s="61">
        <v>0</v>
      </c>
      <c r="T1960" s="62">
        <v>0</v>
      </c>
    </row>
    <row r="1961" spans="1:20" ht="11.1" customHeight="1" x14ac:dyDescent="0.25">
      <c r="A1961" s="56">
        <v>108930</v>
      </c>
      <c r="B1961" s="72">
        <v>46036</v>
      </c>
      <c r="C1961" s="68">
        <v>46036</v>
      </c>
      <c r="D1961" s="58" t="s">
        <v>1807</v>
      </c>
      <c r="E1961" s="59" t="s">
        <v>352</v>
      </c>
      <c r="F1961" s="56">
        <v>36</v>
      </c>
      <c r="G1961" s="73">
        <v>8</v>
      </c>
      <c r="H1961" s="74" t="s">
        <v>1804</v>
      </c>
      <c r="I1961" s="59" t="s">
        <v>1805</v>
      </c>
      <c r="J1961" s="59" t="s">
        <v>1806</v>
      </c>
      <c r="K1961" s="69">
        <v>5102</v>
      </c>
      <c r="L1961" s="56">
        <v>205</v>
      </c>
      <c r="M1961" s="59" t="s">
        <v>26</v>
      </c>
      <c r="N1961" s="61">
        <v>340.87</v>
      </c>
      <c r="O1961" s="59" t="s">
        <v>313</v>
      </c>
      <c r="P1961" s="62">
        <v>340.87</v>
      </c>
      <c r="Q1961" s="63">
        <v>20</v>
      </c>
      <c r="R1961" s="62">
        <v>68.180000000000007</v>
      </c>
      <c r="S1961" s="61">
        <v>0</v>
      </c>
      <c r="T1961" s="62">
        <v>0</v>
      </c>
    </row>
    <row r="1962" spans="1:20" ht="11.1" customHeight="1" x14ac:dyDescent="0.25">
      <c r="A1962" s="56">
        <v>108931</v>
      </c>
      <c r="B1962" s="72">
        <v>46036</v>
      </c>
      <c r="C1962" s="68">
        <v>46036</v>
      </c>
      <c r="D1962" s="58" t="s">
        <v>1807</v>
      </c>
      <c r="E1962" s="59" t="s">
        <v>352</v>
      </c>
      <c r="F1962" s="56">
        <v>36</v>
      </c>
      <c r="G1962" s="73">
        <v>8</v>
      </c>
      <c r="H1962" s="74" t="s">
        <v>1804</v>
      </c>
      <c r="I1962" s="59" t="s">
        <v>1805</v>
      </c>
      <c r="J1962" s="59" t="s">
        <v>1806</v>
      </c>
      <c r="K1962" s="69">
        <v>5403</v>
      </c>
      <c r="L1962" s="56">
        <v>207</v>
      </c>
      <c r="M1962" s="59" t="s">
        <v>26</v>
      </c>
      <c r="N1962" s="61">
        <v>256.08999999999997</v>
      </c>
      <c r="O1962" s="59" t="s">
        <v>313</v>
      </c>
      <c r="P1962" s="62">
        <v>239.34</v>
      </c>
      <c r="Q1962" s="63">
        <v>20</v>
      </c>
      <c r="R1962" s="62">
        <v>47.87</v>
      </c>
      <c r="S1962" s="61">
        <v>0</v>
      </c>
      <c r="T1962" s="62">
        <v>16.75</v>
      </c>
    </row>
    <row r="1963" spans="1:20" ht="11.1" customHeight="1" x14ac:dyDescent="0.25">
      <c r="O1963" s="59" t="s">
        <v>436</v>
      </c>
      <c r="P1963" s="62">
        <v>323.11</v>
      </c>
      <c r="Q1963" s="63">
        <v>20</v>
      </c>
      <c r="R1963" s="62">
        <v>16.75</v>
      </c>
      <c r="S1963" s="61">
        <v>0</v>
      </c>
      <c r="T1963" s="62">
        <v>0</v>
      </c>
    </row>
    <row r="1964" spans="1:20" ht="11.1" customHeight="1" x14ac:dyDescent="0.25">
      <c r="A1964" s="56">
        <v>109321</v>
      </c>
      <c r="B1964" s="72">
        <v>46045</v>
      </c>
      <c r="C1964" s="68">
        <v>46045</v>
      </c>
      <c r="D1964" s="58" t="s">
        <v>1808</v>
      </c>
      <c r="E1964" s="59" t="s">
        <v>352</v>
      </c>
      <c r="F1964" s="56">
        <v>36</v>
      </c>
      <c r="G1964" s="73">
        <v>8</v>
      </c>
      <c r="H1964" s="74" t="s">
        <v>1804</v>
      </c>
      <c r="I1964" s="59" t="s">
        <v>1805</v>
      </c>
      <c r="J1964" s="59" t="s">
        <v>1806</v>
      </c>
      <c r="K1964" s="69">
        <v>5102</v>
      </c>
      <c r="L1964" s="56">
        <v>205</v>
      </c>
      <c r="M1964" s="59" t="s">
        <v>26</v>
      </c>
      <c r="N1964" s="61">
        <v>499.34</v>
      </c>
      <c r="O1964" s="59" t="s">
        <v>313</v>
      </c>
      <c r="P1964" s="62">
        <v>499.34</v>
      </c>
      <c r="Q1964" s="63">
        <v>20</v>
      </c>
      <c r="R1964" s="62">
        <v>99.87</v>
      </c>
      <c r="S1964" s="61">
        <v>0</v>
      </c>
      <c r="T1964" s="62">
        <v>0</v>
      </c>
    </row>
    <row r="1965" spans="1:20" ht="11.1" customHeight="1" x14ac:dyDescent="0.25">
      <c r="A1965" s="56">
        <v>109322</v>
      </c>
      <c r="B1965" s="72">
        <v>46045</v>
      </c>
      <c r="C1965" s="68">
        <v>46045</v>
      </c>
      <c r="D1965" s="58" t="s">
        <v>1808</v>
      </c>
      <c r="E1965" s="59" t="s">
        <v>352</v>
      </c>
      <c r="F1965" s="56">
        <v>36</v>
      </c>
      <c r="G1965" s="73">
        <v>8</v>
      </c>
      <c r="H1965" s="74" t="s">
        <v>1804</v>
      </c>
      <c r="I1965" s="59" t="s">
        <v>1805</v>
      </c>
      <c r="J1965" s="59" t="s">
        <v>1806</v>
      </c>
      <c r="K1965" s="69">
        <v>5403</v>
      </c>
      <c r="L1965" s="56">
        <v>207</v>
      </c>
      <c r="M1965" s="59" t="s">
        <v>26</v>
      </c>
      <c r="N1965" s="61">
        <v>256.08999999999997</v>
      </c>
      <c r="O1965" s="59" t="s">
        <v>313</v>
      </c>
      <c r="P1965" s="62">
        <v>239.34</v>
      </c>
      <c r="Q1965" s="63">
        <v>20</v>
      </c>
      <c r="R1965" s="62">
        <v>47.87</v>
      </c>
      <c r="S1965" s="61">
        <v>0</v>
      </c>
      <c r="T1965" s="62">
        <v>16.75</v>
      </c>
    </row>
    <row r="1966" spans="1:20" ht="11.1" customHeight="1" x14ac:dyDescent="0.25">
      <c r="O1966" s="59" t="s">
        <v>436</v>
      </c>
      <c r="P1966" s="62">
        <v>323.11</v>
      </c>
      <c r="Q1966" s="63">
        <v>20</v>
      </c>
      <c r="R1966" s="62">
        <v>16.75</v>
      </c>
      <c r="S1966" s="61">
        <v>0</v>
      </c>
      <c r="T1966" s="62">
        <v>0</v>
      </c>
    </row>
    <row r="1967" spans="1:20" ht="11.85" customHeight="1" x14ac:dyDescent="0.25">
      <c r="A1967" s="71" t="s">
        <v>620</v>
      </c>
      <c r="B1967" s="71"/>
      <c r="C1967" s="71"/>
      <c r="D1967" s="71"/>
      <c r="E1967" s="71"/>
      <c r="F1967" s="71"/>
      <c r="G1967" s="71"/>
      <c r="H1967" s="71"/>
    </row>
    <row r="1968" spans="1:20" ht="11.1" customHeight="1" x14ac:dyDescent="0.25">
      <c r="O1968" s="59" t="s">
        <v>313</v>
      </c>
      <c r="P1968" s="62">
        <v>1923.55</v>
      </c>
      <c r="R1968" s="62">
        <v>384.72</v>
      </c>
      <c r="S1968" s="61">
        <v>0</v>
      </c>
      <c r="T1968" s="62">
        <v>50.25</v>
      </c>
    </row>
    <row r="1969" spans="1:20" ht="11.1" customHeight="1" x14ac:dyDescent="0.25">
      <c r="O1969" s="59" t="s">
        <v>436</v>
      </c>
      <c r="P1969" s="62">
        <v>969.33</v>
      </c>
      <c r="R1969" s="62">
        <v>50.25</v>
      </c>
      <c r="S1969" s="61">
        <v>0</v>
      </c>
      <c r="T1969" s="62">
        <v>0</v>
      </c>
    </row>
    <row r="1970" spans="1:20" ht="11.1" customHeight="1" x14ac:dyDescent="0.25">
      <c r="A1970" s="56">
        <v>108972</v>
      </c>
      <c r="B1970" s="72">
        <v>46037</v>
      </c>
      <c r="C1970" s="68">
        <v>46037</v>
      </c>
      <c r="D1970" s="58" t="s">
        <v>1809</v>
      </c>
      <c r="E1970" s="59" t="s">
        <v>352</v>
      </c>
      <c r="F1970" s="56">
        <v>36</v>
      </c>
      <c r="G1970" s="73">
        <v>519</v>
      </c>
      <c r="H1970" s="74" t="s">
        <v>1810</v>
      </c>
      <c r="I1970" s="59" t="s">
        <v>1811</v>
      </c>
      <c r="J1970" s="59" t="s">
        <v>1812</v>
      </c>
      <c r="K1970" s="69">
        <v>5102</v>
      </c>
      <c r="L1970" s="56">
        <v>205</v>
      </c>
      <c r="M1970" s="59" t="s">
        <v>26</v>
      </c>
      <c r="N1970" s="61">
        <v>29.65</v>
      </c>
      <c r="O1970" s="59" t="s">
        <v>313</v>
      </c>
      <c r="P1970" s="62">
        <v>29.65</v>
      </c>
      <c r="Q1970" s="63">
        <v>20</v>
      </c>
      <c r="R1970" s="62">
        <v>5.93</v>
      </c>
      <c r="S1970" s="61">
        <v>0</v>
      </c>
      <c r="T1970" s="62">
        <v>0</v>
      </c>
    </row>
    <row r="1971" spans="1:20" ht="11.1" customHeight="1" x14ac:dyDescent="0.25">
      <c r="A1971" s="56">
        <v>108973</v>
      </c>
      <c r="B1971" s="72">
        <v>46037</v>
      </c>
      <c r="C1971" s="68">
        <v>46037</v>
      </c>
      <c r="D1971" s="58" t="s">
        <v>1809</v>
      </c>
      <c r="E1971" s="59" t="s">
        <v>352</v>
      </c>
      <c r="F1971" s="56">
        <v>36</v>
      </c>
      <c r="G1971" s="73">
        <v>519</v>
      </c>
      <c r="H1971" s="74" t="s">
        <v>1810</v>
      </c>
      <c r="I1971" s="59" t="s">
        <v>1811</v>
      </c>
      <c r="J1971" s="59" t="s">
        <v>1812</v>
      </c>
      <c r="K1971" s="69">
        <v>5403</v>
      </c>
      <c r="L1971" s="56">
        <v>207</v>
      </c>
      <c r="M1971" s="59" t="s">
        <v>26</v>
      </c>
      <c r="N1971" s="61">
        <v>178.65</v>
      </c>
      <c r="O1971" s="59" t="s">
        <v>313</v>
      </c>
      <c r="P1971" s="62">
        <v>166.96</v>
      </c>
      <c r="Q1971" s="63">
        <v>20</v>
      </c>
      <c r="R1971" s="62">
        <v>33.39</v>
      </c>
      <c r="S1971" s="61">
        <v>0</v>
      </c>
      <c r="T1971" s="62">
        <v>11.69</v>
      </c>
    </row>
    <row r="1972" spans="1:20" ht="11.1" customHeight="1" x14ac:dyDescent="0.25">
      <c r="O1972" s="59" t="s">
        <v>436</v>
      </c>
      <c r="P1972" s="62">
        <v>225.4</v>
      </c>
      <c r="Q1972" s="63">
        <v>20</v>
      </c>
      <c r="R1972" s="62">
        <v>11.69</v>
      </c>
      <c r="S1972" s="61">
        <v>0</v>
      </c>
      <c r="T1972" s="62">
        <v>0</v>
      </c>
    </row>
    <row r="1973" spans="1:20" ht="11.1" customHeight="1" x14ac:dyDescent="0.25">
      <c r="A1973" s="56">
        <v>108975</v>
      </c>
      <c r="B1973" s="72">
        <v>46037</v>
      </c>
      <c r="C1973" s="68">
        <v>46037</v>
      </c>
      <c r="D1973" s="58" t="s">
        <v>1813</v>
      </c>
      <c r="E1973" s="59" t="s">
        <v>352</v>
      </c>
      <c r="F1973" s="56">
        <v>36</v>
      </c>
      <c r="G1973" s="73">
        <v>519</v>
      </c>
      <c r="H1973" s="74" t="s">
        <v>1810</v>
      </c>
      <c r="I1973" s="59" t="s">
        <v>1811</v>
      </c>
      <c r="J1973" s="59" t="s">
        <v>1812</v>
      </c>
      <c r="K1973" s="69">
        <v>5102</v>
      </c>
      <c r="L1973" s="56">
        <v>205</v>
      </c>
      <c r="M1973" s="59" t="s">
        <v>26</v>
      </c>
      <c r="N1973" s="61">
        <v>1132.55</v>
      </c>
      <c r="O1973" s="59" t="s">
        <v>313</v>
      </c>
      <c r="P1973" s="62">
        <v>1132.55</v>
      </c>
      <c r="Q1973" s="63">
        <v>20</v>
      </c>
      <c r="R1973" s="62">
        <v>226.5</v>
      </c>
      <c r="S1973" s="61">
        <v>0</v>
      </c>
      <c r="T1973" s="62">
        <v>0</v>
      </c>
    </row>
    <row r="1974" spans="1:20" ht="11.85" customHeight="1" x14ac:dyDescent="0.25">
      <c r="A1974" s="71" t="s">
        <v>620</v>
      </c>
      <c r="B1974" s="71"/>
      <c r="C1974" s="71"/>
      <c r="D1974" s="71"/>
      <c r="E1974" s="71"/>
      <c r="F1974" s="71"/>
      <c r="G1974" s="71"/>
      <c r="H1974" s="71"/>
    </row>
    <row r="1975" spans="1:20" ht="11.1" customHeight="1" x14ac:dyDescent="0.25">
      <c r="O1975" s="59" t="s">
        <v>313</v>
      </c>
      <c r="P1975" s="62">
        <v>1329.16</v>
      </c>
      <c r="R1975" s="62">
        <v>265.82</v>
      </c>
      <c r="S1975" s="61">
        <v>0</v>
      </c>
      <c r="T1975" s="62">
        <v>11.69</v>
      </c>
    </row>
    <row r="1976" spans="1:20" ht="11.1" customHeight="1" x14ac:dyDescent="0.25">
      <c r="O1976" s="59" t="s">
        <v>436</v>
      </c>
      <c r="P1976" s="62">
        <v>225.4</v>
      </c>
      <c r="R1976" s="62">
        <v>11.69</v>
      </c>
      <c r="S1976" s="61">
        <v>0</v>
      </c>
      <c r="T1976" s="62">
        <v>0</v>
      </c>
    </row>
    <row r="1977" spans="1:20" ht="11.1" customHeight="1" x14ac:dyDescent="0.25">
      <c r="A1977" s="56">
        <v>108380</v>
      </c>
      <c r="B1977" s="72">
        <v>46024</v>
      </c>
      <c r="C1977" s="68">
        <v>46024</v>
      </c>
      <c r="D1977" s="58" t="s">
        <v>1814</v>
      </c>
      <c r="E1977" s="59" t="s">
        <v>352</v>
      </c>
      <c r="F1977" s="56">
        <v>36</v>
      </c>
      <c r="G1977" s="73">
        <v>6</v>
      </c>
      <c r="H1977" s="74" t="s">
        <v>1815</v>
      </c>
      <c r="I1977" s="59" t="s">
        <v>1816</v>
      </c>
      <c r="J1977" s="59" t="s">
        <v>1817</v>
      </c>
      <c r="K1977" s="69">
        <v>5102</v>
      </c>
      <c r="L1977" s="56">
        <v>205</v>
      </c>
      <c r="M1977" s="59" t="s">
        <v>26</v>
      </c>
      <c r="N1977" s="61">
        <v>227.2</v>
      </c>
      <c r="O1977" s="59" t="s">
        <v>313</v>
      </c>
      <c r="P1977" s="62">
        <v>227.2</v>
      </c>
      <c r="Q1977" s="63">
        <v>20</v>
      </c>
      <c r="R1977" s="62">
        <v>45.44</v>
      </c>
      <c r="S1977" s="61">
        <v>0</v>
      </c>
      <c r="T1977" s="62">
        <v>0</v>
      </c>
    </row>
    <row r="1978" spans="1:20" ht="11.1" customHeight="1" x14ac:dyDescent="0.25">
      <c r="A1978" s="56">
        <v>108381</v>
      </c>
      <c r="B1978" s="72">
        <v>46024</v>
      </c>
      <c r="C1978" s="68">
        <v>46024</v>
      </c>
      <c r="D1978" s="58" t="s">
        <v>1818</v>
      </c>
      <c r="E1978" s="59" t="s">
        <v>352</v>
      </c>
      <c r="F1978" s="56">
        <v>36</v>
      </c>
      <c r="G1978" s="73">
        <v>6</v>
      </c>
      <c r="H1978" s="74" t="s">
        <v>1815</v>
      </c>
      <c r="I1978" s="59" t="s">
        <v>1816</v>
      </c>
      <c r="J1978" s="59" t="s">
        <v>1817</v>
      </c>
      <c r="K1978" s="69">
        <v>5102</v>
      </c>
      <c r="L1978" s="56">
        <v>205</v>
      </c>
      <c r="M1978" s="59" t="s">
        <v>26</v>
      </c>
      <c r="N1978" s="61">
        <v>30.59</v>
      </c>
      <c r="O1978" s="59" t="s">
        <v>313</v>
      </c>
      <c r="P1978" s="62">
        <v>30.59</v>
      </c>
      <c r="Q1978" s="63">
        <v>20</v>
      </c>
      <c r="R1978" s="62">
        <v>6.12</v>
      </c>
      <c r="S1978" s="61">
        <v>0</v>
      </c>
      <c r="T1978" s="62">
        <v>0</v>
      </c>
    </row>
    <row r="1979" spans="1:20" ht="11.1" customHeight="1" x14ac:dyDescent="0.25">
      <c r="A1979" s="56">
        <v>109370</v>
      </c>
      <c r="B1979" s="72">
        <v>46045</v>
      </c>
      <c r="C1979" s="68">
        <v>46045</v>
      </c>
      <c r="D1979" s="58" t="s">
        <v>1819</v>
      </c>
      <c r="E1979" s="59" t="s">
        <v>352</v>
      </c>
      <c r="F1979" s="56">
        <v>36</v>
      </c>
      <c r="G1979" s="73">
        <v>6</v>
      </c>
      <c r="H1979" s="74" t="s">
        <v>1815</v>
      </c>
      <c r="I1979" s="59" t="s">
        <v>1816</v>
      </c>
      <c r="J1979" s="59" t="s">
        <v>1817</v>
      </c>
      <c r="K1979" s="69">
        <v>5102</v>
      </c>
      <c r="L1979" s="56">
        <v>205</v>
      </c>
      <c r="M1979" s="59" t="s">
        <v>26</v>
      </c>
      <c r="N1979" s="61">
        <v>146.02000000000001</v>
      </c>
      <c r="O1979" s="59" t="s">
        <v>313</v>
      </c>
      <c r="P1979" s="62">
        <v>146.02000000000001</v>
      </c>
      <c r="Q1979" s="63">
        <v>20</v>
      </c>
      <c r="R1979" s="62">
        <v>29.2</v>
      </c>
      <c r="S1979" s="61">
        <v>0</v>
      </c>
      <c r="T1979" s="62">
        <v>0</v>
      </c>
    </row>
    <row r="1980" spans="1:20" ht="11.1" customHeight="1" x14ac:dyDescent="0.25">
      <c r="A1980" s="56">
        <v>109540</v>
      </c>
      <c r="B1980" s="72">
        <v>46050</v>
      </c>
      <c r="C1980" s="68">
        <v>46050</v>
      </c>
      <c r="D1980" s="58" t="s">
        <v>1820</v>
      </c>
      <c r="E1980" s="59" t="s">
        <v>352</v>
      </c>
      <c r="F1980" s="56">
        <v>36</v>
      </c>
      <c r="G1980" s="73">
        <v>6</v>
      </c>
      <c r="H1980" s="74" t="s">
        <v>1815</v>
      </c>
      <c r="I1980" s="59" t="s">
        <v>1816</v>
      </c>
      <c r="J1980" s="59" t="s">
        <v>1817</v>
      </c>
      <c r="K1980" s="69">
        <v>5102</v>
      </c>
      <c r="L1980" s="56">
        <v>205</v>
      </c>
      <c r="M1980" s="59" t="s">
        <v>26</v>
      </c>
      <c r="N1980" s="61">
        <v>127.41</v>
      </c>
      <c r="O1980" s="59" t="s">
        <v>313</v>
      </c>
      <c r="P1980" s="62">
        <v>127.41</v>
      </c>
      <c r="Q1980" s="63">
        <v>20</v>
      </c>
      <c r="R1980" s="62">
        <v>25.48</v>
      </c>
      <c r="S1980" s="61">
        <v>0</v>
      </c>
      <c r="T1980" s="62">
        <v>0</v>
      </c>
    </row>
    <row r="1981" spans="1:20" ht="11.1" customHeight="1" x14ac:dyDescent="0.25">
      <c r="A1981" s="56">
        <v>109675</v>
      </c>
      <c r="B1981" s="72">
        <v>46052</v>
      </c>
      <c r="C1981" s="68">
        <v>46052</v>
      </c>
      <c r="D1981" s="58" t="s">
        <v>1821</v>
      </c>
      <c r="E1981" s="59" t="s">
        <v>352</v>
      </c>
      <c r="F1981" s="56">
        <v>36</v>
      </c>
      <c r="G1981" s="73">
        <v>6</v>
      </c>
      <c r="H1981" s="74" t="s">
        <v>1815</v>
      </c>
      <c r="I1981" s="59" t="s">
        <v>1816</v>
      </c>
      <c r="J1981" s="59" t="s">
        <v>1817</v>
      </c>
      <c r="K1981" s="69">
        <v>5102</v>
      </c>
      <c r="L1981" s="56">
        <v>205</v>
      </c>
      <c r="M1981" s="59" t="s">
        <v>26</v>
      </c>
      <c r="N1981" s="61">
        <v>41.35</v>
      </c>
      <c r="O1981" s="59" t="s">
        <v>313</v>
      </c>
      <c r="P1981" s="62">
        <v>41.35</v>
      </c>
      <c r="Q1981" s="63">
        <v>20</v>
      </c>
      <c r="R1981" s="62">
        <v>8.27</v>
      </c>
      <c r="S1981" s="61">
        <v>0</v>
      </c>
      <c r="T1981" s="62">
        <v>0</v>
      </c>
    </row>
    <row r="1982" spans="1:20" ht="11.85" customHeight="1" x14ac:dyDescent="0.25">
      <c r="A1982" s="71" t="s">
        <v>620</v>
      </c>
      <c r="B1982" s="71"/>
      <c r="C1982" s="71"/>
      <c r="D1982" s="71"/>
      <c r="E1982" s="71"/>
      <c r="F1982" s="71"/>
      <c r="G1982" s="71"/>
      <c r="H1982" s="71"/>
    </row>
    <row r="1983" spans="1:20" ht="11.1" customHeight="1" x14ac:dyDescent="0.25">
      <c r="O1983" s="59" t="s">
        <v>313</v>
      </c>
      <c r="P1983" s="62">
        <v>572.57000000000005</v>
      </c>
      <c r="R1983" s="62">
        <v>114.51</v>
      </c>
      <c r="S1983" s="61">
        <v>0</v>
      </c>
      <c r="T1983" s="62">
        <v>0</v>
      </c>
    </row>
    <row r="1984" spans="1:20" ht="11.1" customHeight="1" x14ac:dyDescent="0.25">
      <c r="A1984" s="56">
        <v>109466</v>
      </c>
      <c r="B1984" s="72">
        <v>46048</v>
      </c>
      <c r="C1984" s="68">
        <v>46048</v>
      </c>
      <c r="D1984" s="58" t="s">
        <v>1822</v>
      </c>
      <c r="E1984" s="59" t="s">
        <v>352</v>
      </c>
      <c r="F1984" s="56">
        <v>36</v>
      </c>
      <c r="G1984" s="73">
        <v>149</v>
      </c>
      <c r="H1984" s="74" t="s">
        <v>1823</v>
      </c>
      <c r="I1984" s="59" t="s">
        <v>1824</v>
      </c>
      <c r="J1984" s="59" t="s">
        <v>1825</v>
      </c>
      <c r="K1984" s="69">
        <v>5102</v>
      </c>
      <c r="L1984" s="56">
        <v>205</v>
      </c>
      <c r="M1984" s="59" t="s">
        <v>26</v>
      </c>
      <c r="N1984" s="61">
        <v>3066.58</v>
      </c>
      <c r="O1984" s="59" t="s">
        <v>313</v>
      </c>
      <c r="P1984" s="62">
        <v>3066.58</v>
      </c>
      <c r="Q1984" s="63">
        <v>20</v>
      </c>
      <c r="R1984" s="62">
        <v>613.32000000000005</v>
      </c>
      <c r="S1984" s="61">
        <v>0</v>
      </c>
      <c r="T1984" s="62">
        <v>0</v>
      </c>
    </row>
    <row r="1985" spans="1:20" ht="11.1" customHeight="1" x14ac:dyDescent="0.25">
      <c r="A1985" s="56">
        <v>109467</v>
      </c>
      <c r="B1985" s="72">
        <v>46048</v>
      </c>
      <c r="C1985" s="68">
        <v>46048</v>
      </c>
      <c r="D1985" s="58" t="s">
        <v>1822</v>
      </c>
      <c r="E1985" s="59" t="s">
        <v>352</v>
      </c>
      <c r="F1985" s="56">
        <v>36</v>
      </c>
      <c r="G1985" s="73">
        <v>149</v>
      </c>
      <c r="H1985" s="74" t="s">
        <v>1823</v>
      </c>
      <c r="I1985" s="59" t="s">
        <v>1824</v>
      </c>
      <c r="J1985" s="59" t="s">
        <v>1825</v>
      </c>
      <c r="K1985" s="69">
        <v>5403</v>
      </c>
      <c r="L1985" s="56">
        <v>207</v>
      </c>
      <c r="M1985" s="59" t="s">
        <v>26</v>
      </c>
      <c r="N1985" s="61">
        <v>970.51</v>
      </c>
      <c r="O1985" s="59" t="s">
        <v>313</v>
      </c>
      <c r="P1985" s="62">
        <v>907.02</v>
      </c>
      <c r="Q1985" s="63">
        <v>20</v>
      </c>
      <c r="R1985" s="62">
        <v>181.4</v>
      </c>
      <c r="S1985" s="61">
        <v>0</v>
      </c>
      <c r="T1985" s="62">
        <v>63.49</v>
      </c>
    </row>
    <row r="1986" spans="1:20" ht="11.1" customHeight="1" x14ac:dyDescent="0.25">
      <c r="O1986" s="59" t="s">
        <v>436</v>
      </c>
      <c r="P1986" s="62">
        <v>1224.47</v>
      </c>
      <c r="Q1986" s="63">
        <v>20</v>
      </c>
      <c r="R1986" s="62">
        <v>63.49</v>
      </c>
      <c r="S1986" s="61">
        <v>0</v>
      </c>
      <c r="T1986" s="62">
        <v>0</v>
      </c>
    </row>
    <row r="1987" spans="1:20" ht="11.85" customHeight="1" x14ac:dyDescent="0.25">
      <c r="A1987" s="71" t="s">
        <v>620</v>
      </c>
      <c r="B1987" s="71"/>
      <c r="C1987" s="71"/>
      <c r="D1987" s="71"/>
      <c r="E1987" s="71"/>
      <c r="F1987" s="71"/>
      <c r="G1987" s="71"/>
      <c r="H1987" s="71"/>
    </row>
    <row r="1988" spans="1:20" ht="11.1" customHeight="1" x14ac:dyDescent="0.25">
      <c r="O1988" s="59" t="s">
        <v>313</v>
      </c>
      <c r="P1988" s="62">
        <v>3973.6</v>
      </c>
      <c r="R1988" s="62">
        <v>794.72</v>
      </c>
      <c r="S1988" s="61">
        <v>0</v>
      </c>
      <c r="T1988" s="62">
        <v>63.49</v>
      </c>
    </row>
    <row r="1989" spans="1:20" ht="11.1" customHeight="1" x14ac:dyDescent="0.25">
      <c r="O1989" s="59" t="s">
        <v>436</v>
      </c>
      <c r="P1989" s="62">
        <v>1224.47</v>
      </c>
      <c r="R1989" s="62">
        <v>63.49</v>
      </c>
      <c r="S1989" s="61">
        <v>0</v>
      </c>
      <c r="T1989" s="62">
        <v>0</v>
      </c>
    </row>
    <row r="1990" spans="1:20" ht="11.1" customHeight="1" x14ac:dyDescent="0.25">
      <c r="A1990" s="56">
        <v>109345</v>
      </c>
      <c r="B1990" s="72">
        <v>46045</v>
      </c>
      <c r="C1990" s="68">
        <v>46045</v>
      </c>
      <c r="D1990" s="58" t="s">
        <v>1826</v>
      </c>
      <c r="E1990" s="59" t="s">
        <v>352</v>
      </c>
      <c r="F1990" s="56">
        <v>36</v>
      </c>
      <c r="G1990" s="73">
        <v>546</v>
      </c>
      <c r="H1990" s="74" t="s">
        <v>1827</v>
      </c>
      <c r="I1990" s="59" t="s">
        <v>1828</v>
      </c>
      <c r="J1990" s="59" t="s">
        <v>1829</v>
      </c>
      <c r="K1990" s="69">
        <v>5102</v>
      </c>
      <c r="L1990" s="56">
        <v>205</v>
      </c>
      <c r="M1990" s="59" t="s">
        <v>26</v>
      </c>
      <c r="N1990" s="61">
        <v>509.04</v>
      </c>
      <c r="O1990" s="59" t="s">
        <v>313</v>
      </c>
      <c r="P1990" s="62">
        <v>509.04</v>
      </c>
      <c r="Q1990" s="63">
        <v>20</v>
      </c>
      <c r="R1990" s="62">
        <v>101.81</v>
      </c>
      <c r="S1990" s="61">
        <v>0</v>
      </c>
      <c r="T1990" s="62">
        <v>0</v>
      </c>
    </row>
    <row r="1991" spans="1:20" ht="11.1" customHeight="1" x14ac:dyDescent="0.25">
      <c r="A1991" s="56">
        <v>109346</v>
      </c>
      <c r="B1991" s="72">
        <v>46045</v>
      </c>
      <c r="C1991" s="68">
        <v>46045</v>
      </c>
      <c r="D1991" s="58" t="s">
        <v>1826</v>
      </c>
      <c r="E1991" s="59" t="s">
        <v>352</v>
      </c>
      <c r="F1991" s="56">
        <v>36</v>
      </c>
      <c r="G1991" s="73">
        <v>546</v>
      </c>
      <c r="H1991" s="74" t="s">
        <v>1827</v>
      </c>
      <c r="I1991" s="59" t="s">
        <v>1828</v>
      </c>
      <c r="J1991" s="59" t="s">
        <v>1829</v>
      </c>
      <c r="K1991" s="69">
        <v>5403</v>
      </c>
      <c r="L1991" s="56">
        <v>207</v>
      </c>
      <c r="M1991" s="59" t="s">
        <v>26</v>
      </c>
      <c r="N1991" s="61">
        <v>65.83</v>
      </c>
      <c r="O1991" s="59" t="s">
        <v>313</v>
      </c>
      <c r="P1991" s="62">
        <v>61.52</v>
      </c>
      <c r="Q1991" s="63">
        <v>20</v>
      </c>
      <c r="R1991" s="62">
        <v>12.3</v>
      </c>
      <c r="S1991" s="61">
        <v>0</v>
      </c>
      <c r="T1991" s="62">
        <v>4.3099999999999996</v>
      </c>
    </row>
    <row r="1992" spans="1:20" ht="11.1" customHeight="1" x14ac:dyDescent="0.25">
      <c r="O1992" s="59" t="s">
        <v>436</v>
      </c>
      <c r="P1992" s="62">
        <v>83.06</v>
      </c>
      <c r="Q1992" s="63">
        <v>20</v>
      </c>
      <c r="R1992" s="62">
        <v>4.3099999999999996</v>
      </c>
      <c r="S1992" s="61">
        <v>0</v>
      </c>
      <c r="T1992" s="62">
        <v>0</v>
      </c>
    </row>
    <row r="1993" spans="1:20" ht="11.85" customHeight="1" x14ac:dyDescent="0.25">
      <c r="A1993" s="71" t="s">
        <v>620</v>
      </c>
      <c r="B1993" s="71"/>
      <c r="C1993" s="71"/>
      <c r="D1993" s="71"/>
      <c r="E1993" s="71"/>
      <c r="F1993" s="71"/>
      <c r="G1993" s="71"/>
      <c r="H1993" s="71"/>
    </row>
    <row r="1994" spans="1:20" ht="11.1" customHeight="1" x14ac:dyDescent="0.25">
      <c r="O1994" s="59" t="s">
        <v>313</v>
      </c>
      <c r="P1994" s="62">
        <v>570.55999999999995</v>
      </c>
      <c r="R1994" s="62">
        <v>114.11</v>
      </c>
      <c r="S1994" s="61">
        <v>0</v>
      </c>
      <c r="T1994" s="62">
        <v>4.3099999999999996</v>
      </c>
    </row>
    <row r="1995" spans="1:20" ht="11.1" customHeight="1" x14ac:dyDescent="0.25">
      <c r="O1995" s="59" t="s">
        <v>436</v>
      </c>
      <c r="P1995" s="62">
        <v>83.06</v>
      </c>
      <c r="R1995" s="62">
        <v>4.3099999999999996</v>
      </c>
      <c r="S1995" s="61">
        <v>0</v>
      </c>
      <c r="T1995" s="62">
        <v>0</v>
      </c>
    </row>
    <row r="1996" spans="1:20" ht="11.1" customHeight="1" x14ac:dyDescent="0.25">
      <c r="A1996" s="56">
        <v>108701</v>
      </c>
      <c r="B1996" s="72">
        <v>46031</v>
      </c>
      <c r="C1996" s="68">
        <v>46031</v>
      </c>
      <c r="D1996" s="58" t="s">
        <v>1830</v>
      </c>
      <c r="E1996" s="59" t="s">
        <v>352</v>
      </c>
      <c r="F1996" s="56">
        <v>36</v>
      </c>
      <c r="G1996" s="73">
        <v>839</v>
      </c>
      <c r="H1996" s="74" t="s">
        <v>1831</v>
      </c>
      <c r="I1996" s="59" t="s">
        <v>1832</v>
      </c>
      <c r="J1996" s="59" t="s">
        <v>1833</v>
      </c>
      <c r="K1996" s="69">
        <v>5102</v>
      </c>
      <c r="L1996" s="56">
        <v>205</v>
      </c>
      <c r="M1996" s="59" t="s">
        <v>26</v>
      </c>
      <c r="N1996" s="61">
        <v>176.61</v>
      </c>
      <c r="O1996" s="59" t="s">
        <v>313</v>
      </c>
      <c r="P1996" s="62">
        <v>176.61</v>
      </c>
      <c r="Q1996" s="63">
        <v>20</v>
      </c>
      <c r="R1996" s="62">
        <v>35.32</v>
      </c>
      <c r="S1996" s="61">
        <v>0</v>
      </c>
      <c r="T1996" s="62">
        <v>0</v>
      </c>
    </row>
    <row r="1997" spans="1:20" ht="11.1" customHeight="1" x14ac:dyDescent="0.25">
      <c r="A1997" s="56">
        <v>108702</v>
      </c>
      <c r="B1997" s="72">
        <v>46031</v>
      </c>
      <c r="C1997" s="68">
        <v>46031</v>
      </c>
      <c r="D1997" s="58" t="s">
        <v>1830</v>
      </c>
      <c r="E1997" s="59" t="s">
        <v>352</v>
      </c>
      <c r="F1997" s="56">
        <v>36</v>
      </c>
      <c r="G1997" s="73">
        <v>839</v>
      </c>
      <c r="H1997" s="74" t="s">
        <v>1831</v>
      </c>
      <c r="I1997" s="59" t="s">
        <v>1832</v>
      </c>
      <c r="J1997" s="59" t="s">
        <v>1833</v>
      </c>
      <c r="K1997" s="69">
        <v>5403</v>
      </c>
      <c r="L1997" s="56">
        <v>207</v>
      </c>
      <c r="M1997" s="59" t="s">
        <v>26</v>
      </c>
      <c r="N1997" s="61">
        <v>441.21</v>
      </c>
      <c r="O1997" s="59" t="s">
        <v>313</v>
      </c>
      <c r="P1997" s="62">
        <v>412.35</v>
      </c>
      <c r="Q1997" s="63">
        <v>20</v>
      </c>
      <c r="R1997" s="62">
        <v>82.47</v>
      </c>
      <c r="S1997" s="61">
        <v>0</v>
      </c>
      <c r="T1997" s="62">
        <v>28.86</v>
      </c>
    </row>
    <row r="1998" spans="1:20" ht="11.1" customHeight="1" x14ac:dyDescent="0.25">
      <c r="O1998" s="59" t="s">
        <v>436</v>
      </c>
      <c r="P1998" s="62">
        <v>556.66999999999996</v>
      </c>
      <c r="Q1998" s="63">
        <v>20</v>
      </c>
      <c r="R1998" s="62">
        <v>28.86</v>
      </c>
      <c r="S1998" s="61">
        <v>0</v>
      </c>
      <c r="T1998" s="62">
        <v>0</v>
      </c>
    </row>
    <row r="1999" spans="1:20" ht="11.85" customHeight="1" x14ac:dyDescent="0.25">
      <c r="A1999" s="71" t="s">
        <v>620</v>
      </c>
      <c r="B1999" s="71"/>
      <c r="C1999" s="71"/>
      <c r="D1999" s="71"/>
      <c r="E1999" s="71"/>
      <c r="F1999" s="71"/>
      <c r="G1999" s="71"/>
      <c r="H1999" s="71"/>
    </row>
    <row r="2000" spans="1:20" ht="11.1" customHeight="1" x14ac:dyDescent="0.25">
      <c r="O2000" s="59" t="s">
        <v>313</v>
      </c>
      <c r="P2000" s="62">
        <v>588.96</v>
      </c>
      <c r="R2000" s="62">
        <v>117.79</v>
      </c>
      <c r="S2000" s="61">
        <v>0</v>
      </c>
      <c r="T2000" s="62">
        <v>28.86</v>
      </c>
    </row>
    <row r="2001" spans="1:20" ht="11.1" customHeight="1" x14ac:dyDescent="0.25">
      <c r="O2001" s="59" t="s">
        <v>436</v>
      </c>
      <c r="P2001" s="62">
        <v>556.66999999999996</v>
      </c>
      <c r="R2001" s="62">
        <v>28.86</v>
      </c>
      <c r="S2001" s="61">
        <v>0</v>
      </c>
      <c r="T2001" s="62">
        <v>0</v>
      </c>
    </row>
    <row r="2002" spans="1:20" ht="11.1" customHeight="1" x14ac:dyDescent="0.25">
      <c r="A2002" s="56">
        <v>108462</v>
      </c>
      <c r="B2002" s="72">
        <v>46027</v>
      </c>
      <c r="C2002" s="68">
        <v>46027</v>
      </c>
      <c r="D2002" s="58" t="s">
        <v>1834</v>
      </c>
      <c r="E2002" s="59" t="s">
        <v>352</v>
      </c>
      <c r="F2002" s="56">
        <v>36</v>
      </c>
      <c r="G2002" s="73">
        <v>591</v>
      </c>
      <c r="H2002" s="74" t="s">
        <v>1835</v>
      </c>
      <c r="I2002" s="59" t="s">
        <v>1836</v>
      </c>
      <c r="J2002" s="59" t="s">
        <v>1837</v>
      </c>
      <c r="K2002" s="69">
        <v>5403</v>
      </c>
      <c r="L2002" s="56">
        <v>207</v>
      </c>
      <c r="M2002" s="59" t="s">
        <v>26</v>
      </c>
      <c r="N2002" s="61">
        <v>946.44</v>
      </c>
      <c r="O2002" s="59" t="s">
        <v>313</v>
      </c>
      <c r="P2002" s="62">
        <v>884.52</v>
      </c>
      <c r="Q2002" s="63">
        <v>20</v>
      </c>
      <c r="R2002" s="62">
        <v>176.91</v>
      </c>
      <c r="S2002" s="61">
        <v>0</v>
      </c>
      <c r="T2002" s="62">
        <v>61.92</v>
      </c>
    </row>
    <row r="2003" spans="1:20" ht="11.1" customHeight="1" x14ac:dyDescent="0.25">
      <c r="O2003" s="59" t="s">
        <v>436</v>
      </c>
      <c r="P2003" s="62">
        <v>1194.1099999999999</v>
      </c>
      <c r="Q2003" s="63">
        <v>20</v>
      </c>
      <c r="R2003" s="62">
        <v>61.92</v>
      </c>
      <c r="S2003" s="61">
        <v>0</v>
      </c>
      <c r="T2003" s="62">
        <v>0</v>
      </c>
    </row>
    <row r="2004" spans="1:20" ht="11.85" customHeight="1" x14ac:dyDescent="0.25">
      <c r="A2004" s="71" t="s">
        <v>620</v>
      </c>
      <c r="B2004" s="71"/>
      <c r="C2004" s="71"/>
      <c r="D2004" s="71"/>
      <c r="E2004" s="71"/>
      <c r="F2004" s="71"/>
      <c r="G2004" s="71"/>
      <c r="H2004" s="71"/>
    </row>
    <row r="2005" spans="1:20" ht="11.1" customHeight="1" x14ac:dyDescent="0.25">
      <c r="O2005" s="59" t="s">
        <v>313</v>
      </c>
      <c r="P2005" s="62">
        <v>884.52</v>
      </c>
      <c r="R2005" s="62">
        <v>176.91</v>
      </c>
      <c r="S2005" s="61">
        <v>0</v>
      </c>
      <c r="T2005" s="62">
        <v>61.92</v>
      </c>
    </row>
    <row r="2006" spans="1:20" ht="11.1" customHeight="1" x14ac:dyDescent="0.25">
      <c r="O2006" s="59" t="s">
        <v>436</v>
      </c>
      <c r="P2006" s="62">
        <v>1194.1099999999999</v>
      </c>
      <c r="R2006" s="62">
        <v>61.92</v>
      </c>
      <c r="S2006" s="61">
        <v>0</v>
      </c>
      <c r="T2006" s="62">
        <v>0</v>
      </c>
    </row>
    <row r="2007" spans="1:20" ht="11.1" customHeight="1" x14ac:dyDescent="0.25">
      <c r="A2007" s="56">
        <v>108967</v>
      </c>
      <c r="B2007" s="72">
        <v>46037</v>
      </c>
      <c r="C2007" s="68">
        <v>46037</v>
      </c>
      <c r="D2007" s="58" t="s">
        <v>1838</v>
      </c>
      <c r="E2007" s="59" t="s">
        <v>352</v>
      </c>
      <c r="F2007" s="56">
        <v>36</v>
      </c>
      <c r="G2007" s="73">
        <v>568</v>
      </c>
      <c r="H2007" s="74" t="s">
        <v>1839</v>
      </c>
      <c r="I2007" s="59" t="s">
        <v>1840</v>
      </c>
      <c r="J2007" s="59" t="s">
        <v>1841</v>
      </c>
      <c r="K2007" s="69">
        <v>5102</v>
      </c>
      <c r="L2007" s="56">
        <v>205</v>
      </c>
      <c r="M2007" s="59" t="s">
        <v>26</v>
      </c>
      <c r="N2007" s="61">
        <v>141.49</v>
      </c>
      <c r="O2007" s="59" t="s">
        <v>313</v>
      </c>
      <c r="P2007" s="62">
        <v>141.49</v>
      </c>
      <c r="Q2007" s="63">
        <v>20</v>
      </c>
      <c r="R2007" s="62">
        <v>28.3</v>
      </c>
      <c r="S2007" s="61">
        <v>0</v>
      </c>
      <c r="T2007" s="62">
        <v>0</v>
      </c>
    </row>
    <row r="2008" spans="1:20" ht="11.85" customHeight="1" x14ac:dyDescent="0.25">
      <c r="A2008" s="71" t="s">
        <v>620</v>
      </c>
      <c r="B2008" s="71"/>
      <c r="C2008" s="71"/>
      <c r="D2008" s="71"/>
      <c r="E2008" s="71"/>
      <c r="F2008" s="71"/>
      <c r="G2008" s="71"/>
      <c r="H2008" s="71"/>
    </row>
    <row r="2009" spans="1:20" ht="11.1" customHeight="1" x14ac:dyDescent="0.25">
      <c r="O2009" s="59" t="s">
        <v>313</v>
      </c>
      <c r="P2009" s="62">
        <v>141.49</v>
      </c>
      <c r="R2009" s="62">
        <v>28.3</v>
      </c>
      <c r="S2009" s="61">
        <v>0</v>
      </c>
      <c r="T2009" s="62">
        <v>0</v>
      </c>
    </row>
    <row r="2010" spans="1:20" ht="11.1" customHeight="1" x14ac:dyDescent="0.25">
      <c r="A2010" s="56">
        <v>108472</v>
      </c>
      <c r="B2010" s="72">
        <v>46027</v>
      </c>
      <c r="C2010" s="68">
        <v>46027</v>
      </c>
      <c r="D2010" s="58" t="s">
        <v>1842</v>
      </c>
      <c r="E2010" s="59" t="s">
        <v>352</v>
      </c>
      <c r="F2010" s="56">
        <v>36</v>
      </c>
      <c r="G2010" s="73">
        <v>726</v>
      </c>
      <c r="H2010" s="74" t="s">
        <v>1843</v>
      </c>
      <c r="I2010" s="59" t="s">
        <v>1844</v>
      </c>
      <c r="J2010" s="59" t="s">
        <v>1845</v>
      </c>
      <c r="K2010" s="69">
        <v>5102</v>
      </c>
      <c r="L2010" s="56">
        <v>205</v>
      </c>
      <c r="M2010" s="59" t="s">
        <v>26</v>
      </c>
      <c r="N2010" s="61">
        <v>368.77</v>
      </c>
      <c r="O2010" s="59" t="s">
        <v>313</v>
      </c>
      <c r="P2010" s="62">
        <v>368.77</v>
      </c>
      <c r="Q2010" s="63">
        <v>20</v>
      </c>
      <c r="R2010" s="62">
        <v>73.75</v>
      </c>
      <c r="S2010" s="61">
        <v>0</v>
      </c>
      <c r="T2010" s="62">
        <v>0</v>
      </c>
    </row>
    <row r="2011" spans="1:20" ht="11.1" customHeight="1" x14ac:dyDescent="0.25">
      <c r="A2011" s="56">
        <v>108516</v>
      </c>
      <c r="B2011" s="72">
        <v>46028</v>
      </c>
      <c r="C2011" s="68">
        <v>46028</v>
      </c>
      <c r="D2011" s="58" t="s">
        <v>1846</v>
      </c>
      <c r="E2011" s="59" t="s">
        <v>352</v>
      </c>
      <c r="F2011" s="56">
        <v>36</v>
      </c>
      <c r="G2011" s="73">
        <v>726</v>
      </c>
      <c r="H2011" s="74" t="s">
        <v>1843</v>
      </c>
      <c r="I2011" s="59" t="s">
        <v>1844</v>
      </c>
      <c r="J2011" s="59" t="s">
        <v>1845</v>
      </c>
      <c r="K2011" s="69">
        <v>5102</v>
      </c>
      <c r="L2011" s="56">
        <v>205</v>
      </c>
      <c r="M2011" s="59" t="s">
        <v>26</v>
      </c>
      <c r="N2011" s="61">
        <v>485.08</v>
      </c>
      <c r="O2011" s="59" t="s">
        <v>313</v>
      </c>
      <c r="P2011" s="62">
        <v>485.08</v>
      </c>
      <c r="Q2011" s="63">
        <v>20</v>
      </c>
      <c r="R2011" s="62">
        <v>97.02</v>
      </c>
      <c r="S2011" s="61">
        <v>0</v>
      </c>
      <c r="T2011" s="62">
        <v>0</v>
      </c>
    </row>
    <row r="2012" spans="1:20" ht="11.1" customHeight="1" x14ac:dyDescent="0.25">
      <c r="A2012" s="56">
        <v>108586</v>
      </c>
      <c r="B2012" s="72">
        <v>46029</v>
      </c>
      <c r="C2012" s="68">
        <v>46029</v>
      </c>
      <c r="D2012" s="58" t="s">
        <v>1847</v>
      </c>
      <c r="E2012" s="59" t="s">
        <v>352</v>
      </c>
      <c r="F2012" s="56">
        <v>36</v>
      </c>
      <c r="G2012" s="73">
        <v>726</v>
      </c>
      <c r="H2012" s="74" t="s">
        <v>1843</v>
      </c>
      <c r="I2012" s="59" t="s">
        <v>1844</v>
      </c>
      <c r="J2012" s="59" t="s">
        <v>1845</v>
      </c>
      <c r="K2012" s="69">
        <v>5102</v>
      </c>
      <c r="L2012" s="56">
        <v>205</v>
      </c>
      <c r="M2012" s="59" t="s">
        <v>26</v>
      </c>
      <c r="N2012" s="61">
        <v>1174.67</v>
      </c>
      <c r="O2012" s="59" t="s">
        <v>313</v>
      </c>
      <c r="P2012" s="62">
        <v>1174.67</v>
      </c>
      <c r="Q2012" s="63">
        <v>20</v>
      </c>
      <c r="R2012" s="62">
        <v>234.94</v>
      </c>
      <c r="S2012" s="61">
        <v>0</v>
      </c>
      <c r="T2012" s="62">
        <v>0</v>
      </c>
    </row>
    <row r="2013" spans="1:20" ht="11.1" customHeight="1" x14ac:dyDescent="0.25">
      <c r="A2013" s="56">
        <v>108628</v>
      </c>
      <c r="B2013" s="72">
        <v>46030</v>
      </c>
      <c r="C2013" s="68">
        <v>46030</v>
      </c>
      <c r="D2013" s="58" t="s">
        <v>1848</v>
      </c>
      <c r="E2013" s="59" t="s">
        <v>352</v>
      </c>
      <c r="F2013" s="56">
        <v>36</v>
      </c>
      <c r="G2013" s="73">
        <v>726</v>
      </c>
      <c r="H2013" s="74" t="s">
        <v>1843</v>
      </c>
      <c r="I2013" s="59" t="s">
        <v>1844</v>
      </c>
      <c r="J2013" s="59" t="s">
        <v>1845</v>
      </c>
      <c r="K2013" s="69">
        <v>5102</v>
      </c>
      <c r="L2013" s="56">
        <v>205</v>
      </c>
      <c r="M2013" s="59" t="s">
        <v>26</v>
      </c>
      <c r="N2013" s="61">
        <v>1861.9</v>
      </c>
      <c r="O2013" s="59" t="s">
        <v>313</v>
      </c>
      <c r="P2013" s="62">
        <v>1861.9</v>
      </c>
      <c r="Q2013" s="63">
        <v>20</v>
      </c>
      <c r="R2013" s="62">
        <v>372.38</v>
      </c>
      <c r="S2013" s="61">
        <v>0</v>
      </c>
      <c r="T2013" s="62">
        <v>0</v>
      </c>
    </row>
    <row r="2014" spans="1:20" ht="11.1" customHeight="1" x14ac:dyDescent="0.25">
      <c r="A2014" s="56">
        <v>108652</v>
      </c>
      <c r="B2014" s="72">
        <v>46030</v>
      </c>
      <c r="C2014" s="68">
        <v>46030</v>
      </c>
      <c r="D2014" s="58" t="s">
        <v>1849</v>
      </c>
      <c r="E2014" s="59" t="s">
        <v>352</v>
      </c>
      <c r="F2014" s="56">
        <v>36</v>
      </c>
      <c r="G2014" s="73">
        <v>726</v>
      </c>
      <c r="H2014" s="74" t="s">
        <v>1843</v>
      </c>
      <c r="I2014" s="59" t="s">
        <v>1844</v>
      </c>
      <c r="J2014" s="59" t="s">
        <v>1845</v>
      </c>
      <c r="K2014" s="69">
        <v>5102</v>
      </c>
      <c r="L2014" s="56">
        <v>205</v>
      </c>
      <c r="M2014" s="59" t="s">
        <v>26</v>
      </c>
      <c r="N2014" s="61">
        <v>114.5</v>
      </c>
      <c r="O2014" s="59" t="s">
        <v>313</v>
      </c>
      <c r="P2014" s="62">
        <v>114.5</v>
      </c>
      <c r="Q2014" s="63">
        <v>20</v>
      </c>
      <c r="R2014" s="62">
        <v>22.9</v>
      </c>
      <c r="S2014" s="61">
        <v>0</v>
      </c>
      <c r="T2014" s="62">
        <v>0</v>
      </c>
    </row>
    <row r="2015" spans="1:20" ht="11.1" customHeight="1" x14ac:dyDescent="0.25">
      <c r="A2015" s="56">
        <v>108783</v>
      </c>
      <c r="B2015" s="72">
        <v>46034</v>
      </c>
      <c r="C2015" s="68">
        <v>46034</v>
      </c>
      <c r="D2015" s="58" t="s">
        <v>1850</v>
      </c>
      <c r="E2015" s="59" t="s">
        <v>352</v>
      </c>
      <c r="F2015" s="56">
        <v>36</v>
      </c>
      <c r="G2015" s="73">
        <v>726</v>
      </c>
      <c r="H2015" s="74" t="s">
        <v>1843</v>
      </c>
      <c r="I2015" s="59" t="s">
        <v>1844</v>
      </c>
      <c r="J2015" s="59" t="s">
        <v>1845</v>
      </c>
      <c r="K2015" s="69">
        <v>5102</v>
      </c>
      <c r="L2015" s="56">
        <v>205</v>
      </c>
      <c r="M2015" s="59" t="s">
        <v>26</v>
      </c>
      <c r="N2015" s="61">
        <v>11743.8</v>
      </c>
      <c r="O2015" s="59" t="s">
        <v>313</v>
      </c>
      <c r="P2015" s="62">
        <v>11743.8</v>
      </c>
      <c r="Q2015" s="63">
        <v>20</v>
      </c>
      <c r="R2015" s="62">
        <v>2348.7600000000002</v>
      </c>
      <c r="S2015" s="61">
        <v>0</v>
      </c>
      <c r="T2015" s="62">
        <v>0</v>
      </c>
    </row>
    <row r="2016" spans="1:20" ht="11.1" customHeight="1" x14ac:dyDescent="0.25">
      <c r="A2016" s="56">
        <v>108784</v>
      </c>
      <c r="B2016" s="72">
        <v>46034</v>
      </c>
      <c r="C2016" s="68">
        <v>46034</v>
      </c>
      <c r="D2016" s="58" t="s">
        <v>1851</v>
      </c>
      <c r="E2016" s="59" t="s">
        <v>352</v>
      </c>
      <c r="F2016" s="56">
        <v>36</v>
      </c>
      <c r="G2016" s="73">
        <v>726</v>
      </c>
      <c r="H2016" s="74" t="s">
        <v>1843</v>
      </c>
      <c r="I2016" s="59" t="s">
        <v>1844</v>
      </c>
      <c r="J2016" s="59" t="s">
        <v>1845</v>
      </c>
      <c r="K2016" s="69">
        <v>5102</v>
      </c>
      <c r="L2016" s="56">
        <v>205</v>
      </c>
      <c r="M2016" s="59" t="s">
        <v>26</v>
      </c>
      <c r="N2016" s="61">
        <v>5491.91</v>
      </c>
      <c r="O2016" s="59" t="s">
        <v>313</v>
      </c>
      <c r="P2016" s="62">
        <v>5491.91</v>
      </c>
      <c r="Q2016" s="63">
        <v>20</v>
      </c>
      <c r="R2016" s="62">
        <v>1098.3599999999999</v>
      </c>
      <c r="S2016" s="61">
        <v>0</v>
      </c>
      <c r="T2016" s="62">
        <v>0</v>
      </c>
    </row>
    <row r="2017" spans="1:20" ht="11.1" customHeight="1" x14ac:dyDescent="0.25">
      <c r="A2017" s="56">
        <v>108812</v>
      </c>
      <c r="B2017" s="72">
        <v>46035</v>
      </c>
      <c r="C2017" s="68">
        <v>46035</v>
      </c>
      <c r="D2017" s="58" t="s">
        <v>1852</v>
      </c>
      <c r="E2017" s="59" t="s">
        <v>352</v>
      </c>
      <c r="F2017" s="56">
        <v>36</v>
      </c>
      <c r="G2017" s="73">
        <v>726</v>
      </c>
      <c r="H2017" s="74" t="s">
        <v>1843</v>
      </c>
      <c r="I2017" s="59" t="s">
        <v>1844</v>
      </c>
      <c r="J2017" s="59" t="s">
        <v>1845</v>
      </c>
      <c r="K2017" s="69">
        <v>5102</v>
      </c>
      <c r="L2017" s="56">
        <v>205</v>
      </c>
      <c r="M2017" s="59" t="s">
        <v>26</v>
      </c>
      <c r="N2017" s="61">
        <v>718.93</v>
      </c>
      <c r="O2017" s="59" t="s">
        <v>313</v>
      </c>
      <c r="P2017" s="62">
        <v>718.93</v>
      </c>
      <c r="Q2017" s="63">
        <v>20</v>
      </c>
      <c r="R2017" s="62">
        <v>143.79</v>
      </c>
      <c r="S2017" s="61">
        <v>0</v>
      </c>
      <c r="T2017" s="62">
        <v>0</v>
      </c>
    </row>
    <row r="2018" spans="1:20" ht="11.1" customHeight="1" x14ac:dyDescent="0.25">
      <c r="A2018" s="56">
        <v>108862</v>
      </c>
      <c r="B2018" s="72">
        <v>46035</v>
      </c>
      <c r="C2018" s="68">
        <v>46035</v>
      </c>
      <c r="D2018" s="58" t="s">
        <v>1853</v>
      </c>
      <c r="E2018" s="59" t="s">
        <v>352</v>
      </c>
      <c r="F2018" s="56">
        <v>36</v>
      </c>
      <c r="G2018" s="73">
        <v>726</v>
      </c>
      <c r="H2018" s="74" t="s">
        <v>1843</v>
      </c>
      <c r="I2018" s="59" t="s">
        <v>1844</v>
      </c>
      <c r="J2018" s="59" t="s">
        <v>1845</v>
      </c>
      <c r="K2018" s="69">
        <v>5102</v>
      </c>
      <c r="L2018" s="56">
        <v>205</v>
      </c>
      <c r="M2018" s="59" t="s">
        <v>26</v>
      </c>
      <c r="N2018" s="61">
        <v>1465</v>
      </c>
      <c r="O2018" s="59" t="s">
        <v>313</v>
      </c>
      <c r="P2018" s="62">
        <v>1465</v>
      </c>
      <c r="Q2018" s="63">
        <v>20</v>
      </c>
      <c r="R2018" s="62">
        <v>293</v>
      </c>
      <c r="S2018" s="61">
        <v>0</v>
      </c>
      <c r="T2018" s="62">
        <v>0</v>
      </c>
    </row>
    <row r="2019" spans="1:20" ht="11.1" customHeight="1" x14ac:dyDescent="0.25">
      <c r="A2019" s="56">
        <v>108951</v>
      </c>
      <c r="B2019" s="72">
        <v>46037</v>
      </c>
      <c r="C2019" s="68">
        <v>46037</v>
      </c>
      <c r="D2019" s="58" t="s">
        <v>1854</v>
      </c>
      <c r="E2019" s="59" t="s">
        <v>352</v>
      </c>
      <c r="F2019" s="56">
        <v>36</v>
      </c>
      <c r="G2019" s="73">
        <v>726</v>
      </c>
      <c r="H2019" s="74" t="s">
        <v>1843</v>
      </c>
      <c r="I2019" s="59" t="s">
        <v>1844</v>
      </c>
      <c r="J2019" s="59" t="s">
        <v>1845</v>
      </c>
      <c r="K2019" s="69">
        <v>5910</v>
      </c>
      <c r="L2019" s="56">
        <v>208</v>
      </c>
      <c r="M2019" s="59" t="s">
        <v>26</v>
      </c>
      <c r="N2019" s="61">
        <v>1870.88</v>
      </c>
      <c r="O2019" s="59" t="s">
        <v>313</v>
      </c>
      <c r="P2019" s="62">
        <v>0</v>
      </c>
      <c r="Q2019" s="63">
        <v>20</v>
      </c>
      <c r="R2019" s="62">
        <v>0</v>
      </c>
      <c r="S2019" s="61">
        <v>0</v>
      </c>
      <c r="T2019" s="62">
        <v>1870.88</v>
      </c>
    </row>
    <row r="2020" spans="1:20" ht="11.1" customHeight="1" x14ac:dyDescent="0.25">
      <c r="A2020" s="56">
        <v>108981</v>
      </c>
      <c r="B2020" s="72">
        <v>46037</v>
      </c>
      <c r="C2020" s="68">
        <v>46037</v>
      </c>
      <c r="D2020" s="58" t="s">
        <v>1855</v>
      </c>
      <c r="E2020" s="59" t="s">
        <v>352</v>
      </c>
      <c r="F2020" s="56">
        <v>36</v>
      </c>
      <c r="G2020" s="73">
        <v>726</v>
      </c>
      <c r="H2020" s="74" t="s">
        <v>1843</v>
      </c>
      <c r="I2020" s="59" t="s">
        <v>1844</v>
      </c>
      <c r="J2020" s="59" t="s">
        <v>1845</v>
      </c>
      <c r="K2020" s="69">
        <v>5102</v>
      </c>
      <c r="L2020" s="56">
        <v>205</v>
      </c>
      <c r="M2020" s="59" t="s">
        <v>26</v>
      </c>
      <c r="N2020" s="61">
        <v>867.02</v>
      </c>
      <c r="O2020" s="59" t="s">
        <v>313</v>
      </c>
      <c r="P2020" s="62">
        <v>867.02</v>
      </c>
      <c r="Q2020" s="63">
        <v>20</v>
      </c>
      <c r="R2020" s="62">
        <v>173.4</v>
      </c>
      <c r="S2020" s="61">
        <v>0</v>
      </c>
      <c r="T2020" s="62">
        <v>0</v>
      </c>
    </row>
    <row r="2021" spans="1:20" ht="11.1" customHeight="1" x14ac:dyDescent="0.25">
      <c r="A2021" s="56">
        <v>108989</v>
      </c>
      <c r="B2021" s="72">
        <v>46037</v>
      </c>
      <c r="C2021" s="68">
        <v>46037</v>
      </c>
      <c r="D2021" s="58" t="s">
        <v>1856</v>
      </c>
      <c r="E2021" s="59" t="s">
        <v>352</v>
      </c>
      <c r="F2021" s="56">
        <v>36</v>
      </c>
      <c r="G2021" s="73">
        <v>726</v>
      </c>
      <c r="H2021" s="74" t="s">
        <v>1843</v>
      </c>
      <c r="I2021" s="59" t="s">
        <v>1844</v>
      </c>
      <c r="J2021" s="59" t="s">
        <v>1845</v>
      </c>
      <c r="K2021" s="69">
        <v>5102</v>
      </c>
      <c r="L2021" s="56">
        <v>205</v>
      </c>
      <c r="M2021" s="59" t="s">
        <v>26</v>
      </c>
      <c r="N2021" s="61">
        <v>692.33</v>
      </c>
      <c r="O2021" s="59" t="s">
        <v>313</v>
      </c>
      <c r="P2021" s="62">
        <v>692.33</v>
      </c>
      <c r="Q2021" s="63">
        <v>20</v>
      </c>
      <c r="R2021" s="62">
        <v>138.46</v>
      </c>
      <c r="S2021" s="61">
        <v>0</v>
      </c>
      <c r="T2021" s="62">
        <v>0</v>
      </c>
    </row>
    <row r="2022" spans="1:20" ht="11.1" customHeight="1" x14ac:dyDescent="0.25">
      <c r="A2022" s="56">
        <v>109001</v>
      </c>
      <c r="B2022" s="72">
        <v>46037</v>
      </c>
      <c r="C2022" s="68">
        <v>46037</v>
      </c>
      <c r="D2022" s="58" t="s">
        <v>1857</v>
      </c>
      <c r="E2022" s="59" t="s">
        <v>352</v>
      </c>
      <c r="F2022" s="56">
        <v>36</v>
      </c>
      <c r="G2022" s="73">
        <v>726</v>
      </c>
      <c r="H2022" s="74" t="s">
        <v>1843</v>
      </c>
      <c r="I2022" s="59" t="s">
        <v>1844</v>
      </c>
      <c r="J2022" s="59" t="s">
        <v>1845</v>
      </c>
      <c r="K2022" s="69">
        <v>5102</v>
      </c>
      <c r="L2022" s="56">
        <v>205</v>
      </c>
      <c r="M2022" s="59" t="s">
        <v>26</v>
      </c>
      <c r="N2022" s="61">
        <v>309.94</v>
      </c>
      <c r="O2022" s="59" t="s">
        <v>313</v>
      </c>
      <c r="P2022" s="62">
        <v>309.94</v>
      </c>
      <c r="Q2022" s="63">
        <v>20</v>
      </c>
      <c r="R2022" s="62">
        <v>61.99</v>
      </c>
      <c r="S2022" s="61">
        <v>0</v>
      </c>
      <c r="T2022" s="62">
        <v>0</v>
      </c>
    </row>
    <row r="2023" spans="1:20" ht="11.1" customHeight="1" x14ac:dyDescent="0.25">
      <c r="A2023" s="56">
        <v>109113</v>
      </c>
      <c r="B2023" s="72">
        <v>46041</v>
      </c>
      <c r="C2023" s="68">
        <v>46041</v>
      </c>
      <c r="D2023" s="58" t="s">
        <v>1858</v>
      </c>
      <c r="E2023" s="59" t="s">
        <v>352</v>
      </c>
      <c r="F2023" s="56">
        <v>36</v>
      </c>
      <c r="G2023" s="73">
        <v>726</v>
      </c>
      <c r="H2023" s="74" t="s">
        <v>1843</v>
      </c>
      <c r="I2023" s="59" t="s">
        <v>1844</v>
      </c>
      <c r="J2023" s="59" t="s">
        <v>1845</v>
      </c>
      <c r="K2023" s="69">
        <v>5102</v>
      </c>
      <c r="L2023" s="56">
        <v>205</v>
      </c>
      <c r="M2023" s="59" t="s">
        <v>26</v>
      </c>
      <c r="N2023" s="61">
        <v>529.01</v>
      </c>
      <c r="O2023" s="59" t="s">
        <v>313</v>
      </c>
      <c r="P2023" s="62">
        <v>529.01</v>
      </c>
      <c r="Q2023" s="63">
        <v>20</v>
      </c>
      <c r="R2023" s="62">
        <v>105.8</v>
      </c>
      <c r="S2023" s="61">
        <v>0</v>
      </c>
      <c r="T2023" s="62">
        <v>0</v>
      </c>
    </row>
    <row r="2024" spans="1:20" ht="11.1" customHeight="1" x14ac:dyDescent="0.25">
      <c r="A2024" s="56">
        <v>109134</v>
      </c>
      <c r="B2024" s="72">
        <v>46042</v>
      </c>
      <c r="C2024" s="68">
        <v>46042</v>
      </c>
      <c r="D2024" s="58" t="s">
        <v>1859</v>
      </c>
      <c r="E2024" s="59" t="s">
        <v>352</v>
      </c>
      <c r="F2024" s="56">
        <v>36</v>
      </c>
      <c r="G2024" s="73">
        <v>726</v>
      </c>
      <c r="H2024" s="74" t="s">
        <v>1843</v>
      </c>
      <c r="I2024" s="59" t="s">
        <v>1844</v>
      </c>
      <c r="J2024" s="59" t="s">
        <v>1845</v>
      </c>
      <c r="K2024" s="69">
        <v>5102</v>
      </c>
      <c r="L2024" s="56">
        <v>205</v>
      </c>
      <c r="M2024" s="59" t="s">
        <v>26</v>
      </c>
      <c r="N2024" s="61">
        <v>1221.29</v>
      </c>
      <c r="O2024" s="59" t="s">
        <v>313</v>
      </c>
      <c r="P2024" s="62">
        <v>1221.29</v>
      </c>
      <c r="Q2024" s="63">
        <v>20</v>
      </c>
      <c r="R2024" s="62">
        <v>244.26</v>
      </c>
      <c r="S2024" s="61">
        <v>0</v>
      </c>
      <c r="T2024" s="62">
        <v>0</v>
      </c>
    </row>
    <row r="2025" spans="1:20" ht="11.1" customHeight="1" x14ac:dyDescent="0.25">
      <c r="A2025" s="56">
        <v>109157</v>
      </c>
      <c r="B2025" s="72">
        <v>46042</v>
      </c>
      <c r="C2025" s="68">
        <v>46042</v>
      </c>
      <c r="D2025" s="58" t="s">
        <v>1860</v>
      </c>
      <c r="E2025" s="59" t="s">
        <v>352</v>
      </c>
      <c r="F2025" s="56">
        <v>36</v>
      </c>
      <c r="G2025" s="73">
        <v>726</v>
      </c>
      <c r="H2025" s="74" t="s">
        <v>1843</v>
      </c>
      <c r="I2025" s="59" t="s">
        <v>1844</v>
      </c>
      <c r="J2025" s="59" t="s">
        <v>1845</v>
      </c>
      <c r="K2025" s="69">
        <v>5102</v>
      </c>
      <c r="L2025" s="56">
        <v>205</v>
      </c>
      <c r="M2025" s="59" t="s">
        <v>26</v>
      </c>
      <c r="N2025" s="61">
        <v>18.36</v>
      </c>
      <c r="O2025" s="59" t="s">
        <v>313</v>
      </c>
      <c r="P2025" s="62">
        <v>18.36</v>
      </c>
      <c r="Q2025" s="63">
        <v>20</v>
      </c>
      <c r="R2025" s="62">
        <v>3.67</v>
      </c>
      <c r="S2025" s="61">
        <v>0</v>
      </c>
      <c r="T2025" s="62">
        <v>0</v>
      </c>
    </row>
    <row r="2026" spans="1:20" ht="11.1" customHeight="1" x14ac:dyDescent="0.25">
      <c r="A2026" s="56">
        <v>109188</v>
      </c>
      <c r="B2026" s="72">
        <v>46043</v>
      </c>
      <c r="C2026" s="68">
        <v>46043</v>
      </c>
      <c r="D2026" s="58" t="s">
        <v>1861</v>
      </c>
      <c r="E2026" s="59" t="s">
        <v>352</v>
      </c>
      <c r="F2026" s="56">
        <v>36</v>
      </c>
      <c r="G2026" s="73">
        <v>726</v>
      </c>
      <c r="H2026" s="74" t="s">
        <v>1843</v>
      </c>
      <c r="I2026" s="59" t="s">
        <v>1844</v>
      </c>
      <c r="J2026" s="59" t="s">
        <v>1845</v>
      </c>
      <c r="K2026" s="69">
        <v>5102</v>
      </c>
      <c r="L2026" s="56">
        <v>205</v>
      </c>
      <c r="M2026" s="59" t="s">
        <v>26</v>
      </c>
      <c r="N2026" s="61">
        <v>170.09</v>
      </c>
      <c r="O2026" s="59" t="s">
        <v>313</v>
      </c>
      <c r="P2026" s="62">
        <v>170.09</v>
      </c>
      <c r="Q2026" s="63">
        <v>20</v>
      </c>
      <c r="R2026" s="62">
        <v>34.020000000000003</v>
      </c>
      <c r="S2026" s="61">
        <v>0</v>
      </c>
      <c r="T2026" s="62">
        <v>0</v>
      </c>
    </row>
    <row r="2027" spans="1:20" ht="11.1" customHeight="1" x14ac:dyDescent="0.25">
      <c r="A2027" s="56">
        <v>109290</v>
      </c>
      <c r="B2027" s="72">
        <v>46044</v>
      </c>
      <c r="C2027" s="68">
        <v>46044</v>
      </c>
      <c r="D2027" s="58" t="s">
        <v>1862</v>
      </c>
      <c r="E2027" s="59" t="s">
        <v>352</v>
      </c>
      <c r="F2027" s="56">
        <v>36</v>
      </c>
      <c r="G2027" s="73">
        <v>726</v>
      </c>
      <c r="H2027" s="74" t="s">
        <v>1843</v>
      </c>
      <c r="I2027" s="59" t="s">
        <v>1844</v>
      </c>
      <c r="J2027" s="59" t="s">
        <v>1845</v>
      </c>
      <c r="K2027" s="69">
        <v>5102</v>
      </c>
      <c r="L2027" s="56">
        <v>205</v>
      </c>
      <c r="M2027" s="59" t="s">
        <v>26</v>
      </c>
      <c r="N2027" s="61">
        <v>78.540000000000006</v>
      </c>
      <c r="O2027" s="59" t="s">
        <v>313</v>
      </c>
      <c r="P2027" s="62">
        <v>78.540000000000006</v>
      </c>
      <c r="Q2027" s="63">
        <v>20</v>
      </c>
      <c r="R2027" s="62">
        <v>15.71</v>
      </c>
      <c r="S2027" s="61">
        <v>0</v>
      </c>
      <c r="T2027" s="62">
        <v>0</v>
      </c>
    </row>
    <row r="2028" spans="1:20" ht="11.1" customHeight="1" x14ac:dyDescent="0.25">
      <c r="A2028" s="56">
        <v>109342</v>
      </c>
      <c r="B2028" s="72">
        <v>46045</v>
      </c>
      <c r="C2028" s="68">
        <v>46045</v>
      </c>
      <c r="D2028" s="58" t="s">
        <v>1863</v>
      </c>
      <c r="E2028" s="59" t="s">
        <v>352</v>
      </c>
      <c r="F2028" s="56">
        <v>36</v>
      </c>
      <c r="G2028" s="73">
        <v>726</v>
      </c>
      <c r="H2028" s="74" t="s">
        <v>1843</v>
      </c>
      <c r="I2028" s="59" t="s">
        <v>1844</v>
      </c>
      <c r="J2028" s="59" t="s">
        <v>1845</v>
      </c>
      <c r="K2028" s="69">
        <v>5102</v>
      </c>
      <c r="L2028" s="56">
        <v>205</v>
      </c>
      <c r="M2028" s="59" t="s">
        <v>26</v>
      </c>
      <c r="N2028" s="61">
        <v>376.25</v>
      </c>
      <c r="O2028" s="59" t="s">
        <v>313</v>
      </c>
      <c r="P2028" s="62">
        <v>376.25</v>
      </c>
      <c r="Q2028" s="63">
        <v>20</v>
      </c>
      <c r="R2028" s="62">
        <v>75.25</v>
      </c>
      <c r="S2028" s="61">
        <v>0</v>
      </c>
      <c r="T2028" s="62">
        <v>0</v>
      </c>
    </row>
    <row r="2029" spans="1:20" ht="11.1" customHeight="1" x14ac:dyDescent="0.25">
      <c r="A2029" s="56">
        <v>109392</v>
      </c>
      <c r="B2029" s="72">
        <v>46045</v>
      </c>
      <c r="C2029" s="68">
        <v>46045</v>
      </c>
      <c r="D2029" s="58" t="s">
        <v>1864</v>
      </c>
      <c r="E2029" s="59" t="s">
        <v>352</v>
      </c>
      <c r="F2029" s="56">
        <v>36</v>
      </c>
      <c r="G2029" s="73">
        <v>726</v>
      </c>
      <c r="H2029" s="74" t="s">
        <v>1843</v>
      </c>
      <c r="I2029" s="59" t="s">
        <v>1844</v>
      </c>
      <c r="J2029" s="59" t="s">
        <v>1845</v>
      </c>
      <c r="K2029" s="69">
        <v>5102</v>
      </c>
      <c r="L2029" s="56">
        <v>205</v>
      </c>
      <c r="M2029" s="59" t="s">
        <v>26</v>
      </c>
      <c r="N2029" s="61">
        <v>225.7</v>
      </c>
      <c r="O2029" s="59" t="s">
        <v>313</v>
      </c>
      <c r="P2029" s="62">
        <v>225.7</v>
      </c>
      <c r="Q2029" s="63">
        <v>20</v>
      </c>
      <c r="R2029" s="62">
        <v>45.14</v>
      </c>
      <c r="S2029" s="61">
        <v>0</v>
      </c>
      <c r="T2029" s="62">
        <v>0</v>
      </c>
    </row>
    <row r="2030" spans="1:20" ht="11.1" customHeight="1" x14ac:dyDescent="0.25">
      <c r="A2030" s="56">
        <v>109429</v>
      </c>
      <c r="B2030" s="72">
        <v>46048</v>
      </c>
      <c r="C2030" s="68">
        <v>46048</v>
      </c>
      <c r="D2030" s="58" t="s">
        <v>1865</v>
      </c>
      <c r="E2030" s="59" t="s">
        <v>352</v>
      </c>
      <c r="F2030" s="56">
        <v>36</v>
      </c>
      <c r="G2030" s="73">
        <v>726</v>
      </c>
      <c r="H2030" s="74" t="s">
        <v>1843</v>
      </c>
      <c r="I2030" s="59" t="s">
        <v>1844</v>
      </c>
      <c r="J2030" s="59" t="s">
        <v>1845</v>
      </c>
      <c r="K2030" s="69">
        <v>5102</v>
      </c>
      <c r="L2030" s="56">
        <v>205</v>
      </c>
      <c r="M2030" s="59" t="s">
        <v>26</v>
      </c>
      <c r="N2030" s="61">
        <v>201.48</v>
      </c>
      <c r="O2030" s="59" t="s">
        <v>313</v>
      </c>
      <c r="P2030" s="62">
        <v>201.48</v>
      </c>
      <c r="Q2030" s="63">
        <v>20</v>
      </c>
      <c r="R2030" s="62">
        <v>40.299999999999997</v>
      </c>
      <c r="S2030" s="61">
        <v>0</v>
      </c>
      <c r="T2030" s="62">
        <v>0</v>
      </c>
    </row>
    <row r="2031" spans="1:20" ht="11.1" customHeight="1" x14ac:dyDescent="0.25">
      <c r="A2031" s="56">
        <v>109432</v>
      </c>
      <c r="B2031" s="72">
        <v>46048</v>
      </c>
      <c r="C2031" s="68">
        <v>46048</v>
      </c>
      <c r="D2031" s="58" t="s">
        <v>1866</v>
      </c>
      <c r="E2031" s="59" t="s">
        <v>352</v>
      </c>
      <c r="F2031" s="56">
        <v>36</v>
      </c>
      <c r="G2031" s="73">
        <v>726</v>
      </c>
      <c r="H2031" s="74" t="s">
        <v>1843</v>
      </c>
      <c r="I2031" s="59" t="s">
        <v>1844</v>
      </c>
      <c r="J2031" s="59" t="s">
        <v>1845</v>
      </c>
      <c r="K2031" s="69">
        <v>5102</v>
      </c>
      <c r="L2031" s="56">
        <v>205</v>
      </c>
      <c r="M2031" s="59" t="s">
        <v>26</v>
      </c>
      <c r="N2031" s="61">
        <v>967.82</v>
      </c>
      <c r="O2031" s="59" t="s">
        <v>313</v>
      </c>
      <c r="P2031" s="62">
        <v>967.82</v>
      </c>
      <c r="Q2031" s="63">
        <v>20</v>
      </c>
      <c r="R2031" s="62">
        <v>193.56</v>
      </c>
      <c r="S2031" s="61">
        <v>0</v>
      </c>
      <c r="T2031" s="62">
        <v>0</v>
      </c>
    </row>
    <row r="2032" spans="1:20" ht="11.1" customHeight="1" x14ac:dyDescent="0.25">
      <c r="A2032" s="56">
        <v>109650</v>
      </c>
      <c r="B2032" s="72">
        <v>46052</v>
      </c>
      <c r="C2032" s="68">
        <v>46052</v>
      </c>
      <c r="D2032" s="58" t="s">
        <v>1867</v>
      </c>
      <c r="E2032" s="59" t="s">
        <v>352</v>
      </c>
      <c r="F2032" s="56">
        <v>36</v>
      </c>
      <c r="G2032" s="73">
        <v>726</v>
      </c>
      <c r="H2032" s="74" t="s">
        <v>1843</v>
      </c>
      <c r="I2032" s="59" t="s">
        <v>1844</v>
      </c>
      <c r="J2032" s="59" t="s">
        <v>1845</v>
      </c>
      <c r="K2032" s="69">
        <v>5102</v>
      </c>
      <c r="L2032" s="56">
        <v>205</v>
      </c>
      <c r="M2032" s="59" t="s">
        <v>26</v>
      </c>
      <c r="N2032" s="61">
        <v>179.4</v>
      </c>
      <c r="O2032" s="59" t="s">
        <v>313</v>
      </c>
      <c r="P2032" s="62">
        <v>179.4</v>
      </c>
      <c r="Q2032" s="63">
        <v>20</v>
      </c>
      <c r="R2032" s="62">
        <v>35.869999999999997</v>
      </c>
      <c r="S2032" s="61">
        <v>0</v>
      </c>
      <c r="T2032" s="62">
        <v>0</v>
      </c>
    </row>
    <row r="2033" spans="1:20" ht="11.1" customHeight="1" x14ac:dyDescent="0.25">
      <c r="A2033" s="56">
        <v>109722</v>
      </c>
      <c r="B2033" s="72">
        <v>46044</v>
      </c>
      <c r="C2033" s="68">
        <v>46044</v>
      </c>
      <c r="D2033" s="58" t="s">
        <v>1868</v>
      </c>
      <c r="E2033" s="59" t="s">
        <v>352</v>
      </c>
      <c r="F2033" s="56">
        <v>36</v>
      </c>
      <c r="G2033" s="73">
        <v>726</v>
      </c>
      <c r="H2033" s="74" t="s">
        <v>1843</v>
      </c>
      <c r="I2033" s="59" t="s">
        <v>1844</v>
      </c>
      <c r="J2033" s="59" t="s">
        <v>1845</v>
      </c>
      <c r="K2033" s="69">
        <v>5102</v>
      </c>
      <c r="L2033" s="56">
        <v>205</v>
      </c>
      <c r="M2033" s="59" t="s">
        <v>26</v>
      </c>
      <c r="N2033" s="61">
        <v>0</v>
      </c>
      <c r="O2033" s="59" t="s">
        <v>313</v>
      </c>
      <c r="P2033" s="62">
        <v>0</v>
      </c>
      <c r="Q2033" s="63">
        <v>0</v>
      </c>
      <c r="R2033" s="62">
        <v>0</v>
      </c>
      <c r="S2033" s="61">
        <v>0</v>
      </c>
      <c r="T2033" s="62">
        <v>0</v>
      </c>
    </row>
    <row r="2034" spans="1:20" ht="11.1" customHeight="1" x14ac:dyDescent="0.25">
      <c r="A2034" s="56">
        <v>109730</v>
      </c>
      <c r="B2034" s="72">
        <v>46052</v>
      </c>
      <c r="C2034" s="68">
        <v>46052</v>
      </c>
      <c r="D2034" s="58" t="s">
        <v>1869</v>
      </c>
      <c r="E2034" s="59" t="s">
        <v>352</v>
      </c>
      <c r="F2034" s="56">
        <v>36</v>
      </c>
      <c r="G2034" s="73">
        <v>726</v>
      </c>
      <c r="H2034" s="74" t="s">
        <v>1843</v>
      </c>
      <c r="I2034" s="59" t="s">
        <v>1844</v>
      </c>
      <c r="J2034" s="59" t="s">
        <v>1845</v>
      </c>
      <c r="K2034" s="69">
        <v>5202</v>
      </c>
      <c r="L2034" s="56">
        <v>216</v>
      </c>
      <c r="M2034" s="59" t="s">
        <v>26</v>
      </c>
      <c r="N2034" s="61">
        <v>4204.8</v>
      </c>
      <c r="O2034" s="59" t="s">
        <v>313</v>
      </c>
      <c r="P2034" s="62">
        <v>4204.8</v>
      </c>
      <c r="Q2034" s="63">
        <v>20</v>
      </c>
      <c r="R2034" s="62">
        <v>840.96</v>
      </c>
      <c r="S2034" s="61">
        <v>0</v>
      </c>
      <c r="T2034" s="62">
        <v>0</v>
      </c>
    </row>
    <row r="2035" spans="1:20" ht="11.85" customHeight="1" x14ac:dyDescent="0.25">
      <c r="A2035" s="71" t="s">
        <v>620</v>
      </c>
      <c r="B2035" s="71"/>
      <c r="C2035" s="71"/>
      <c r="D2035" s="71"/>
      <c r="E2035" s="71"/>
      <c r="F2035" s="71"/>
      <c r="G2035" s="71"/>
      <c r="H2035" s="71"/>
    </row>
    <row r="2036" spans="1:20" ht="11.1" customHeight="1" x14ac:dyDescent="0.25">
      <c r="O2036" s="59" t="s">
        <v>313</v>
      </c>
      <c r="P2036" s="62">
        <v>33466.589999999997</v>
      </c>
      <c r="R2036" s="62">
        <v>6693.29</v>
      </c>
      <c r="S2036" s="61">
        <v>0</v>
      </c>
      <c r="T2036" s="62">
        <v>1870.88</v>
      </c>
    </row>
    <row r="2037" spans="1:20" ht="11.1" customHeight="1" x14ac:dyDescent="0.25">
      <c r="A2037" s="56">
        <v>108942</v>
      </c>
      <c r="B2037" s="72">
        <v>46037</v>
      </c>
      <c r="C2037" s="68">
        <v>46037</v>
      </c>
      <c r="D2037" s="58" t="s">
        <v>1870</v>
      </c>
      <c r="E2037" s="59" t="s">
        <v>352</v>
      </c>
      <c r="F2037" s="56">
        <v>36</v>
      </c>
      <c r="G2037" s="73">
        <v>279</v>
      </c>
      <c r="H2037" s="74" t="s">
        <v>1871</v>
      </c>
      <c r="I2037" s="59" t="s">
        <v>1872</v>
      </c>
      <c r="J2037" s="59" t="s">
        <v>1873</v>
      </c>
      <c r="K2037" s="69">
        <v>5403</v>
      </c>
      <c r="L2037" s="56">
        <v>207</v>
      </c>
      <c r="M2037" s="59" t="s">
        <v>26</v>
      </c>
      <c r="N2037" s="61">
        <v>823.85</v>
      </c>
      <c r="O2037" s="59" t="s">
        <v>313</v>
      </c>
      <c r="P2037" s="62">
        <v>769.95</v>
      </c>
      <c r="Q2037" s="63">
        <v>20</v>
      </c>
      <c r="R2037" s="62">
        <v>153.99</v>
      </c>
      <c r="S2037" s="61">
        <v>0</v>
      </c>
      <c r="T2037" s="62">
        <v>53.9</v>
      </c>
    </row>
    <row r="2038" spans="1:20" ht="11.1" customHeight="1" x14ac:dyDescent="0.25">
      <c r="O2038" s="59" t="s">
        <v>436</v>
      </c>
      <c r="P2038" s="62">
        <v>1039.43</v>
      </c>
      <c r="Q2038" s="63">
        <v>20</v>
      </c>
      <c r="R2038" s="62">
        <v>53.9</v>
      </c>
      <c r="S2038" s="61">
        <v>0</v>
      </c>
      <c r="T2038" s="62">
        <v>0</v>
      </c>
    </row>
    <row r="2039" spans="1:20" ht="11.1" customHeight="1" x14ac:dyDescent="0.25">
      <c r="A2039" s="56">
        <v>108943</v>
      </c>
      <c r="B2039" s="72">
        <v>46037</v>
      </c>
      <c r="C2039" s="68">
        <v>46037</v>
      </c>
      <c r="D2039" s="58" t="s">
        <v>1874</v>
      </c>
      <c r="E2039" s="59" t="s">
        <v>352</v>
      </c>
      <c r="F2039" s="56">
        <v>36</v>
      </c>
      <c r="G2039" s="73">
        <v>279</v>
      </c>
      <c r="H2039" s="74" t="s">
        <v>1871</v>
      </c>
      <c r="I2039" s="59" t="s">
        <v>1872</v>
      </c>
      <c r="J2039" s="59" t="s">
        <v>1873</v>
      </c>
      <c r="K2039" s="69">
        <v>5403</v>
      </c>
      <c r="L2039" s="56">
        <v>207</v>
      </c>
      <c r="M2039" s="59" t="s">
        <v>26</v>
      </c>
      <c r="N2039" s="61">
        <v>2749.37</v>
      </c>
      <c r="O2039" s="59" t="s">
        <v>313</v>
      </c>
      <c r="P2039" s="62">
        <v>2569.5100000000002</v>
      </c>
      <c r="Q2039" s="63">
        <v>20</v>
      </c>
      <c r="R2039" s="62">
        <v>513.9</v>
      </c>
      <c r="S2039" s="61">
        <v>0</v>
      </c>
      <c r="T2039" s="62">
        <v>179.86</v>
      </c>
    </row>
    <row r="2040" spans="1:20" ht="11.1" customHeight="1" x14ac:dyDescent="0.25">
      <c r="O2040" s="59" t="s">
        <v>436</v>
      </c>
      <c r="P2040" s="62">
        <v>3468.84</v>
      </c>
      <c r="Q2040" s="63">
        <v>20</v>
      </c>
      <c r="R2040" s="62">
        <v>179.86</v>
      </c>
      <c r="S2040" s="61">
        <v>0</v>
      </c>
      <c r="T2040" s="62">
        <v>0</v>
      </c>
    </row>
    <row r="2041" spans="1:20" ht="11.85" customHeight="1" x14ac:dyDescent="0.25">
      <c r="A2041" s="71" t="s">
        <v>620</v>
      </c>
      <c r="B2041" s="71"/>
      <c r="C2041" s="71"/>
      <c r="D2041" s="71"/>
      <c r="E2041" s="71"/>
      <c r="F2041" s="71"/>
      <c r="G2041" s="71"/>
      <c r="H2041" s="71"/>
    </row>
    <row r="2042" spans="1:20" ht="11.1" customHeight="1" x14ac:dyDescent="0.25">
      <c r="O2042" s="59" t="s">
        <v>313</v>
      </c>
      <c r="P2042" s="62">
        <v>3339.46</v>
      </c>
      <c r="R2042" s="62">
        <v>667.89</v>
      </c>
      <c r="S2042" s="61">
        <v>0</v>
      </c>
      <c r="T2042" s="62">
        <v>233.76</v>
      </c>
    </row>
    <row r="2043" spans="1:20" ht="11.1" customHeight="1" x14ac:dyDescent="0.25">
      <c r="O2043" s="59" t="s">
        <v>436</v>
      </c>
      <c r="P2043" s="62">
        <v>4508.2700000000004</v>
      </c>
      <c r="R2043" s="62">
        <v>233.76</v>
      </c>
      <c r="S2043" s="61">
        <v>0</v>
      </c>
      <c r="T2043" s="62">
        <v>0</v>
      </c>
    </row>
    <row r="2044" spans="1:20" ht="11.1" customHeight="1" x14ac:dyDescent="0.25">
      <c r="A2044" s="56">
        <v>109480</v>
      </c>
      <c r="B2044" s="72">
        <v>46049</v>
      </c>
      <c r="C2044" s="68">
        <v>46049</v>
      </c>
      <c r="D2044" s="58" t="s">
        <v>1875</v>
      </c>
      <c r="E2044" s="59" t="s">
        <v>352</v>
      </c>
      <c r="F2044" s="56">
        <v>36</v>
      </c>
      <c r="G2044" s="73">
        <v>672</v>
      </c>
      <c r="H2044" s="74" t="s">
        <v>1876</v>
      </c>
      <c r="I2044" s="59" t="s">
        <v>1877</v>
      </c>
      <c r="J2044" s="59" t="s">
        <v>1878</v>
      </c>
      <c r="K2044" s="69">
        <v>6403</v>
      </c>
      <c r="L2044" s="56">
        <v>207</v>
      </c>
      <c r="M2044" s="59" t="s">
        <v>34</v>
      </c>
      <c r="N2044" s="61">
        <v>1894.92</v>
      </c>
      <c r="O2044" s="59" t="s">
        <v>313</v>
      </c>
      <c r="P2044" s="62">
        <v>1644.95</v>
      </c>
      <c r="Q2044" s="63">
        <v>12</v>
      </c>
      <c r="R2044" s="62">
        <v>197.4</v>
      </c>
      <c r="S2044" s="61">
        <v>0</v>
      </c>
      <c r="T2044" s="62">
        <v>249.97</v>
      </c>
    </row>
    <row r="2045" spans="1:20" ht="11.1" customHeight="1" x14ac:dyDescent="0.25">
      <c r="O2045" s="59" t="s">
        <v>436</v>
      </c>
      <c r="P2045" s="62">
        <v>2354.58</v>
      </c>
      <c r="Q2045" s="63">
        <v>19</v>
      </c>
      <c r="R2045" s="62">
        <v>249.97</v>
      </c>
      <c r="S2045" s="61">
        <v>0</v>
      </c>
      <c r="T2045" s="62">
        <v>0</v>
      </c>
    </row>
    <row r="2046" spans="1:20" ht="11.1" customHeight="1" x14ac:dyDescent="0.25">
      <c r="A2046" s="56">
        <v>109481</v>
      </c>
      <c r="B2046" s="72">
        <v>46049</v>
      </c>
      <c r="C2046" s="68">
        <v>46049</v>
      </c>
      <c r="D2046" s="58" t="s">
        <v>1875</v>
      </c>
      <c r="E2046" s="59" t="s">
        <v>352</v>
      </c>
      <c r="F2046" s="56">
        <v>36</v>
      </c>
      <c r="G2046" s="73">
        <v>672</v>
      </c>
      <c r="H2046" s="74" t="s">
        <v>1876</v>
      </c>
      <c r="I2046" s="59" t="s">
        <v>1877</v>
      </c>
      <c r="J2046" s="59" t="s">
        <v>1878</v>
      </c>
      <c r="K2046" s="69">
        <v>6102</v>
      </c>
      <c r="L2046" s="56">
        <v>238</v>
      </c>
      <c r="M2046" s="59" t="s">
        <v>34</v>
      </c>
      <c r="N2046" s="61">
        <v>176.61</v>
      </c>
      <c r="O2046" s="59" t="s">
        <v>313</v>
      </c>
      <c r="P2046" s="62">
        <v>176.61</v>
      </c>
      <c r="Q2046" s="63">
        <v>12</v>
      </c>
      <c r="R2046" s="62">
        <v>21.19</v>
      </c>
      <c r="S2046" s="61">
        <v>0</v>
      </c>
      <c r="T2046" s="62">
        <v>0</v>
      </c>
    </row>
    <row r="2047" spans="1:20" ht="11.85" customHeight="1" x14ac:dyDescent="0.25">
      <c r="A2047" s="71" t="s">
        <v>620</v>
      </c>
      <c r="B2047" s="71"/>
      <c r="C2047" s="71"/>
      <c r="D2047" s="71"/>
      <c r="E2047" s="71"/>
      <c r="F2047" s="71"/>
      <c r="G2047" s="71"/>
      <c r="H2047" s="71"/>
    </row>
    <row r="2048" spans="1:20" ht="11.1" customHeight="1" x14ac:dyDescent="0.25">
      <c r="O2048" s="59" t="s">
        <v>313</v>
      </c>
      <c r="P2048" s="62">
        <v>1821.56</v>
      </c>
      <c r="R2048" s="62">
        <v>218.59</v>
      </c>
      <c r="S2048" s="61">
        <v>0</v>
      </c>
      <c r="T2048" s="62">
        <v>249.97</v>
      </c>
    </row>
    <row r="2049" spans="1:20" ht="11.1" customHeight="1" x14ac:dyDescent="0.25">
      <c r="O2049" s="59" t="s">
        <v>436</v>
      </c>
      <c r="P2049" s="62">
        <v>2354.58</v>
      </c>
      <c r="R2049" s="62">
        <v>249.97</v>
      </c>
      <c r="S2049" s="61">
        <v>0</v>
      </c>
      <c r="T2049" s="62">
        <v>0</v>
      </c>
    </row>
    <row r="2050" spans="1:20" ht="11.1" customHeight="1" x14ac:dyDescent="0.25">
      <c r="A2050" s="56">
        <v>108644</v>
      </c>
      <c r="B2050" s="72">
        <v>46030</v>
      </c>
      <c r="C2050" s="68">
        <v>46030</v>
      </c>
      <c r="D2050" s="58" t="s">
        <v>1879</v>
      </c>
      <c r="E2050" s="59" t="s">
        <v>352</v>
      </c>
      <c r="F2050" s="56">
        <v>36</v>
      </c>
      <c r="G2050" s="73">
        <v>861</v>
      </c>
      <c r="H2050" s="74" t="s">
        <v>1880</v>
      </c>
      <c r="I2050" s="59" t="s">
        <v>1881</v>
      </c>
      <c r="J2050" s="59" t="s">
        <v>1882</v>
      </c>
      <c r="K2050" s="69">
        <v>5102</v>
      </c>
      <c r="L2050" s="56">
        <v>205</v>
      </c>
      <c r="M2050" s="59" t="s">
        <v>26</v>
      </c>
      <c r="N2050" s="61">
        <v>174.22</v>
      </c>
      <c r="O2050" s="59" t="s">
        <v>313</v>
      </c>
      <c r="P2050" s="62">
        <v>174.22</v>
      </c>
      <c r="Q2050" s="63">
        <v>20</v>
      </c>
      <c r="R2050" s="62">
        <v>34.840000000000003</v>
      </c>
      <c r="S2050" s="61">
        <v>0</v>
      </c>
      <c r="T2050" s="62">
        <v>0</v>
      </c>
    </row>
    <row r="2051" spans="1:20" ht="11.1" customHeight="1" x14ac:dyDescent="0.25">
      <c r="A2051" s="56">
        <v>108645</v>
      </c>
      <c r="B2051" s="72">
        <v>46030</v>
      </c>
      <c r="C2051" s="68">
        <v>46030</v>
      </c>
      <c r="D2051" s="58" t="s">
        <v>1879</v>
      </c>
      <c r="E2051" s="59" t="s">
        <v>352</v>
      </c>
      <c r="F2051" s="56">
        <v>36</v>
      </c>
      <c r="G2051" s="73">
        <v>861</v>
      </c>
      <c r="H2051" s="74" t="s">
        <v>1880</v>
      </c>
      <c r="I2051" s="59" t="s">
        <v>1881</v>
      </c>
      <c r="J2051" s="59" t="s">
        <v>1882</v>
      </c>
      <c r="K2051" s="69">
        <v>5403</v>
      </c>
      <c r="L2051" s="56">
        <v>207</v>
      </c>
      <c r="M2051" s="59" t="s">
        <v>26</v>
      </c>
      <c r="N2051" s="61">
        <v>156.59</v>
      </c>
      <c r="O2051" s="59" t="s">
        <v>313</v>
      </c>
      <c r="P2051" s="62">
        <v>146.35</v>
      </c>
      <c r="Q2051" s="63">
        <v>20</v>
      </c>
      <c r="R2051" s="62">
        <v>29.27</v>
      </c>
      <c r="S2051" s="61">
        <v>0</v>
      </c>
      <c r="T2051" s="62">
        <v>10.24</v>
      </c>
    </row>
    <row r="2052" spans="1:20" ht="11.1" customHeight="1" x14ac:dyDescent="0.25">
      <c r="O2052" s="59" t="s">
        <v>436</v>
      </c>
      <c r="P2052" s="62">
        <v>197.57</v>
      </c>
      <c r="Q2052" s="63">
        <v>20</v>
      </c>
      <c r="R2052" s="62">
        <v>10.24</v>
      </c>
      <c r="S2052" s="61">
        <v>0</v>
      </c>
      <c r="T2052" s="62">
        <v>0</v>
      </c>
    </row>
    <row r="2053" spans="1:20" ht="11.1" customHeight="1" x14ac:dyDescent="0.25">
      <c r="A2053" s="56">
        <v>108923</v>
      </c>
      <c r="B2053" s="72">
        <v>46036</v>
      </c>
      <c r="C2053" s="68">
        <v>46036</v>
      </c>
      <c r="D2053" s="58" t="s">
        <v>1883</v>
      </c>
      <c r="E2053" s="59" t="s">
        <v>352</v>
      </c>
      <c r="F2053" s="56">
        <v>36</v>
      </c>
      <c r="G2053" s="73">
        <v>861</v>
      </c>
      <c r="H2053" s="74" t="s">
        <v>1880</v>
      </c>
      <c r="I2053" s="59" t="s">
        <v>1881</v>
      </c>
      <c r="J2053" s="59" t="s">
        <v>1882</v>
      </c>
      <c r="K2053" s="69">
        <v>5102</v>
      </c>
      <c r="L2053" s="56">
        <v>205</v>
      </c>
      <c r="M2053" s="59" t="s">
        <v>26</v>
      </c>
      <c r="N2053" s="61">
        <v>95.78</v>
      </c>
      <c r="O2053" s="59" t="s">
        <v>313</v>
      </c>
      <c r="P2053" s="62">
        <v>95.78</v>
      </c>
      <c r="Q2053" s="63">
        <v>20</v>
      </c>
      <c r="R2053" s="62">
        <v>19.16</v>
      </c>
      <c r="S2053" s="61">
        <v>0</v>
      </c>
      <c r="T2053" s="62">
        <v>0</v>
      </c>
    </row>
    <row r="2054" spans="1:20" ht="11.1" customHeight="1" x14ac:dyDescent="0.25">
      <c r="A2054" s="56">
        <v>108924</v>
      </c>
      <c r="B2054" s="72">
        <v>46036</v>
      </c>
      <c r="C2054" s="68">
        <v>46036</v>
      </c>
      <c r="D2054" s="58" t="s">
        <v>1883</v>
      </c>
      <c r="E2054" s="59" t="s">
        <v>352</v>
      </c>
      <c r="F2054" s="56">
        <v>36</v>
      </c>
      <c r="G2054" s="73">
        <v>861</v>
      </c>
      <c r="H2054" s="74" t="s">
        <v>1880</v>
      </c>
      <c r="I2054" s="59" t="s">
        <v>1881</v>
      </c>
      <c r="J2054" s="59" t="s">
        <v>1882</v>
      </c>
      <c r="K2054" s="69">
        <v>5403</v>
      </c>
      <c r="L2054" s="56">
        <v>207</v>
      </c>
      <c r="M2054" s="59" t="s">
        <v>26</v>
      </c>
      <c r="N2054" s="61">
        <v>82.31</v>
      </c>
      <c r="O2054" s="59" t="s">
        <v>313</v>
      </c>
      <c r="P2054" s="62">
        <v>76.92</v>
      </c>
      <c r="Q2054" s="63">
        <v>20</v>
      </c>
      <c r="R2054" s="62">
        <v>15.38</v>
      </c>
      <c r="S2054" s="61">
        <v>0</v>
      </c>
      <c r="T2054" s="62">
        <v>5.39</v>
      </c>
    </row>
    <row r="2055" spans="1:20" ht="11.1" customHeight="1" x14ac:dyDescent="0.25">
      <c r="O2055" s="59" t="s">
        <v>436</v>
      </c>
      <c r="P2055" s="62">
        <v>103.84</v>
      </c>
      <c r="Q2055" s="63">
        <v>20</v>
      </c>
      <c r="R2055" s="62">
        <v>5.39</v>
      </c>
      <c r="S2055" s="61">
        <v>0</v>
      </c>
      <c r="T2055" s="62">
        <v>0</v>
      </c>
    </row>
    <row r="2056" spans="1:20" ht="11.85" customHeight="1" x14ac:dyDescent="0.25">
      <c r="A2056" s="71" t="s">
        <v>620</v>
      </c>
      <c r="B2056" s="71"/>
      <c r="C2056" s="71"/>
      <c r="D2056" s="71"/>
      <c r="E2056" s="71"/>
      <c r="F2056" s="71"/>
      <c r="G2056" s="71"/>
      <c r="H2056" s="71"/>
    </row>
    <row r="2057" spans="1:20" ht="11.1" customHeight="1" x14ac:dyDescent="0.25">
      <c r="O2057" s="59" t="s">
        <v>313</v>
      </c>
      <c r="P2057" s="62">
        <v>493.27</v>
      </c>
      <c r="R2057" s="62">
        <v>98.65</v>
      </c>
      <c r="S2057" s="61">
        <v>0</v>
      </c>
      <c r="T2057" s="62">
        <v>15.63</v>
      </c>
    </row>
    <row r="2058" spans="1:20" ht="11.1" customHeight="1" x14ac:dyDescent="0.25">
      <c r="O2058" s="59" t="s">
        <v>436</v>
      </c>
      <c r="P2058" s="62">
        <v>301.41000000000003</v>
      </c>
      <c r="R2058" s="62">
        <v>15.63</v>
      </c>
      <c r="S2058" s="61">
        <v>0</v>
      </c>
      <c r="T2058" s="62">
        <v>0</v>
      </c>
    </row>
    <row r="2059" spans="1:20" ht="11.1" customHeight="1" x14ac:dyDescent="0.25">
      <c r="A2059" s="56">
        <v>109227</v>
      </c>
      <c r="B2059" s="72">
        <v>46043</v>
      </c>
      <c r="C2059" s="68">
        <v>46043</v>
      </c>
      <c r="D2059" s="58" t="s">
        <v>1884</v>
      </c>
      <c r="E2059" s="59" t="s">
        <v>352</v>
      </c>
      <c r="F2059" s="56">
        <v>36</v>
      </c>
      <c r="G2059" s="73">
        <v>926</v>
      </c>
      <c r="H2059" s="74" t="s">
        <v>1885</v>
      </c>
      <c r="I2059" s="59" t="s">
        <v>1886</v>
      </c>
      <c r="J2059" s="59" t="s">
        <v>1887</v>
      </c>
      <c r="K2059" s="69">
        <v>5102</v>
      </c>
      <c r="L2059" s="56">
        <v>205</v>
      </c>
      <c r="M2059" s="59" t="s">
        <v>26</v>
      </c>
      <c r="N2059" s="61">
        <v>47.89</v>
      </c>
      <c r="O2059" s="59" t="s">
        <v>313</v>
      </c>
      <c r="P2059" s="62">
        <v>47.89</v>
      </c>
      <c r="Q2059" s="63">
        <v>20</v>
      </c>
      <c r="R2059" s="62">
        <v>9.58</v>
      </c>
      <c r="S2059" s="61">
        <v>0</v>
      </c>
      <c r="T2059" s="62">
        <v>0</v>
      </c>
    </row>
    <row r="2060" spans="1:20" ht="11.1" customHeight="1" x14ac:dyDescent="0.25">
      <c r="A2060" s="56">
        <v>109228</v>
      </c>
      <c r="B2060" s="72">
        <v>46043</v>
      </c>
      <c r="C2060" s="68">
        <v>46043</v>
      </c>
      <c r="D2060" s="58" t="s">
        <v>1884</v>
      </c>
      <c r="E2060" s="59" t="s">
        <v>352</v>
      </c>
      <c r="F2060" s="56">
        <v>36</v>
      </c>
      <c r="G2060" s="73">
        <v>926</v>
      </c>
      <c r="H2060" s="74" t="s">
        <v>1885</v>
      </c>
      <c r="I2060" s="59" t="s">
        <v>1886</v>
      </c>
      <c r="J2060" s="59" t="s">
        <v>1887</v>
      </c>
      <c r="K2060" s="69">
        <v>5403</v>
      </c>
      <c r="L2060" s="56">
        <v>207</v>
      </c>
      <c r="M2060" s="59" t="s">
        <v>26</v>
      </c>
      <c r="N2060" s="61">
        <v>90.39</v>
      </c>
      <c r="O2060" s="59" t="s">
        <v>313</v>
      </c>
      <c r="P2060" s="62">
        <v>84.47</v>
      </c>
      <c r="Q2060" s="63">
        <v>20</v>
      </c>
      <c r="R2060" s="62">
        <v>16.89</v>
      </c>
      <c r="S2060" s="61">
        <v>0</v>
      </c>
      <c r="T2060" s="62">
        <v>5.92</v>
      </c>
    </row>
    <row r="2061" spans="1:20" ht="11.1" customHeight="1" x14ac:dyDescent="0.25">
      <c r="O2061" s="59" t="s">
        <v>436</v>
      </c>
      <c r="P2061" s="62">
        <v>114.03</v>
      </c>
      <c r="Q2061" s="63">
        <v>20</v>
      </c>
      <c r="R2061" s="62">
        <v>5.92</v>
      </c>
      <c r="S2061" s="61">
        <v>0</v>
      </c>
      <c r="T2061" s="62">
        <v>0</v>
      </c>
    </row>
    <row r="2062" spans="1:20" ht="11.85" customHeight="1" x14ac:dyDescent="0.25">
      <c r="A2062" s="71" t="s">
        <v>620</v>
      </c>
      <c r="B2062" s="71"/>
      <c r="C2062" s="71"/>
      <c r="D2062" s="71"/>
      <c r="E2062" s="71"/>
      <c r="F2062" s="71"/>
      <c r="G2062" s="71"/>
      <c r="H2062" s="71"/>
    </row>
    <row r="2063" spans="1:20" ht="11.1" customHeight="1" x14ac:dyDescent="0.25">
      <c r="O2063" s="59" t="s">
        <v>313</v>
      </c>
      <c r="P2063" s="62">
        <v>132.36000000000001</v>
      </c>
      <c r="R2063" s="62">
        <v>26.47</v>
      </c>
      <c r="S2063" s="61">
        <v>0</v>
      </c>
      <c r="T2063" s="62">
        <v>5.92</v>
      </c>
    </row>
    <row r="2064" spans="1:20" ht="11.1" customHeight="1" x14ac:dyDescent="0.25">
      <c r="O2064" s="59" t="s">
        <v>436</v>
      </c>
      <c r="P2064" s="62">
        <v>114.03</v>
      </c>
      <c r="R2064" s="62">
        <v>5.92</v>
      </c>
      <c r="S2064" s="61">
        <v>0</v>
      </c>
      <c r="T2064" s="62">
        <v>0</v>
      </c>
    </row>
    <row r="2065" spans="1:20" ht="11.1" customHeight="1" x14ac:dyDescent="0.25">
      <c r="A2065" s="56">
        <v>108979</v>
      </c>
      <c r="B2065" s="72">
        <v>46037</v>
      </c>
      <c r="C2065" s="68">
        <v>46037</v>
      </c>
      <c r="D2065" s="58" t="s">
        <v>1888</v>
      </c>
      <c r="E2065" s="59" t="s">
        <v>352</v>
      </c>
      <c r="F2065" s="56">
        <v>36</v>
      </c>
      <c r="G2065" s="73">
        <v>919</v>
      </c>
      <c r="H2065" s="74" t="s">
        <v>1889</v>
      </c>
      <c r="I2065" s="59" t="s">
        <v>1890</v>
      </c>
      <c r="J2065" s="59" t="s">
        <v>1891</v>
      </c>
      <c r="K2065" s="69">
        <v>5102</v>
      </c>
      <c r="L2065" s="56">
        <v>205</v>
      </c>
      <c r="M2065" s="59" t="s">
        <v>26</v>
      </c>
      <c r="N2065" s="61">
        <v>1203.1500000000001</v>
      </c>
      <c r="O2065" s="59" t="s">
        <v>313</v>
      </c>
      <c r="P2065" s="62">
        <v>1203.1500000000001</v>
      </c>
      <c r="Q2065" s="63">
        <v>20</v>
      </c>
      <c r="R2065" s="62">
        <v>240.63</v>
      </c>
      <c r="S2065" s="61">
        <v>0</v>
      </c>
      <c r="T2065" s="62">
        <v>0</v>
      </c>
    </row>
    <row r="2066" spans="1:20" ht="11.85" customHeight="1" x14ac:dyDescent="0.25">
      <c r="A2066" s="71" t="s">
        <v>620</v>
      </c>
      <c r="B2066" s="71"/>
      <c r="C2066" s="71"/>
      <c r="D2066" s="71"/>
      <c r="E2066" s="71"/>
      <c r="F2066" s="71"/>
      <c r="G2066" s="71"/>
      <c r="H2066" s="71"/>
    </row>
    <row r="2067" spans="1:20" ht="11.1" customHeight="1" x14ac:dyDescent="0.25">
      <c r="O2067" s="59" t="s">
        <v>313</v>
      </c>
      <c r="P2067" s="62">
        <v>1203.1500000000001</v>
      </c>
      <c r="R2067" s="62">
        <v>240.63</v>
      </c>
      <c r="S2067" s="61">
        <v>0</v>
      </c>
      <c r="T2067" s="62">
        <v>0</v>
      </c>
    </row>
    <row r="2068" spans="1:20" ht="11.1" customHeight="1" x14ac:dyDescent="0.25">
      <c r="A2068" s="56">
        <v>108457</v>
      </c>
      <c r="B2068" s="72">
        <v>46027</v>
      </c>
      <c r="C2068" s="68">
        <v>46027</v>
      </c>
      <c r="D2068" s="58" t="s">
        <v>1892</v>
      </c>
      <c r="E2068" s="59" t="s">
        <v>352</v>
      </c>
      <c r="F2068" s="56">
        <v>36</v>
      </c>
      <c r="G2068" s="73">
        <v>110</v>
      </c>
      <c r="H2068" s="74" t="s">
        <v>1893</v>
      </c>
      <c r="I2068" s="59" t="s">
        <v>1894</v>
      </c>
      <c r="J2068" s="59" t="s">
        <v>1895</v>
      </c>
      <c r="K2068" s="69">
        <v>5102</v>
      </c>
      <c r="L2068" s="56">
        <v>205</v>
      </c>
      <c r="M2068" s="59" t="s">
        <v>26</v>
      </c>
      <c r="N2068" s="61">
        <v>4287.9399999999996</v>
      </c>
      <c r="O2068" s="59" t="s">
        <v>313</v>
      </c>
      <c r="P2068" s="62">
        <v>239.76</v>
      </c>
      <c r="Q2068" s="63">
        <v>12</v>
      </c>
      <c r="R2068" s="62">
        <v>28.77</v>
      </c>
      <c r="S2068" s="61">
        <v>0</v>
      </c>
      <c r="T2068" s="62">
        <v>0</v>
      </c>
    </row>
    <row r="2069" spans="1:20" ht="11.1" customHeight="1" x14ac:dyDescent="0.25">
      <c r="O2069" s="59" t="s">
        <v>313</v>
      </c>
      <c r="P2069" s="62">
        <v>4048.18</v>
      </c>
      <c r="Q2069" s="63">
        <v>20</v>
      </c>
      <c r="R2069" s="62">
        <v>809.66</v>
      </c>
      <c r="S2069" s="61">
        <v>0</v>
      </c>
      <c r="T2069" s="62">
        <v>0</v>
      </c>
    </row>
    <row r="2070" spans="1:20" ht="11.1" customHeight="1" x14ac:dyDescent="0.25">
      <c r="A2070" s="56">
        <v>108458</v>
      </c>
      <c r="B2070" s="72">
        <v>46027</v>
      </c>
      <c r="C2070" s="68">
        <v>46027</v>
      </c>
      <c r="D2070" s="58" t="s">
        <v>1892</v>
      </c>
      <c r="E2070" s="59" t="s">
        <v>352</v>
      </c>
      <c r="F2070" s="56">
        <v>36</v>
      </c>
      <c r="G2070" s="73">
        <v>110</v>
      </c>
      <c r="H2070" s="74" t="s">
        <v>1893</v>
      </c>
      <c r="I2070" s="59" t="s">
        <v>1894</v>
      </c>
      <c r="J2070" s="59" t="s">
        <v>1895</v>
      </c>
      <c r="K2070" s="69">
        <v>5403</v>
      </c>
      <c r="L2070" s="56">
        <v>207</v>
      </c>
      <c r="M2070" s="59" t="s">
        <v>26</v>
      </c>
      <c r="N2070" s="61">
        <v>2802.33</v>
      </c>
      <c r="O2070" s="59" t="s">
        <v>313</v>
      </c>
      <c r="P2070" s="62">
        <v>2619</v>
      </c>
      <c r="Q2070" s="63">
        <v>20</v>
      </c>
      <c r="R2070" s="62">
        <v>523.79999999999995</v>
      </c>
      <c r="S2070" s="61">
        <v>0</v>
      </c>
      <c r="T2070" s="62">
        <v>183.33</v>
      </c>
    </row>
    <row r="2071" spans="1:20" ht="11.1" customHeight="1" x14ac:dyDescent="0.25">
      <c r="O2071" s="59" t="s">
        <v>436</v>
      </c>
      <c r="P2071" s="62">
        <v>3535.65</v>
      </c>
      <c r="Q2071" s="63">
        <v>20</v>
      </c>
      <c r="R2071" s="62">
        <v>183.33</v>
      </c>
      <c r="S2071" s="61">
        <v>0</v>
      </c>
      <c r="T2071" s="62">
        <v>0</v>
      </c>
    </row>
    <row r="2072" spans="1:20" ht="11.85" customHeight="1" x14ac:dyDescent="0.25">
      <c r="A2072" s="71" t="s">
        <v>620</v>
      </c>
      <c r="B2072" s="71"/>
      <c r="C2072" s="71"/>
      <c r="D2072" s="71"/>
      <c r="E2072" s="71"/>
      <c r="F2072" s="71"/>
      <c r="G2072" s="71"/>
      <c r="H2072" s="71"/>
    </row>
    <row r="2073" spans="1:20" ht="11.1" customHeight="1" x14ac:dyDescent="0.25">
      <c r="O2073" s="59" t="s">
        <v>313</v>
      </c>
      <c r="P2073" s="62">
        <v>6906.94</v>
      </c>
      <c r="R2073" s="62">
        <v>1362.23</v>
      </c>
      <c r="S2073" s="61">
        <v>0</v>
      </c>
      <c r="T2073" s="62">
        <v>183.33</v>
      </c>
    </row>
    <row r="2074" spans="1:20" ht="11.1" customHeight="1" x14ac:dyDescent="0.25">
      <c r="O2074" s="59" t="s">
        <v>436</v>
      </c>
      <c r="P2074" s="62">
        <v>3535.65</v>
      </c>
      <c r="R2074" s="62">
        <v>183.33</v>
      </c>
      <c r="S2074" s="61">
        <v>0</v>
      </c>
      <c r="T2074" s="62">
        <v>0</v>
      </c>
    </row>
    <row r="2075" spans="1:20" ht="11.1" customHeight="1" x14ac:dyDescent="0.25">
      <c r="A2075" s="56">
        <v>109063</v>
      </c>
      <c r="B2075" s="72">
        <v>46038</v>
      </c>
      <c r="C2075" s="68">
        <v>46038</v>
      </c>
      <c r="D2075" s="58" t="s">
        <v>1896</v>
      </c>
      <c r="E2075" s="59" t="s">
        <v>352</v>
      </c>
      <c r="F2075" s="56">
        <v>36</v>
      </c>
      <c r="G2075" s="73">
        <v>292</v>
      </c>
      <c r="H2075" s="74" t="s">
        <v>1897</v>
      </c>
      <c r="I2075" s="59" t="s">
        <v>1898</v>
      </c>
      <c r="J2075" s="59" t="s">
        <v>1899</v>
      </c>
      <c r="K2075" s="69">
        <v>5403</v>
      </c>
      <c r="L2075" s="56">
        <v>207</v>
      </c>
      <c r="M2075" s="59" t="s">
        <v>26</v>
      </c>
      <c r="N2075" s="61">
        <v>716.71</v>
      </c>
      <c r="O2075" s="59" t="s">
        <v>313</v>
      </c>
      <c r="P2075" s="62">
        <v>669.82</v>
      </c>
      <c r="Q2075" s="63">
        <v>20</v>
      </c>
      <c r="R2075" s="62">
        <v>133.96</v>
      </c>
      <c r="S2075" s="61">
        <v>0</v>
      </c>
      <c r="T2075" s="62">
        <v>46.89</v>
      </c>
    </row>
    <row r="2076" spans="1:20" ht="11.1" customHeight="1" x14ac:dyDescent="0.25">
      <c r="O2076" s="59" t="s">
        <v>436</v>
      </c>
      <c r="P2076" s="62">
        <v>904.26</v>
      </c>
      <c r="Q2076" s="63">
        <v>20</v>
      </c>
      <c r="R2076" s="62">
        <v>46.89</v>
      </c>
      <c r="S2076" s="61">
        <v>0</v>
      </c>
      <c r="T2076" s="62">
        <v>0</v>
      </c>
    </row>
    <row r="2077" spans="1:20" ht="11.85" customHeight="1" x14ac:dyDescent="0.25">
      <c r="A2077" s="71" t="s">
        <v>620</v>
      </c>
      <c r="B2077" s="71"/>
      <c r="C2077" s="71"/>
      <c r="D2077" s="71"/>
      <c r="E2077" s="71"/>
      <c r="F2077" s="71"/>
      <c r="G2077" s="71"/>
      <c r="H2077" s="71"/>
    </row>
    <row r="2078" spans="1:20" ht="11.1" customHeight="1" x14ac:dyDescent="0.25">
      <c r="O2078" s="59" t="s">
        <v>313</v>
      </c>
      <c r="P2078" s="62">
        <v>669.82</v>
      </c>
      <c r="R2078" s="62">
        <v>133.96</v>
      </c>
      <c r="S2078" s="61">
        <v>0</v>
      </c>
      <c r="T2078" s="62">
        <v>46.89</v>
      </c>
    </row>
    <row r="2079" spans="1:20" ht="11.1" customHeight="1" x14ac:dyDescent="0.25">
      <c r="O2079" s="59" t="s">
        <v>436</v>
      </c>
      <c r="P2079" s="62">
        <v>904.26</v>
      </c>
      <c r="R2079" s="62">
        <v>46.89</v>
      </c>
      <c r="S2079" s="61">
        <v>0</v>
      </c>
      <c r="T2079" s="62">
        <v>0</v>
      </c>
    </row>
    <row r="2080" spans="1:20" ht="11.1" customHeight="1" x14ac:dyDescent="0.25">
      <c r="A2080" s="56">
        <v>109120</v>
      </c>
      <c r="B2080" s="72">
        <v>46041</v>
      </c>
      <c r="C2080" s="68">
        <v>46041</v>
      </c>
      <c r="D2080" s="58" t="s">
        <v>1900</v>
      </c>
      <c r="E2080" s="59" t="s">
        <v>352</v>
      </c>
      <c r="F2080" s="56">
        <v>36</v>
      </c>
      <c r="G2080" s="73">
        <v>447</v>
      </c>
      <c r="H2080" s="74" t="s">
        <v>1901</v>
      </c>
      <c r="I2080" s="59" t="s">
        <v>1902</v>
      </c>
      <c r="J2080" s="59" t="s">
        <v>1903</v>
      </c>
      <c r="K2080" s="69">
        <v>5102</v>
      </c>
      <c r="L2080" s="56">
        <v>205</v>
      </c>
      <c r="M2080" s="59" t="s">
        <v>26</v>
      </c>
      <c r="N2080" s="61">
        <v>364.5</v>
      </c>
      <c r="O2080" s="59" t="s">
        <v>313</v>
      </c>
      <c r="P2080" s="62">
        <v>364.5</v>
      </c>
      <c r="Q2080" s="63">
        <v>20</v>
      </c>
      <c r="R2080" s="62">
        <v>72.900000000000006</v>
      </c>
      <c r="S2080" s="61">
        <v>0</v>
      </c>
      <c r="T2080" s="62">
        <v>0</v>
      </c>
    </row>
    <row r="2081" spans="1:20" ht="11.85" customHeight="1" x14ac:dyDescent="0.25">
      <c r="A2081" s="71" t="s">
        <v>620</v>
      </c>
      <c r="B2081" s="71"/>
      <c r="C2081" s="71"/>
      <c r="D2081" s="71"/>
      <c r="E2081" s="71"/>
      <c r="F2081" s="71"/>
      <c r="G2081" s="71"/>
      <c r="H2081" s="71"/>
    </row>
    <row r="2082" spans="1:20" ht="11.1" customHeight="1" x14ac:dyDescent="0.25">
      <c r="O2082" s="59" t="s">
        <v>313</v>
      </c>
      <c r="P2082" s="62">
        <v>364.5</v>
      </c>
      <c r="R2082" s="62">
        <v>72.900000000000006</v>
      </c>
      <c r="S2082" s="61">
        <v>0</v>
      </c>
      <c r="T2082" s="62">
        <v>0</v>
      </c>
    </row>
    <row r="2083" spans="1:20" ht="11.1" customHeight="1" x14ac:dyDescent="0.25">
      <c r="A2083" s="56">
        <v>109242</v>
      </c>
      <c r="B2083" s="72">
        <v>46043</v>
      </c>
      <c r="C2083" s="68">
        <v>46043</v>
      </c>
      <c r="D2083" s="58" t="s">
        <v>1904</v>
      </c>
      <c r="E2083" s="59" t="s">
        <v>352</v>
      </c>
      <c r="F2083" s="56">
        <v>36</v>
      </c>
      <c r="G2083" s="73">
        <v>888</v>
      </c>
      <c r="H2083" s="74" t="s">
        <v>1905</v>
      </c>
      <c r="I2083" s="59" t="s">
        <v>1906</v>
      </c>
      <c r="J2083" s="59" t="s">
        <v>1907</v>
      </c>
      <c r="K2083" s="69">
        <v>5102</v>
      </c>
      <c r="L2083" s="56">
        <v>205</v>
      </c>
      <c r="M2083" s="59" t="s">
        <v>26</v>
      </c>
      <c r="N2083" s="61">
        <v>1371.2</v>
      </c>
      <c r="O2083" s="59" t="s">
        <v>313</v>
      </c>
      <c r="P2083" s="62">
        <v>1371.2</v>
      </c>
      <c r="Q2083" s="63">
        <v>20</v>
      </c>
      <c r="R2083" s="62">
        <v>274.24</v>
      </c>
      <c r="S2083" s="61">
        <v>0</v>
      </c>
      <c r="T2083" s="62">
        <v>0</v>
      </c>
    </row>
    <row r="2084" spans="1:20" ht="11.85" customHeight="1" x14ac:dyDescent="0.25">
      <c r="A2084" s="71" t="s">
        <v>620</v>
      </c>
      <c r="B2084" s="71"/>
      <c r="C2084" s="71"/>
      <c r="D2084" s="71"/>
      <c r="E2084" s="71"/>
      <c r="F2084" s="71"/>
      <c r="G2084" s="71"/>
      <c r="H2084" s="71"/>
    </row>
    <row r="2085" spans="1:20" ht="11.1" customHeight="1" x14ac:dyDescent="0.25">
      <c r="O2085" s="59" t="s">
        <v>313</v>
      </c>
      <c r="P2085" s="62">
        <v>1371.2</v>
      </c>
      <c r="R2085" s="62">
        <v>274.24</v>
      </c>
      <c r="S2085" s="61">
        <v>0</v>
      </c>
      <c r="T2085" s="62">
        <v>0</v>
      </c>
    </row>
    <row r="2086" spans="1:20" ht="11.1" customHeight="1" x14ac:dyDescent="0.25">
      <c r="A2086" s="56">
        <v>108769</v>
      </c>
      <c r="B2086" s="72">
        <v>46034</v>
      </c>
      <c r="C2086" s="68">
        <v>46034</v>
      </c>
      <c r="D2086" s="58" t="s">
        <v>1908</v>
      </c>
      <c r="E2086" s="59" t="s">
        <v>352</v>
      </c>
      <c r="F2086" s="56">
        <v>36</v>
      </c>
      <c r="G2086" s="73">
        <v>904</v>
      </c>
      <c r="H2086" s="74" t="s">
        <v>1909</v>
      </c>
      <c r="I2086" s="59" t="s">
        <v>1910</v>
      </c>
      <c r="J2086" s="59" t="s">
        <v>1911</v>
      </c>
      <c r="K2086" s="69">
        <v>5102</v>
      </c>
      <c r="L2086" s="56">
        <v>205</v>
      </c>
      <c r="M2086" s="59" t="s">
        <v>26</v>
      </c>
      <c r="N2086" s="61">
        <v>200.02</v>
      </c>
      <c r="O2086" s="59" t="s">
        <v>313</v>
      </c>
      <c r="P2086" s="62">
        <v>200.02</v>
      </c>
      <c r="Q2086" s="63">
        <v>20</v>
      </c>
      <c r="R2086" s="62">
        <v>40</v>
      </c>
      <c r="S2086" s="61">
        <v>0</v>
      </c>
      <c r="T2086" s="62">
        <v>0</v>
      </c>
    </row>
    <row r="2087" spans="1:20" ht="11.1" customHeight="1" x14ac:dyDescent="0.25">
      <c r="A2087" s="56">
        <v>108770</v>
      </c>
      <c r="B2087" s="72">
        <v>46034</v>
      </c>
      <c r="C2087" s="68">
        <v>46034</v>
      </c>
      <c r="D2087" s="58" t="s">
        <v>1908</v>
      </c>
      <c r="E2087" s="59" t="s">
        <v>352</v>
      </c>
      <c r="F2087" s="56">
        <v>36</v>
      </c>
      <c r="G2087" s="73">
        <v>904</v>
      </c>
      <c r="H2087" s="74" t="s">
        <v>1909</v>
      </c>
      <c r="I2087" s="59" t="s">
        <v>1910</v>
      </c>
      <c r="J2087" s="59" t="s">
        <v>1911</v>
      </c>
      <c r="K2087" s="69">
        <v>5403</v>
      </c>
      <c r="L2087" s="56">
        <v>207</v>
      </c>
      <c r="M2087" s="59" t="s">
        <v>26</v>
      </c>
      <c r="N2087" s="61">
        <v>83.58</v>
      </c>
      <c r="O2087" s="59" t="s">
        <v>313</v>
      </c>
      <c r="P2087" s="62">
        <v>78.11</v>
      </c>
      <c r="Q2087" s="63">
        <v>20</v>
      </c>
      <c r="R2087" s="62">
        <v>15.62</v>
      </c>
      <c r="S2087" s="61">
        <v>0</v>
      </c>
      <c r="T2087" s="62">
        <v>5.47</v>
      </c>
    </row>
    <row r="2088" spans="1:20" ht="11.1" customHeight="1" x14ac:dyDescent="0.25">
      <c r="O2088" s="59" t="s">
        <v>436</v>
      </c>
      <c r="P2088" s="62">
        <v>105.45</v>
      </c>
      <c r="Q2088" s="63">
        <v>20</v>
      </c>
      <c r="R2088" s="62">
        <v>5.47</v>
      </c>
      <c r="S2088" s="61">
        <v>0</v>
      </c>
      <c r="T2088" s="62">
        <v>0</v>
      </c>
    </row>
    <row r="2089" spans="1:20" ht="11.1" customHeight="1" x14ac:dyDescent="0.25">
      <c r="A2089" s="56">
        <v>109255</v>
      </c>
      <c r="B2089" s="72">
        <v>46044</v>
      </c>
      <c r="C2089" s="68">
        <v>46044</v>
      </c>
      <c r="D2089" s="58" t="s">
        <v>1912</v>
      </c>
      <c r="E2089" s="59" t="s">
        <v>352</v>
      </c>
      <c r="F2089" s="56">
        <v>36</v>
      </c>
      <c r="G2089" s="73">
        <v>904</v>
      </c>
      <c r="H2089" s="74" t="s">
        <v>1909</v>
      </c>
      <c r="I2089" s="59" t="s">
        <v>1910</v>
      </c>
      <c r="J2089" s="59" t="s">
        <v>1911</v>
      </c>
      <c r="K2089" s="69">
        <v>5102</v>
      </c>
      <c r="L2089" s="56">
        <v>205</v>
      </c>
      <c r="M2089" s="59" t="s">
        <v>26</v>
      </c>
      <c r="N2089" s="61">
        <v>1190.6400000000001</v>
      </c>
      <c r="O2089" s="59" t="s">
        <v>313</v>
      </c>
      <c r="P2089" s="62">
        <v>1190.6400000000001</v>
      </c>
      <c r="Q2089" s="63">
        <v>20</v>
      </c>
      <c r="R2089" s="62">
        <v>238.13</v>
      </c>
      <c r="S2089" s="61">
        <v>0</v>
      </c>
      <c r="T2089" s="62">
        <v>0</v>
      </c>
    </row>
    <row r="2090" spans="1:20" ht="11.1" customHeight="1" x14ac:dyDescent="0.25">
      <c r="A2090" s="56">
        <v>109621</v>
      </c>
      <c r="B2090" s="72">
        <v>46051</v>
      </c>
      <c r="C2090" s="68">
        <v>46051</v>
      </c>
      <c r="D2090" s="58" t="s">
        <v>1913</v>
      </c>
      <c r="E2090" s="59" t="s">
        <v>352</v>
      </c>
      <c r="F2090" s="56">
        <v>36</v>
      </c>
      <c r="G2090" s="73">
        <v>904</v>
      </c>
      <c r="H2090" s="74" t="s">
        <v>1909</v>
      </c>
      <c r="I2090" s="59" t="s">
        <v>1910</v>
      </c>
      <c r="J2090" s="59" t="s">
        <v>1911</v>
      </c>
      <c r="K2090" s="69">
        <v>5102</v>
      </c>
      <c r="L2090" s="56">
        <v>205</v>
      </c>
      <c r="M2090" s="59" t="s">
        <v>26</v>
      </c>
      <c r="N2090" s="61">
        <v>559.44000000000005</v>
      </c>
      <c r="O2090" s="59" t="s">
        <v>313</v>
      </c>
      <c r="P2090" s="62">
        <v>559.44000000000005</v>
      </c>
      <c r="Q2090" s="63">
        <v>20</v>
      </c>
      <c r="R2090" s="62">
        <v>111.89</v>
      </c>
      <c r="S2090" s="61">
        <v>0</v>
      </c>
      <c r="T2090" s="62">
        <v>0</v>
      </c>
    </row>
    <row r="2091" spans="1:20" ht="11.1" customHeight="1" x14ac:dyDescent="0.25">
      <c r="A2091" s="56">
        <v>109622</v>
      </c>
      <c r="B2091" s="72">
        <v>46051</v>
      </c>
      <c r="C2091" s="68">
        <v>46051</v>
      </c>
      <c r="D2091" s="58" t="s">
        <v>1913</v>
      </c>
      <c r="E2091" s="59" t="s">
        <v>352</v>
      </c>
      <c r="F2091" s="56">
        <v>36</v>
      </c>
      <c r="G2091" s="73">
        <v>904</v>
      </c>
      <c r="H2091" s="74" t="s">
        <v>1909</v>
      </c>
      <c r="I2091" s="59" t="s">
        <v>1910</v>
      </c>
      <c r="J2091" s="59" t="s">
        <v>1911</v>
      </c>
      <c r="K2091" s="69">
        <v>5403</v>
      </c>
      <c r="L2091" s="56">
        <v>207</v>
      </c>
      <c r="M2091" s="59" t="s">
        <v>26</v>
      </c>
      <c r="N2091" s="61">
        <v>1219.98</v>
      </c>
      <c r="O2091" s="59" t="s">
        <v>313</v>
      </c>
      <c r="P2091" s="62">
        <v>1140.1600000000001</v>
      </c>
      <c r="Q2091" s="63">
        <v>20</v>
      </c>
      <c r="R2091" s="62">
        <v>228.03</v>
      </c>
      <c r="S2091" s="61">
        <v>0</v>
      </c>
      <c r="T2091" s="62">
        <v>79.819999999999993</v>
      </c>
    </row>
    <row r="2092" spans="1:20" ht="11.1" customHeight="1" x14ac:dyDescent="0.25">
      <c r="O2092" s="59" t="s">
        <v>436</v>
      </c>
      <c r="P2092" s="62">
        <v>1539.22</v>
      </c>
      <c r="Q2092" s="63">
        <v>20</v>
      </c>
      <c r="R2092" s="62">
        <v>79.819999999999993</v>
      </c>
      <c r="S2092" s="61">
        <v>0</v>
      </c>
      <c r="T2092" s="62">
        <v>0</v>
      </c>
    </row>
    <row r="2093" spans="1:20" ht="11.85" customHeight="1" x14ac:dyDescent="0.25">
      <c r="A2093" s="71" t="s">
        <v>620</v>
      </c>
      <c r="B2093" s="71"/>
      <c r="C2093" s="71"/>
      <c r="D2093" s="71"/>
      <c r="E2093" s="71"/>
      <c r="F2093" s="71"/>
      <c r="G2093" s="71"/>
      <c r="H2093" s="71"/>
    </row>
    <row r="2094" spans="1:20" ht="11.1" customHeight="1" x14ac:dyDescent="0.25">
      <c r="O2094" s="59" t="s">
        <v>313</v>
      </c>
      <c r="P2094" s="62">
        <v>3168.37</v>
      </c>
      <c r="R2094" s="62">
        <v>633.66999999999996</v>
      </c>
      <c r="S2094" s="61">
        <v>0</v>
      </c>
      <c r="T2094" s="62">
        <v>85.29</v>
      </c>
    </row>
    <row r="2095" spans="1:20" ht="11.1" customHeight="1" x14ac:dyDescent="0.25">
      <c r="O2095" s="59" t="s">
        <v>436</v>
      </c>
      <c r="P2095" s="62">
        <v>1644.67</v>
      </c>
      <c r="R2095" s="62">
        <v>85.29</v>
      </c>
      <c r="S2095" s="61">
        <v>0</v>
      </c>
      <c r="T2095" s="62">
        <v>0</v>
      </c>
    </row>
    <row r="2096" spans="1:20" ht="11.1" customHeight="1" x14ac:dyDescent="0.25">
      <c r="A2096" s="56">
        <v>108675</v>
      </c>
      <c r="B2096" s="72">
        <v>46030</v>
      </c>
      <c r="C2096" s="68">
        <v>46030</v>
      </c>
      <c r="D2096" s="58" t="s">
        <v>1914</v>
      </c>
      <c r="E2096" s="59" t="s">
        <v>352</v>
      </c>
      <c r="F2096" s="56">
        <v>36</v>
      </c>
      <c r="G2096" s="73">
        <v>422</v>
      </c>
      <c r="H2096" s="74" t="s">
        <v>1915</v>
      </c>
      <c r="I2096" s="59" t="s">
        <v>1916</v>
      </c>
      <c r="J2096" s="59" t="s">
        <v>1917</v>
      </c>
      <c r="K2096" s="69">
        <v>5102</v>
      </c>
      <c r="L2096" s="56">
        <v>205</v>
      </c>
      <c r="M2096" s="59" t="s">
        <v>26</v>
      </c>
      <c r="N2096" s="61">
        <v>645.54999999999995</v>
      </c>
      <c r="O2096" s="59" t="s">
        <v>313</v>
      </c>
      <c r="P2096" s="62">
        <v>645.54999999999995</v>
      </c>
      <c r="Q2096" s="63">
        <v>20</v>
      </c>
      <c r="R2096" s="62">
        <v>129.11000000000001</v>
      </c>
      <c r="S2096" s="61">
        <v>0</v>
      </c>
      <c r="T2096" s="62">
        <v>0</v>
      </c>
    </row>
    <row r="2097" spans="1:20" ht="11.85" customHeight="1" x14ac:dyDescent="0.25">
      <c r="A2097" s="71" t="s">
        <v>620</v>
      </c>
      <c r="B2097" s="71"/>
      <c r="C2097" s="71"/>
      <c r="D2097" s="71"/>
      <c r="E2097" s="71"/>
      <c r="F2097" s="71"/>
      <c r="G2097" s="71"/>
      <c r="H2097" s="71"/>
    </row>
    <row r="2098" spans="1:20" ht="11.1" customHeight="1" x14ac:dyDescent="0.25">
      <c r="O2098" s="59" t="s">
        <v>313</v>
      </c>
      <c r="P2098" s="62">
        <v>645.54999999999995</v>
      </c>
      <c r="R2098" s="62">
        <v>129.11000000000001</v>
      </c>
      <c r="S2098" s="61">
        <v>0</v>
      </c>
      <c r="T2098" s="62">
        <v>0</v>
      </c>
    </row>
    <row r="2099" spans="1:20" ht="11.1" customHeight="1" x14ac:dyDescent="0.25">
      <c r="A2099" s="56">
        <v>109365</v>
      </c>
      <c r="B2099" s="72">
        <v>46045</v>
      </c>
      <c r="C2099" s="68">
        <v>46045</v>
      </c>
      <c r="D2099" s="58" t="s">
        <v>1918</v>
      </c>
      <c r="E2099" s="59" t="s">
        <v>352</v>
      </c>
      <c r="F2099" s="56">
        <v>36</v>
      </c>
      <c r="G2099" s="73">
        <v>674</v>
      </c>
      <c r="H2099" s="74" t="s">
        <v>1919</v>
      </c>
      <c r="I2099" s="59" t="s">
        <v>1920</v>
      </c>
      <c r="J2099" s="59" t="s">
        <v>1921</v>
      </c>
      <c r="K2099" s="69">
        <v>6403</v>
      </c>
      <c r="L2099" s="56">
        <v>207</v>
      </c>
      <c r="M2099" s="59" t="s">
        <v>34</v>
      </c>
      <c r="N2099" s="61">
        <v>107.59</v>
      </c>
      <c r="O2099" s="59" t="s">
        <v>313</v>
      </c>
      <c r="P2099" s="62">
        <v>93.4</v>
      </c>
      <c r="Q2099" s="63">
        <v>12</v>
      </c>
      <c r="R2099" s="62">
        <v>11.21</v>
      </c>
      <c r="S2099" s="61">
        <v>0</v>
      </c>
      <c r="T2099" s="62">
        <v>14.19</v>
      </c>
    </row>
    <row r="2100" spans="1:20" ht="11.1" customHeight="1" x14ac:dyDescent="0.25">
      <c r="O2100" s="59" t="s">
        <v>436</v>
      </c>
      <c r="P2100" s="62">
        <v>133.69</v>
      </c>
      <c r="Q2100" s="63">
        <v>19</v>
      </c>
      <c r="R2100" s="62">
        <v>14.19</v>
      </c>
      <c r="S2100" s="61">
        <v>0</v>
      </c>
      <c r="T2100" s="62">
        <v>0</v>
      </c>
    </row>
    <row r="2101" spans="1:20" ht="11.1" customHeight="1" x14ac:dyDescent="0.25">
      <c r="A2101" s="56">
        <v>109366</v>
      </c>
      <c r="B2101" s="72">
        <v>46045</v>
      </c>
      <c r="C2101" s="68">
        <v>46045</v>
      </c>
      <c r="D2101" s="58" t="s">
        <v>1918</v>
      </c>
      <c r="E2101" s="59" t="s">
        <v>352</v>
      </c>
      <c r="F2101" s="56">
        <v>36</v>
      </c>
      <c r="G2101" s="73">
        <v>674</v>
      </c>
      <c r="H2101" s="74" t="s">
        <v>1919</v>
      </c>
      <c r="I2101" s="59" t="s">
        <v>1920</v>
      </c>
      <c r="J2101" s="59" t="s">
        <v>1921</v>
      </c>
      <c r="K2101" s="69">
        <v>6102</v>
      </c>
      <c r="L2101" s="56">
        <v>238</v>
      </c>
      <c r="M2101" s="59" t="s">
        <v>34</v>
      </c>
      <c r="N2101" s="61">
        <v>316.7</v>
      </c>
      <c r="O2101" s="59" t="s">
        <v>313</v>
      </c>
      <c r="P2101" s="62">
        <v>316.7</v>
      </c>
      <c r="Q2101" s="63">
        <v>12</v>
      </c>
      <c r="R2101" s="62">
        <v>38.01</v>
      </c>
      <c r="S2101" s="61">
        <v>0</v>
      </c>
      <c r="T2101" s="62">
        <v>0</v>
      </c>
    </row>
    <row r="2102" spans="1:20" ht="11.85" customHeight="1" x14ac:dyDescent="0.25">
      <c r="A2102" s="71" t="s">
        <v>620</v>
      </c>
      <c r="B2102" s="71"/>
      <c r="C2102" s="71"/>
      <c r="D2102" s="71"/>
      <c r="E2102" s="71"/>
      <c r="F2102" s="71"/>
      <c r="G2102" s="71"/>
      <c r="H2102" s="71"/>
    </row>
    <row r="2103" spans="1:20" ht="11.1" customHeight="1" x14ac:dyDescent="0.25">
      <c r="O2103" s="59" t="s">
        <v>313</v>
      </c>
      <c r="P2103" s="62">
        <v>410.1</v>
      </c>
      <c r="R2103" s="62">
        <v>49.22</v>
      </c>
      <c r="S2103" s="61">
        <v>0</v>
      </c>
      <c r="T2103" s="62">
        <v>14.19</v>
      </c>
    </row>
    <row r="2104" spans="1:20" ht="11.1" customHeight="1" x14ac:dyDescent="0.25">
      <c r="O2104" s="59" t="s">
        <v>436</v>
      </c>
      <c r="P2104" s="62">
        <v>133.69</v>
      </c>
      <c r="R2104" s="62">
        <v>14.19</v>
      </c>
      <c r="S2104" s="61">
        <v>0</v>
      </c>
      <c r="T2104" s="62">
        <v>0</v>
      </c>
    </row>
    <row r="2105" spans="1:20" ht="11.1" customHeight="1" x14ac:dyDescent="0.25">
      <c r="A2105" s="56">
        <v>108479</v>
      </c>
      <c r="B2105" s="72">
        <v>46027</v>
      </c>
      <c r="C2105" s="68">
        <v>46027</v>
      </c>
      <c r="D2105" s="58" t="s">
        <v>1922</v>
      </c>
      <c r="E2105" s="59" t="s">
        <v>352</v>
      </c>
      <c r="F2105" s="56">
        <v>36</v>
      </c>
      <c r="G2105" s="73">
        <v>78</v>
      </c>
      <c r="H2105" s="74" t="s">
        <v>1923</v>
      </c>
      <c r="I2105" s="59" t="s">
        <v>1924</v>
      </c>
      <c r="J2105" s="59" t="s">
        <v>1925</v>
      </c>
      <c r="K2105" s="69">
        <v>6403</v>
      </c>
      <c r="L2105" s="56">
        <v>207</v>
      </c>
      <c r="M2105" s="59" t="s">
        <v>31</v>
      </c>
      <c r="N2105" s="61">
        <v>762.74</v>
      </c>
      <c r="O2105" s="59" t="s">
        <v>313</v>
      </c>
      <c r="P2105" s="62">
        <v>646.02</v>
      </c>
      <c r="Q2105" s="63">
        <v>12</v>
      </c>
      <c r="R2105" s="62">
        <v>77.52</v>
      </c>
      <c r="S2105" s="61">
        <v>0</v>
      </c>
      <c r="T2105" s="62">
        <v>116.72</v>
      </c>
    </row>
    <row r="2106" spans="1:20" ht="11.1" customHeight="1" x14ac:dyDescent="0.25">
      <c r="O2106" s="59" t="s">
        <v>436</v>
      </c>
      <c r="P2106" s="62">
        <v>947.52</v>
      </c>
      <c r="Q2106" s="63">
        <v>20.5</v>
      </c>
      <c r="R2106" s="62">
        <v>116.72</v>
      </c>
      <c r="S2106" s="61">
        <v>0</v>
      </c>
      <c r="T2106" s="62">
        <v>0</v>
      </c>
    </row>
    <row r="2107" spans="1:20" ht="11.1" customHeight="1" x14ac:dyDescent="0.25">
      <c r="A2107" s="56">
        <v>108480</v>
      </c>
      <c r="B2107" s="72">
        <v>46027</v>
      </c>
      <c r="C2107" s="68">
        <v>46027</v>
      </c>
      <c r="D2107" s="58" t="s">
        <v>1922</v>
      </c>
      <c r="E2107" s="59" t="s">
        <v>352</v>
      </c>
      <c r="F2107" s="56">
        <v>36</v>
      </c>
      <c r="G2107" s="73">
        <v>78</v>
      </c>
      <c r="H2107" s="74" t="s">
        <v>1923</v>
      </c>
      <c r="I2107" s="59" t="s">
        <v>1924</v>
      </c>
      <c r="J2107" s="59" t="s">
        <v>1925</v>
      </c>
      <c r="K2107" s="69">
        <v>6102</v>
      </c>
      <c r="L2107" s="56">
        <v>238</v>
      </c>
      <c r="M2107" s="59" t="s">
        <v>31</v>
      </c>
      <c r="N2107" s="61">
        <v>1186.49</v>
      </c>
      <c r="O2107" s="59" t="s">
        <v>313</v>
      </c>
      <c r="P2107" s="62">
        <v>1186.49</v>
      </c>
      <c r="Q2107" s="63">
        <v>12</v>
      </c>
      <c r="R2107" s="62">
        <v>142.37</v>
      </c>
      <c r="S2107" s="61">
        <v>0</v>
      </c>
      <c r="T2107" s="62">
        <v>0</v>
      </c>
    </row>
    <row r="2108" spans="1:20" ht="11.1" customHeight="1" x14ac:dyDescent="0.25">
      <c r="A2108" s="56">
        <v>109325</v>
      </c>
      <c r="B2108" s="72">
        <v>46045</v>
      </c>
      <c r="C2108" s="68">
        <v>46045</v>
      </c>
      <c r="D2108" s="58" t="s">
        <v>1926</v>
      </c>
      <c r="E2108" s="59" t="s">
        <v>352</v>
      </c>
      <c r="F2108" s="56">
        <v>36</v>
      </c>
      <c r="G2108" s="73">
        <v>78</v>
      </c>
      <c r="H2108" s="74" t="s">
        <v>1923</v>
      </c>
      <c r="I2108" s="59" t="s">
        <v>1924</v>
      </c>
      <c r="J2108" s="59" t="s">
        <v>1925</v>
      </c>
      <c r="K2108" s="69">
        <v>6403</v>
      </c>
      <c r="L2108" s="56">
        <v>207</v>
      </c>
      <c r="M2108" s="59" t="s">
        <v>31</v>
      </c>
      <c r="N2108" s="61">
        <v>247.16</v>
      </c>
      <c r="O2108" s="59" t="s">
        <v>313</v>
      </c>
      <c r="P2108" s="62">
        <v>209.34</v>
      </c>
      <c r="Q2108" s="63">
        <v>12</v>
      </c>
      <c r="R2108" s="62">
        <v>25.12</v>
      </c>
      <c r="S2108" s="61">
        <v>0</v>
      </c>
      <c r="T2108" s="62">
        <v>37.82</v>
      </c>
    </row>
    <row r="2109" spans="1:20" ht="11.1" customHeight="1" x14ac:dyDescent="0.25">
      <c r="O2109" s="59" t="s">
        <v>436</v>
      </c>
      <c r="P2109" s="62">
        <v>307.04000000000002</v>
      </c>
      <c r="Q2109" s="63">
        <v>20.5</v>
      </c>
      <c r="R2109" s="62">
        <v>37.82</v>
      </c>
      <c r="S2109" s="61">
        <v>0</v>
      </c>
      <c r="T2109" s="62">
        <v>0</v>
      </c>
    </row>
    <row r="2110" spans="1:20" ht="11.1" customHeight="1" x14ac:dyDescent="0.25">
      <c r="A2110" s="56">
        <v>109326</v>
      </c>
      <c r="B2110" s="72">
        <v>46045</v>
      </c>
      <c r="C2110" s="68">
        <v>46045</v>
      </c>
      <c r="D2110" s="58" t="s">
        <v>1926</v>
      </c>
      <c r="E2110" s="59" t="s">
        <v>352</v>
      </c>
      <c r="F2110" s="56">
        <v>36</v>
      </c>
      <c r="G2110" s="73">
        <v>78</v>
      </c>
      <c r="H2110" s="74" t="s">
        <v>1923</v>
      </c>
      <c r="I2110" s="59" t="s">
        <v>1924</v>
      </c>
      <c r="J2110" s="59" t="s">
        <v>1925</v>
      </c>
      <c r="K2110" s="69">
        <v>6102</v>
      </c>
      <c r="L2110" s="56">
        <v>238</v>
      </c>
      <c r="M2110" s="59" t="s">
        <v>31</v>
      </c>
      <c r="N2110" s="61">
        <v>1088.77</v>
      </c>
      <c r="O2110" s="59" t="s">
        <v>313</v>
      </c>
      <c r="P2110" s="62">
        <v>1088.77</v>
      </c>
      <c r="Q2110" s="63">
        <v>12</v>
      </c>
      <c r="R2110" s="62">
        <v>130.66</v>
      </c>
      <c r="S2110" s="61">
        <v>0</v>
      </c>
      <c r="T2110" s="62">
        <v>0</v>
      </c>
    </row>
    <row r="2111" spans="1:20" ht="11.1" customHeight="1" x14ac:dyDescent="0.25">
      <c r="A2111" s="56">
        <v>109413</v>
      </c>
      <c r="B2111" s="72">
        <v>46048</v>
      </c>
      <c r="C2111" s="68">
        <v>46048</v>
      </c>
      <c r="D2111" s="58" t="s">
        <v>1927</v>
      </c>
      <c r="E2111" s="59" t="s">
        <v>352</v>
      </c>
      <c r="F2111" s="56">
        <v>36</v>
      </c>
      <c r="G2111" s="73">
        <v>78</v>
      </c>
      <c r="H2111" s="74" t="s">
        <v>1923</v>
      </c>
      <c r="I2111" s="59" t="s">
        <v>1924</v>
      </c>
      <c r="J2111" s="59" t="s">
        <v>1925</v>
      </c>
      <c r="K2111" s="69">
        <v>6403</v>
      </c>
      <c r="L2111" s="56">
        <v>207</v>
      </c>
      <c r="M2111" s="59" t="s">
        <v>31</v>
      </c>
      <c r="N2111" s="61">
        <v>1723.5</v>
      </c>
      <c r="O2111" s="59" t="s">
        <v>313</v>
      </c>
      <c r="P2111" s="62">
        <v>1459.76</v>
      </c>
      <c r="Q2111" s="63">
        <v>12</v>
      </c>
      <c r="R2111" s="62">
        <v>175.17</v>
      </c>
      <c r="S2111" s="61">
        <v>0</v>
      </c>
      <c r="T2111" s="62">
        <v>263.74</v>
      </c>
    </row>
    <row r="2112" spans="1:20" ht="11.1" customHeight="1" x14ac:dyDescent="0.25">
      <c r="O2112" s="59" t="s">
        <v>436</v>
      </c>
      <c r="P2112" s="62">
        <v>2141.0300000000002</v>
      </c>
      <c r="Q2112" s="63">
        <v>20.5</v>
      </c>
      <c r="R2112" s="62">
        <v>263.74</v>
      </c>
      <c r="S2112" s="61">
        <v>0</v>
      </c>
      <c r="T2112" s="62">
        <v>0</v>
      </c>
    </row>
    <row r="2113" spans="1:20" ht="11.85" customHeight="1" x14ac:dyDescent="0.25">
      <c r="A2113" s="71" t="s">
        <v>620</v>
      </c>
      <c r="B2113" s="71"/>
      <c r="C2113" s="71"/>
      <c r="D2113" s="71"/>
      <c r="E2113" s="71"/>
      <c r="F2113" s="71"/>
      <c r="G2113" s="71"/>
      <c r="H2113" s="71"/>
    </row>
    <row r="2114" spans="1:20" ht="11.1" customHeight="1" x14ac:dyDescent="0.25">
      <c r="O2114" s="59" t="s">
        <v>313</v>
      </c>
      <c r="P2114" s="62">
        <v>4590.38</v>
      </c>
      <c r="R2114" s="62">
        <v>550.84</v>
      </c>
      <c r="S2114" s="61">
        <v>0</v>
      </c>
      <c r="T2114" s="62">
        <v>418.28</v>
      </c>
    </row>
    <row r="2115" spans="1:20" ht="11.1" customHeight="1" x14ac:dyDescent="0.25">
      <c r="O2115" s="59" t="s">
        <v>436</v>
      </c>
      <c r="P2115" s="62">
        <v>3395.59</v>
      </c>
      <c r="R2115" s="62">
        <v>418.28</v>
      </c>
      <c r="S2115" s="61">
        <v>0</v>
      </c>
      <c r="T2115" s="62">
        <v>0</v>
      </c>
    </row>
    <row r="2116" spans="1:20" ht="11.1" customHeight="1" x14ac:dyDescent="0.25">
      <c r="A2116" s="56">
        <v>109409</v>
      </c>
      <c r="B2116" s="72">
        <v>46045</v>
      </c>
      <c r="C2116" s="68">
        <v>46045</v>
      </c>
      <c r="D2116" s="58" t="s">
        <v>1928</v>
      </c>
      <c r="E2116" s="59" t="s">
        <v>352</v>
      </c>
      <c r="F2116" s="56">
        <v>36</v>
      </c>
      <c r="G2116" s="73">
        <v>214</v>
      </c>
      <c r="H2116" s="74" t="s">
        <v>1929</v>
      </c>
      <c r="I2116" s="59" t="s">
        <v>1930</v>
      </c>
      <c r="J2116" s="59" t="s">
        <v>1931</v>
      </c>
      <c r="K2116" s="69">
        <v>5102</v>
      </c>
      <c r="L2116" s="56">
        <v>205</v>
      </c>
      <c r="M2116" s="59" t="s">
        <v>26</v>
      </c>
      <c r="N2116" s="61">
        <v>423.18</v>
      </c>
      <c r="O2116" s="59" t="s">
        <v>313</v>
      </c>
      <c r="P2116" s="62">
        <v>423.18</v>
      </c>
      <c r="Q2116" s="63">
        <v>20</v>
      </c>
      <c r="R2116" s="62">
        <v>84.63</v>
      </c>
      <c r="S2116" s="61">
        <v>0</v>
      </c>
      <c r="T2116" s="62">
        <v>0</v>
      </c>
    </row>
    <row r="2117" spans="1:20" ht="11.1" customHeight="1" x14ac:dyDescent="0.25">
      <c r="A2117" s="56">
        <v>109410</v>
      </c>
      <c r="B2117" s="72">
        <v>46045</v>
      </c>
      <c r="C2117" s="68">
        <v>46045</v>
      </c>
      <c r="D2117" s="58" t="s">
        <v>1928</v>
      </c>
      <c r="E2117" s="59" t="s">
        <v>352</v>
      </c>
      <c r="F2117" s="56">
        <v>36</v>
      </c>
      <c r="G2117" s="73">
        <v>214</v>
      </c>
      <c r="H2117" s="74" t="s">
        <v>1929</v>
      </c>
      <c r="I2117" s="59" t="s">
        <v>1930</v>
      </c>
      <c r="J2117" s="59" t="s">
        <v>1931</v>
      </c>
      <c r="K2117" s="69">
        <v>5403</v>
      </c>
      <c r="L2117" s="56">
        <v>207</v>
      </c>
      <c r="M2117" s="59" t="s">
        <v>26</v>
      </c>
      <c r="N2117" s="61">
        <v>450.77</v>
      </c>
      <c r="O2117" s="59" t="s">
        <v>313</v>
      </c>
      <c r="P2117" s="62">
        <v>421.28</v>
      </c>
      <c r="Q2117" s="63">
        <v>20</v>
      </c>
      <c r="R2117" s="62">
        <v>84.26</v>
      </c>
      <c r="S2117" s="61">
        <v>0</v>
      </c>
      <c r="T2117" s="62">
        <v>29.49</v>
      </c>
    </row>
    <row r="2118" spans="1:20" ht="11.1" customHeight="1" x14ac:dyDescent="0.25">
      <c r="O2118" s="59" t="s">
        <v>436</v>
      </c>
      <c r="P2118" s="62">
        <v>568.73</v>
      </c>
      <c r="Q2118" s="63">
        <v>20</v>
      </c>
      <c r="R2118" s="62">
        <v>29.49</v>
      </c>
      <c r="S2118" s="61">
        <v>0</v>
      </c>
      <c r="T2118" s="62">
        <v>0</v>
      </c>
    </row>
    <row r="2119" spans="1:20" ht="11.1" customHeight="1" x14ac:dyDescent="0.25">
      <c r="A2119" s="56">
        <v>109674</v>
      </c>
      <c r="B2119" s="72">
        <v>46052</v>
      </c>
      <c r="C2119" s="68">
        <v>46052</v>
      </c>
      <c r="D2119" s="58" t="s">
        <v>1932</v>
      </c>
      <c r="E2119" s="59" t="s">
        <v>352</v>
      </c>
      <c r="F2119" s="56">
        <v>36</v>
      </c>
      <c r="G2119" s="73">
        <v>214</v>
      </c>
      <c r="H2119" s="74" t="s">
        <v>1929</v>
      </c>
      <c r="I2119" s="59" t="s">
        <v>1930</v>
      </c>
      <c r="J2119" s="59" t="s">
        <v>1931</v>
      </c>
      <c r="K2119" s="69">
        <v>5403</v>
      </c>
      <c r="L2119" s="56">
        <v>207</v>
      </c>
      <c r="M2119" s="59" t="s">
        <v>26</v>
      </c>
      <c r="N2119" s="61">
        <v>128.34</v>
      </c>
      <c r="O2119" s="59" t="s">
        <v>313</v>
      </c>
      <c r="P2119" s="62">
        <v>119.96</v>
      </c>
      <c r="Q2119" s="63">
        <v>20</v>
      </c>
      <c r="R2119" s="62">
        <v>24</v>
      </c>
      <c r="S2119" s="61">
        <v>0</v>
      </c>
      <c r="T2119" s="62">
        <v>8.3800000000000008</v>
      </c>
    </row>
    <row r="2120" spans="1:20" ht="11.1" customHeight="1" x14ac:dyDescent="0.25">
      <c r="O2120" s="59" t="s">
        <v>436</v>
      </c>
      <c r="P2120" s="62">
        <v>161.94</v>
      </c>
      <c r="Q2120" s="63">
        <v>20</v>
      </c>
      <c r="R2120" s="62">
        <v>8.3800000000000008</v>
      </c>
      <c r="S2120" s="61">
        <v>0</v>
      </c>
      <c r="T2120" s="62">
        <v>0</v>
      </c>
    </row>
    <row r="2121" spans="1:20" ht="11.85" customHeight="1" x14ac:dyDescent="0.25">
      <c r="A2121" s="71" t="s">
        <v>620</v>
      </c>
      <c r="B2121" s="71"/>
      <c r="C2121" s="71"/>
      <c r="D2121" s="71"/>
      <c r="E2121" s="71"/>
      <c r="F2121" s="71"/>
      <c r="G2121" s="71"/>
      <c r="H2121" s="71"/>
    </row>
    <row r="2122" spans="1:20" ht="11.1" customHeight="1" x14ac:dyDescent="0.25">
      <c r="O2122" s="59" t="s">
        <v>313</v>
      </c>
      <c r="P2122" s="62">
        <v>964.42</v>
      </c>
      <c r="R2122" s="62">
        <v>192.89</v>
      </c>
      <c r="S2122" s="61">
        <v>0</v>
      </c>
      <c r="T2122" s="62">
        <v>37.869999999999997</v>
      </c>
    </row>
    <row r="2123" spans="1:20" ht="11.1" customHeight="1" x14ac:dyDescent="0.25">
      <c r="O2123" s="59" t="s">
        <v>436</v>
      </c>
      <c r="P2123" s="62">
        <v>730.67</v>
      </c>
      <c r="R2123" s="62">
        <v>37.869999999999997</v>
      </c>
      <c r="S2123" s="61">
        <v>0</v>
      </c>
      <c r="T2123" s="62">
        <v>0</v>
      </c>
    </row>
    <row r="2124" spans="1:20" ht="11.1" customHeight="1" x14ac:dyDescent="0.25">
      <c r="A2124" s="56">
        <v>108719</v>
      </c>
      <c r="B2124" s="72">
        <v>46031</v>
      </c>
      <c r="C2124" s="68">
        <v>46031</v>
      </c>
      <c r="D2124" s="58" t="s">
        <v>1933</v>
      </c>
      <c r="E2124" s="59" t="s">
        <v>352</v>
      </c>
      <c r="F2124" s="56">
        <v>36</v>
      </c>
      <c r="G2124" s="73">
        <v>416</v>
      </c>
      <c r="H2124" s="74" t="s">
        <v>1934</v>
      </c>
      <c r="I2124" s="59" t="s">
        <v>1935</v>
      </c>
      <c r="J2124" s="59" t="s">
        <v>1936</v>
      </c>
      <c r="K2124" s="69">
        <v>5102</v>
      </c>
      <c r="L2124" s="56">
        <v>205</v>
      </c>
      <c r="M2124" s="59" t="s">
        <v>26</v>
      </c>
      <c r="N2124" s="61">
        <v>218.27</v>
      </c>
      <c r="O2124" s="59" t="s">
        <v>313</v>
      </c>
      <c r="P2124" s="62">
        <v>218.27</v>
      </c>
      <c r="Q2124" s="63">
        <v>20</v>
      </c>
      <c r="R2124" s="62">
        <v>43.66</v>
      </c>
      <c r="S2124" s="61">
        <v>0</v>
      </c>
      <c r="T2124" s="62">
        <v>0</v>
      </c>
    </row>
    <row r="2125" spans="1:20" ht="11.1" customHeight="1" x14ac:dyDescent="0.25">
      <c r="A2125" s="56">
        <v>108720</v>
      </c>
      <c r="B2125" s="72">
        <v>46031</v>
      </c>
      <c r="C2125" s="68">
        <v>46031</v>
      </c>
      <c r="D2125" s="58" t="s">
        <v>1933</v>
      </c>
      <c r="E2125" s="59" t="s">
        <v>352</v>
      </c>
      <c r="F2125" s="56">
        <v>36</v>
      </c>
      <c r="G2125" s="73">
        <v>416</v>
      </c>
      <c r="H2125" s="74" t="s">
        <v>1934</v>
      </c>
      <c r="I2125" s="59" t="s">
        <v>1935</v>
      </c>
      <c r="J2125" s="59" t="s">
        <v>1936</v>
      </c>
      <c r="K2125" s="69">
        <v>5403</v>
      </c>
      <c r="L2125" s="56">
        <v>207</v>
      </c>
      <c r="M2125" s="59" t="s">
        <v>26</v>
      </c>
      <c r="N2125" s="61">
        <v>202.33</v>
      </c>
      <c r="O2125" s="59" t="s">
        <v>313</v>
      </c>
      <c r="P2125" s="62">
        <v>189.09</v>
      </c>
      <c r="Q2125" s="63">
        <v>20</v>
      </c>
      <c r="R2125" s="62">
        <v>37.82</v>
      </c>
      <c r="S2125" s="61">
        <v>0</v>
      </c>
      <c r="T2125" s="62">
        <v>13.24</v>
      </c>
    </row>
    <row r="2126" spans="1:20" ht="11.1" customHeight="1" x14ac:dyDescent="0.25">
      <c r="O2126" s="59" t="s">
        <v>436</v>
      </c>
      <c r="P2126" s="62">
        <v>255.27</v>
      </c>
      <c r="Q2126" s="63">
        <v>20</v>
      </c>
      <c r="R2126" s="62">
        <v>13.24</v>
      </c>
      <c r="S2126" s="61">
        <v>0</v>
      </c>
      <c r="T2126" s="62">
        <v>0</v>
      </c>
    </row>
    <row r="2127" spans="1:20" ht="11.85" customHeight="1" x14ac:dyDescent="0.25">
      <c r="A2127" s="71" t="s">
        <v>620</v>
      </c>
      <c r="B2127" s="71"/>
      <c r="C2127" s="71"/>
      <c r="D2127" s="71"/>
      <c r="E2127" s="71"/>
      <c r="F2127" s="71"/>
      <c r="G2127" s="71"/>
      <c r="H2127" s="71"/>
    </row>
    <row r="2128" spans="1:20" ht="11.1" customHeight="1" x14ac:dyDescent="0.25">
      <c r="O2128" s="59" t="s">
        <v>313</v>
      </c>
      <c r="P2128" s="62">
        <v>407.36</v>
      </c>
      <c r="R2128" s="62">
        <v>81.48</v>
      </c>
      <c r="S2128" s="61">
        <v>0</v>
      </c>
      <c r="T2128" s="62">
        <v>13.24</v>
      </c>
    </row>
    <row r="2129" spans="1:20" ht="11.1" customHeight="1" x14ac:dyDescent="0.25">
      <c r="O2129" s="59" t="s">
        <v>436</v>
      </c>
      <c r="P2129" s="62">
        <v>255.27</v>
      </c>
      <c r="R2129" s="62">
        <v>13.24</v>
      </c>
      <c r="S2129" s="61">
        <v>0</v>
      </c>
      <c r="T2129" s="62">
        <v>0</v>
      </c>
    </row>
    <row r="2130" spans="1:20" ht="11.1" customHeight="1" x14ac:dyDescent="0.25">
      <c r="A2130" s="56">
        <v>109229</v>
      </c>
      <c r="B2130" s="72">
        <v>46043</v>
      </c>
      <c r="C2130" s="68">
        <v>46043</v>
      </c>
      <c r="D2130" s="58" t="s">
        <v>1937</v>
      </c>
      <c r="E2130" s="59" t="s">
        <v>352</v>
      </c>
      <c r="F2130" s="56">
        <v>36</v>
      </c>
      <c r="G2130" s="73">
        <v>210</v>
      </c>
      <c r="H2130" s="74" t="s">
        <v>526</v>
      </c>
      <c r="I2130" s="59" t="s">
        <v>1938</v>
      </c>
      <c r="J2130" s="59" t="s">
        <v>1939</v>
      </c>
      <c r="K2130" s="69">
        <v>5403</v>
      </c>
      <c r="L2130" s="56">
        <v>207</v>
      </c>
      <c r="M2130" s="59" t="s">
        <v>26</v>
      </c>
      <c r="N2130" s="61">
        <v>164.77</v>
      </c>
      <c r="O2130" s="59" t="s">
        <v>313</v>
      </c>
      <c r="P2130" s="62">
        <v>153.99</v>
      </c>
      <c r="Q2130" s="63">
        <v>20</v>
      </c>
      <c r="R2130" s="62">
        <v>30.8</v>
      </c>
      <c r="S2130" s="61">
        <v>0</v>
      </c>
      <c r="T2130" s="62">
        <v>10.78</v>
      </c>
    </row>
    <row r="2131" spans="1:20" ht="11.1" customHeight="1" x14ac:dyDescent="0.25">
      <c r="O2131" s="59" t="s">
        <v>436</v>
      </c>
      <c r="P2131" s="62">
        <v>207.89</v>
      </c>
      <c r="Q2131" s="63">
        <v>20</v>
      </c>
      <c r="R2131" s="62">
        <v>10.78</v>
      </c>
      <c r="S2131" s="61">
        <v>0</v>
      </c>
      <c r="T2131" s="62">
        <v>0</v>
      </c>
    </row>
    <row r="2132" spans="1:20" ht="11.1" customHeight="1" x14ac:dyDescent="0.25">
      <c r="A2132" s="56">
        <v>109329</v>
      </c>
      <c r="B2132" s="72">
        <v>46045</v>
      </c>
      <c r="C2132" s="68">
        <v>46045</v>
      </c>
      <c r="D2132" s="58" t="s">
        <v>1940</v>
      </c>
      <c r="E2132" s="59" t="s">
        <v>352</v>
      </c>
      <c r="F2132" s="56">
        <v>36</v>
      </c>
      <c r="G2132" s="73">
        <v>210</v>
      </c>
      <c r="H2132" s="74" t="s">
        <v>526</v>
      </c>
      <c r="I2132" s="59" t="s">
        <v>1938</v>
      </c>
      <c r="J2132" s="59" t="s">
        <v>1939</v>
      </c>
      <c r="K2132" s="69">
        <v>5403</v>
      </c>
      <c r="L2132" s="56">
        <v>207</v>
      </c>
      <c r="M2132" s="59" t="s">
        <v>26</v>
      </c>
      <c r="N2132" s="61">
        <v>2562.86</v>
      </c>
      <c r="O2132" s="59" t="s">
        <v>313</v>
      </c>
      <c r="P2132" s="62">
        <v>2395.1999999999998</v>
      </c>
      <c r="Q2132" s="63">
        <v>20</v>
      </c>
      <c r="R2132" s="62">
        <v>479.04</v>
      </c>
      <c r="S2132" s="61">
        <v>0</v>
      </c>
      <c r="T2132" s="62">
        <v>167.66</v>
      </c>
    </row>
    <row r="2133" spans="1:20" ht="11.1" customHeight="1" x14ac:dyDescent="0.25">
      <c r="O2133" s="59" t="s">
        <v>436</v>
      </c>
      <c r="P2133" s="62">
        <v>3233.52</v>
      </c>
      <c r="Q2133" s="63">
        <v>20</v>
      </c>
      <c r="R2133" s="62">
        <v>167.66</v>
      </c>
      <c r="S2133" s="61">
        <v>0</v>
      </c>
      <c r="T2133" s="62">
        <v>0</v>
      </c>
    </row>
    <row r="2134" spans="1:20" ht="11.85" customHeight="1" x14ac:dyDescent="0.25">
      <c r="A2134" s="71" t="s">
        <v>620</v>
      </c>
      <c r="B2134" s="71"/>
      <c r="C2134" s="71"/>
      <c r="D2134" s="71"/>
      <c r="E2134" s="71"/>
      <c r="F2134" s="71"/>
      <c r="G2134" s="71"/>
      <c r="H2134" s="71"/>
    </row>
    <row r="2135" spans="1:20" ht="11.1" customHeight="1" x14ac:dyDescent="0.25">
      <c r="O2135" s="59" t="s">
        <v>313</v>
      </c>
      <c r="P2135" s="62">
        <v>2549.19</v>
      </c>
      <c r="R2135" s="62">
        <v>509.84</v>
      </c>
      <c r="S2135" s="61">
        <v>0</v>
      </c>
      <c r="T2135" s="62">
        <v>178.44</v>
      </c>
    </row>
    <row r="2136" spans="1:20" ht="11.1" customHeight="1" x14ac:dyDescent="0.25">
      <c r="O2136" s="59" t="s">
        <v>436</v>
      </c>
      <c r="P2136" s="62">
        <v>3441.41</v>
      </c>
      <c r="R2136" s="62">
        <v>178.44</v>
      </c>
      <c r="S2136" s="61">
        <v>0</v>
      </c>
      <c r="T2136" s="62">
        <v>0</v>
      </c>
    </row>
    <row r="2137" spans="1:20" ht="11.1" customHeight="1" x14ac:dyDescent="0.25">
      <c r="A2137" s="56">
        <v>109000</v>
      </c>
      <c r="B2137" s="72">
        <v>46037</v>
      </c>
      <c r="C2137" s="68">
        <v>46037</v>
      </c>
      <c r="D2137" s="58" t="s">
        <v>1941</v>
      </c>
      <c r="E2137" s="59" t="s">
        <v>352</v>
      </c>
      <c r="F2137" s="56">
        <v>36</v>
      </c>
      <c r="G2137" s="73">
        <v>340</v>
      </c>
      <c r="H2137" s="74" t="s">
        <v>526</v>
      </c>
      <c r="I2137" s="59" t="s">
        <v>1942</v>
      </c>
      <c r="J2137" s="59" t="s">
        <v>1943</v>
      </c>
      <c r="K2137" s="69">
        <v>5403</v>
      </c>
      <c r="L2137" s="56">
        <v>207</v>
      </c>
      <c r="M2137" s="59" t="s">
        <v>26</v>
      </c>
      <c r="N2137" s="61">
        <v>1177.92</v>
      </c>
      <c r="O2137" s="59" t="s">
        <v>313</v>
      </c>
      <c r="P2137" s="62">
        <v>1100.8599999999999</v>
      </c>
      <c r="Q2137" s="63">
        <v>20</v>
      </c>
      <c r="R2137" s="62">
        <v>220.17</v>
      </c>
      <c r="S2137" s="61">
        <v>0</v>
      </c>
      <c r="T2137" s="62">
        <v>77.06</v>
      </c>
    </row>
    <row r="2138" spans="1:20" ht="11.1" customHeight="1" x14ac:dyDescent="0.25">
      <c r="O2138" s="59" t="s">
        <v>436</v>
      </c>
      <c r="P2138" s="62">
        <v>1486.16</v>
      </c>
      <c r="Q2138" s="63">
        <v>20</v>
      </c>
      <c r="R2138" s="62">
        <v>77.06</v>
      </c>
      <c r="S2138" s="61">
        <v>0</v>
      </c>
      <c r="T2138" s="62">
        <v>0</v>
      </c>
    </row>
    <row r="2139" spans="1:20" ht="11.1" customHeight="1" x14ac:dyDescent="0.25">
      <c r="A2139" s="56">
        <v>109025</v>
      </c>
      <c r="B2139" s="72">
        <v>46038</v>
      </c>
      <c r="C2139" s="68">
        <v>46038</v>
      </c>
      <c r="D2139" s="58" t="s">
        <v>1944</v>
      </c>
      <c r="E2139" s="59" t="s">
        <v>352</v>
      </c>
      <c r="F2139" s="56">
        <v>36</v>
      </c>
      <c r="G2139" s="73">
        <v>340</v>
      </c>
      <c r="H2139" s="74" t="s">
        <v>526</v>
      </c>
      <c r="I2139" s="59" t="s">
        <v>1942</v>
      </c>
      <c r="J2139" s="59" t="s">
        <v>1943</v>
      </c>
      <c r="K2139" s="69">
        <v>5403</v>
      </c>
      <c r="L2139" s="56">
        <v>207</v>
      </c>
      <c r="M2139" s="59" t="s">
        <v>26</v>
      </c>
      <c r="N2139" s="61">
        <v>479.44</v>
      </c>
      <c r="O2139" s="59" t="s">
        <v>313</v>
      </c>
      <c r="P2139" s="62">
        <v>448.08</v>
      </c>
      <c r="Q2139" s="63">
        <v>20</v>
      </c>
      <c r="R2139" s="62">
        <v>89.62</v>
      </c>
      <c r="S2139" s="61">
        <v>0</v>
      </c>
      <c r="T2139" s="62">
        <v>31.36</v>
      </c>
    </row>
    <row r="2140" spans="1:20" ht="11.1" customHeight="1" x14ac:dyDescent="0.25">
      <c r="O2140" s="59" t="s">
        <v>436</v>
      </c>
      <c r="P2140" s="62">
        <v>604.91</v>
      </c>
      <c r="Q2140" s="63">
        <v>20</v>
      </c>
      <c r="R2140" s="62">
        <v>31.36</v>
      </c>
      <c r="S2140" s="61">
        <v>0</v>
      </c>
      <c r="T2140" s="62">
        <v>0</v>
      </c>
    </row>
    <row r="2141" spans="1:20" ht="11.1" customHeight="1" x14ac:dyDescent="0.25">
      <c r="A2141" s="56">
        <v>109295</v>
      </c>
      <c r="B2141" s="72">
        <v>46044</v>
      </c>
      <c r="C2141" s="68">
        <v>46044</v>
      </c>
      <c r="D2141" s="58" t="s">
        <v>1945</v>
      </c>
      <c r="E2141" s="59" t="s">
        <v>352</v>
      </c>
      <c r="F2141" s="56">
        <v>36</v>
      </c>
      <c r="G2141" s="73">
        <v>340</v>
      </c>
      <c r="H2141" s="74" t="s">
        <v>526</v>
      </c>
      <c r="I2141" s="59" t="s">
        <v>1942</v>
      </c>
      <c r="J2141" s="59" t="s">
        <v>1943</v>
      </c>
      <c r="K2141" s="69">
        <v>5403</v>
      </c>
      <c r="L2141" s="56">
        <v>207</v>
      </c>
      <c r="M2141" s="59" t="s">
        <v>26</v>
      </c>
      <c r="N2141" s="61">
        <v>2224.21</v>
      </c>
      <c r="O2141" s="59" t="s">
        <v>313</v>
      </c>
      <c r="P2141" s="62">
        <v>2078.6999999999998</v>
      </c>
      <c r="Q2141" s="63">
        <v>20</v>
      </c>
      <c r="R2141" s="62">
        <v>415.74</v>
      </c>
      <c r="S2141" s="61">
        <v>0</v>
      </c>
      <c r="T2141" s="62">
        <v>145.51</v>
      </c>
    </row>
    <row r="2142" spans="1:20" ht="11.1" customHeight="1" x14ac:dyDescent="0.25">
      <c r="O2142" s="59" t="s">
        <v>436</v>
      </c>
      <c r="P2142" s="62">
        <v>2806.25</v>
      </c>
      <c r="Q2142" s="63">
        <v>20</v>
      </c>
      <c r="R2142" s="62">
        <v>145.51</v>
      </c>
      <c r="S2142" s="61">
        <v>0</v>
      </c>
      <c r="T2142" s="62">
        <v>0</v>
      </c>
    </row>
    <row r="2143" spans="1:20" ht="11.1" customHeight="1" x14ac:dyDescent="0.25">
      <c r="A2143" s="56">
        <v>109331</v>
      </c>
      <c r="B2143" s="72">
        <v>46045</v>
      </c>
      <c r="C2143" s="68">
        <v>46045</v>
      </c>
      <c r="D2143" s="58" t="s">
        <v>1946</v>
      </c>
      <c r="E2143" s="59" t="s">
        <v>352</v>
      </c>
      <c r="F2143" s="56">
        <v>36</v>
      </c>
      <c r="G2143" s="73">
        <v>340</v>
      </c>
      <c r="H2143" s="74" t="s">
        <v>526</v>
      </c>
      <c r="I2143" s="59" t="s">
        <v>1942</v>
      </c>
      <c r="J2143" s="59" t="s">
        <v>1943</v>
      </c>
      <c r="K2143" s="69">
        <v>5403</v>
      </c>
      <c r="L2143" s="56">
        <v>207</v>
      </c>
      <c r="M2143" s="59" t="s">
        <v>26</v>
      </c>
      <c r="N2143" s="61">
        <v>829.42</v>
      </c>
      <c r="O2143" s="59" t="s">
        <v>313</v>
      </c>
      <c r="P2143" s="62">
        <v>775.16</v>
      </c>
      <c r="Q2143" s="63">
        <v>20</v>
      </c>
      <c r="R2143" s="62">
        <v>155.03</v>
      </c>
      <c r="S2143" s="61">
        <v>0</v>
      </c>
      <c r="T2143" s="62">
        <v>54.26</v>
      </c>
    </row>
    <row r="2144" spans="1:20" ht="11.1" customHeight="1" x14ac:dyDescent="0.25">
      <c r="O2144" s="59" t="s">
        <v>436</v>
      </c>
      <c r="P2144" s="62">
        <v>1046.47</v>
      </c>
      <c r="Q2144" s="63">
        <v>20</v>
      </c>
      <c r="R2144" s="62">
        <v>54.26</v>
      </c>
      <c r="S2144" s="61">
        <v>0</v>
      </c>
      <c r="T2144" s="62">
        <v>0</v>
      </c>
    </row>
    <row r="2145" spans="1:20" ht="11.1" customHeight="1" x14ac:dyDescent="0.25">
      <c r="A2145" s="56">
        <v>109408</v>
      </c>
      <c r="B2145" s="72">
        <v>46045</v>
      </c>
      <c r="C2145" s="68">
        <v>46045</v>
      </c>
      <c r="D2145" s="58" t="s">
        <v>1947</v>
      </c>
      <c r="E2145" s="59" t="s">
        <v>352</v>
      </c>
      <c r="F2145" s="56">
        <v>36</v>
      </c>
      <c r="G2145" s="73">
        <v>340</v>
      </c>
      <c r="H2145" s="74" t="s">
        <v>526</v>
      </c>
      <c r="I2145" s="59" t="s">
        <v>1942</v>
      </c>
      <c r="J2145" s="59" t="s">
        <v>1943</v>
      </c>
      <c r="K2145" s="69">
        <v>5403</v>
      </c>
      <c r="L2145" s="56">
        <v>207</v>
      </c>
      <c r="M2145" s="59" t="s">
        <v>26</v>
      </c>
      <c r="N2145" s="61">
        <v>541.96</v>
      </c>
      <c r="O2145" s="59" t="s">
        <v>313</v>
      </c>
      <c r="P2145" s="62">
        <v>506.51</v>
      </c>
      <c r="Q2145" s="63">
        <v>20</v>
      </c>
      <c r="R2145" s="62">
        <v>101.31</v>
      </c>
      <c r="S2145" s="61">
        <v>0</v>
      </c>
      <c r="T2145" s="62">
        <v>35.450000000000003</v>
      </c>
    </row>
    <row r="2146" spans="1:20" ht="11.1" customHeight="1" x14ac:dyDescent="0.25">
      <c r="O2146" s="59" t="s">
        <v>436</v>
      </c>
      <c r="P2146" s="62">
        <v>683.79</v>
      </c>
      <c r="Q2146" s="63">
        <v>20</v>
      </c>
      <c r="R2146" s="62">
        <v>35.450000000000003</v>
      </c>
      <c r="S2146" s="61">
        <v>0</v>
      </c>
      <c r="T2146" s="62">
        <v>0</v>
      </c>
    </row>
    <row r="2147" spans="1:20" ht="11.1" customHeight="1" x14ac:dyDescent="0.25">
      <c r="A2147" s="56">
        <v>109508</v>
      </c>
      <c r="B2147" s="72">
        <v>46049</v>
      </c>
      <c r="C2147" s="68">
        <v>46049</v>
      </c>
      <c r="D2147" s="58" t="s">
        <v>1948</v>
      </c>
      <c r="E2147" s="59" t="s">
        <v>352</v>
      </c>
      <c r="F2147" s="56">
        <v>36</v>
      </c>
      <c r="G2147" s="73">
        <v>340</v>
      </c>
      <c r="H2147" s="74" t="s">
        <v>526</v>
      </c>
      <c r="I2147" s="59" t="s">
        <v>1942</v>
      </c>
      <c r="J2147" s="59" t="s">
        <v>1943</v>
      </c>
      <c r="K2147" s="69">
        <v>5102</v>
      </c>
      <c r="L2147" s="56">
        <v>205</v>
      </c>
      <c r="M2147" s="59" t="s">
        <v>26</v>
      </c>
      <c r="N2147" s="61">
        <v>119.06</v>
      </c>
      <c r="O2147" s="59" t="s">
        <v>313</v>
      </c>
      <c r="P2147" s="62">
        <v>119.06</v>
      </c>
      <c r="Q2147" s="63">
        <v>20</v>
      </c>
      <c r="R2147" s="62">
        <v>23.81</v>
      </c>
      <c r="S2147" s="61">
        <v>0</v>
      </c>
      <c r="T2147" s="62">
        <v>0</v>
      </c>
    </row>
    <row r="2148" spans="1:20" ht="11.1" customHeight="1" x14ac:dyDescent="0.25">
      <c r="A2148" s="56">
        <v>109509</v>
      </c>
      <c r="B2148" s="72">
        <v>46049</v>
      </c>
      <c r="C2148" s="68">
        <v>46049</v>
      </c>
      <c r="D2148" s="58" t="s">
        <v>1948</v>
      </c>
      <c r="E2148" s="59" t="s">
        <v>352</v>
      </c>
      <c r="F2148" s="56">
        <v>36</v>
      </c>
      <c r="G2148" s="73">
        <v>340</v>
      </c>
      <c r="H2148" s="74" t="s">
        <v>526</v>
      </c>
      <c r="I2148" s="59" t="s">
        <v>1942</v>
      </c>
      <c r="J2148" s="59" t="s">
        <v>1943</v>
      </c>
      <c r="K2148" s="69">
        <v>5403</v>
      </c>
      <c r="L2148" s="56">
        <v>207</v>
      </c>
      <c r="M2148" s="59" t="s">
        <v>26</v>
      </c>
      <c r="N2148" s="61">
        <v>1537.72</v>
      </c>
      <c r="O2148" s="59" t="s">
        <v>313</v>
      </c>
      <c r="P2148" s="62">
        <v>1437.12</v>
      </c>
      <c r="Q2148" s="63">
        <v>20</v>
      </c>
      <c r="R2148" s="62">
        <v>287.42</v>
      </c>
      <c r="S2148" s="61">
        <v>0</v>
      </c>
      <c r="T2148" s="62">
        <v>100.6</v>
      </c>
    </row>
    <row r="2149" spans="1:20" ht="11.1" customHeight="1" x14ac:dyDescent="0.25">
      <c r="O2149" s="59" t="s">
        <v>436</v>
      </c>
      <c r="P2149" s="62">
        <v>1940.11</v>
      </c>
      <c r="Q2149" s="63">
        <v>20</v>
      </c>
      <c r="R2149" s="62">
        <v>100.6</v>
      </c>
      <c r="S2149" s="61">
        <v>0</v>
      </c>
      <c r="T2149" s="62">
        <v>0</v>
      </c>
    </row>
    <row r="2150" spans="1:20" ht="11.1" customHeight="1" x14ac:dyDescent="0.25">
      <c r="A2150" s="56">
        <v>109725</v>
      </c>
      <c r="B2150" s="72">
        <v>46048</v>
      </c>
      <c r="C2150" s="68">
        <v>46048</v>
      </c>
      <c r="D2150" s="58" t="s">
        <v>1949</v>
      </c>
      <c r="E2150" s="59" t="s">
        <v>352</v>
      </c>
      <c r="F2150" s="56">
        <v>36</v>
      </c>
      <c r="G2150" s="73">
        <v>340</v>
      </c>
      <c r="H2150" s="74" t="s">
        <v>526</v>
      </c>
      <c r="I2150" s="59" t="s">
        <v>1942</v>
      </c>
      <c r="J2150" s="59" t="s">
        <v>1943</v>
      </c>
      <c r="K2150" s="69">
        <v>5403</v>
      </c>
      <c r="L2150" s="56">
        <v>207</v>
      </c>
      <c r="M2150" s="59" t="s">
        <v>26</v>
      </c>
      <c r="N2150" s="61">
        <v>0</v>
      </c>
      <c r="O2150" s="59" t="s">
        <v>313</v>
      </c>
      <c r="P2150" s="62">
        <v>0</v>
      </c>
      <c r="Q2150" s="63">
        <v>0</v>
      </c>
      <c r="R2150" s="62">
        <v>0</v>
      </c>
      <c r="S2150" s="61">
        <v>0</v>
      </c>
      <c r="T2150" s="62">
        <v>0</v>
      </c>
    </row>
    <row r="2151" spans="1:20" ht="11.1" customHeight="1" x14ac:dyDescent="0.25">
      <c r="O2151" s="59" t="s">
        <v>436</v>
      </c>
      <c r="P2151" s="62">
        <v>0</v>
      </c>
      <c r="Q2151" s="63">
        <v>0</v>
      </c>
      <c r="R2151" s="62">
        <v>0</v>
      </c>
      <c r="S2151" s="61">
        <v>0</v>
      </c>
      <c r="T2151" s="62">
        <v>0</v>
      </c>
    </row>
    <row r="2152" spans="1:20" ht="11.85" customHeight="1" x14ac:dyDescent="0.25">
      <c r="A2152" s="71" t="s">
        <v>620</v>
      </c>
      <c r="B2152" s="71"/>
      <c r="C2152" s="71"/>
      <c r="D2152" s="71"/>
      <c r="E2152" s="71"/>
      <c r="F2152" s="71"/>
      <c r="G2152" s="71"/>
      <c r="H2152" s="71"/>
    </row>
    <row r="2153" spans="1:20" ht="11.1" customHeight="1" x14ac:dyDescent="0.25">
      <c r="O2153" s="59" t="s">
        <v>313</v>
      </c>
      <c r="P2153" s="62">
        <v>6465.49</v>
      </c>
      <c r="R2153" s="62">
        <v>1293.0999999999999</v>
      </c>
      <c r="S2153" s="61">
        <v>0</v>
      </c>
      <c r="T2153" s="62">
        <v>444.24</v>
      </c>
    </row>
    <row r="2154" spans="1:20" ht="11.1" customHeight="1" x14ac:dyDescent="0.25">
      <c r="O2154" s="59" t="s">
        <v>436</v>
      </c>
      <c r="P2154" s="62">
        <v>8567.69</v>
      </c>
      <c r="R2154" s="62">
        <v>444.24</v>
      </c>
      <c r="S2154" s="61">
        <v>0</v>
      </c>
      <c r="T2154" s="62">
        <v>0</v>
      </c>
    </row>
    <row r="2155" spans="1:20" ht="11.1" customHeight="1" x14ac:dyDescent="0.25">
      <c r="A2155" s="56">
        <v>108426</v>
      </c>
      <c r="B2155" s="72">
        <v>46024</v>
      </c>
      <c r="C2155" s="68">
        <v>46024</v>
      </c>
      <c r="D2155" s="58" t="s">
        <v>1950</v>
      </c>
      <c r="E2155" s="59" t="s">
        <v>352</v>
      </c>
      <c r="F2155" s="56">
        <v>36</v>
      </c>
      <c r="G2155" s="73">
        <v>129</v>
      </c>
      <c r="H2155" s="74" t="s">
        <v>1951</v>
      </c>
      <c r="I2155" s="59" t="s">
        <v>1952</v>
      </c>
      <c r="J2155" s="59" t="s">
        <v>1953</v>
      </c>
      <c r="K2155" s="69">
        <v>5102</v>
      </c>
      <c r="L2155" s="56">
        <v>205</v>
      </c>
      <c r="M2155" s="59" t="s">
        <v>26</v>
      </c>
      <c r="N2155" s="61">
        <v>434.81</v>
      </c>
      <c r="O2155" s="59" t="s">
        <v>313</v>
      </c>
      <c r="P2155" s="62">
        <v>434.81</v>
      </c>
      <c r="Q2155" s="63">
        <v>20</v>
      </c>
      <c r="R2155" s="62">
        <v>86.96</v>
      </c>
      <c r="S2155" s="61">
        <v>0</v>
      </c>
      <c r="T2155" s="62">
        <v>0</v>
      </c>
    </row>
    <row r="2156" spans="1:20" ht="11.1" customHeight="1" x14ac:dyDescent="0.25">
      <c r="A2156" s="56">
        <v>108427</v>
      </c>
      <c r="B2156" s="72">
        <v>46024</v>
      </c>
      <c r="C2156" s="68">
        <v>46024</v>
      </c>
      <c r="D2156" s="58" t="s">
        <v>1950</v>
      </c>
      <c r="E2156" s="59" t="s">
        <v>352</v>
      </c>
      <c r="F2156" s="56">
        <v>36</v>
      </c>
      <c r="G2156" s="73">
        <v>129</v>
      </c>
      <c r="H2156" s="74" t="s">
        <v>1951</v>
      </c>
      <c r="I2156" s="59" t="s">
        <v>1952</v>
      </c>
      <c r="J2156" s="59" t="s">
        <v>1953</v>
      </c>
      <c r="K2156" s="69">
        <v>5403</v>
      </c>
      <c r="L2156" s="56">
        <v>207</v>
      </c>
      <c r="M2156" s="59" t="s">
        <v>26</v>
      </c>
      <c r="N2156" s="61">
        <v>145.22</v>
      </c>
      <c r="O2156" s="59" t="s">
        <v>313</v>
      </c>
      <c r="P2156" s="62">
        <v>135.72</v>
      </c>
      <c r="Q2156" s="63">
        <v>20</v>
      </c>
      <c r="R2156" s="62">
        <v>27.14</v>
      </c>
      <c r="S2156" s="61">
        <v>0</v>
      </c>
      <c r="T2156" s="62">
        <v>9.5</v>
      </c>
    </row>
    <row r="2157" spans="1:20" ht="11.1" customHeight="1" x14ac:dyDescent="0.25">
      <c r="O2157" s="59" t="s">
        <v>436</v>
      </c>
      <c r="P2157" s="62">
        <v>183.22</v>
      </c>
      <c r="Q2157" s="63">
        <v>20</v>
      </c>
      <c r="R2157" s="62">
        <v>9.5</v>
      </c>
      <c r="S2157" s="61">
        <v>0</v>
      </c>
      <c r="T2157" s="62">
        <v>0</v>
      </c>
    </row>
    <row r="2158" spans="1:20" ht="11.1" customHeight="1" x14ac:dyDescent="0.25">
      <c r="A2158" s="56">
        <v>108802</v>
      </c>
      <c r="B2158" s="72">
        <v>46034</v>
      </c>
      <c r="C2158" s="68">
        <v>46034</v>
      </c>
      <c r="D2158" s="58" t="s">
        <v>1954</v>
      </c>
      <c r="E2158" s="59" t="s">
        <v>352</v>
      </c>
      <c r="F2158" s="56">
        <v>36</v>
      </c>
      <c r="G2158" s="73">
        <v>129</v>
      </c>
      <c r="H2158" s="74" t="s">
        <v>1951</v>
      </c>
      <c r="I2158" s="59" t="s">
        <v>1952</v>
      </c>
      <c r="J2158" s="59" t="s">
        <v>1953</v>
      </c>
      <c r="K2158" s="69">
        <v>5102</v>
      </c>
      <c r="L2158" s="56">
        <v>205</v>
      </c>
      <c r="M2158" s="59" t="s">
        <v>26</v>
      </c>
      <c r="N2158" s="61">
        <v>427.68</v>
      </c>
      <c r="O2158" s="59" t="s">
        <v>313</v>
      </c>
      <c r="P2158" s="62">
        <v>427.68</v>
      </c>
      <c r="Q2158" s="63">
        <v>20</v>
      </c>
      <c r="R2158" s="62">
        <v>85.54</v>
      </c>
      <c r="S2158" s="61">
        <v>0</v>
      </c>
      <c r="T2158" s="62">
        <v>0</v>
      </c>
    </row>
    <row r="2159" spans="1:20" ht="11.1" customHeight="1" x14ac:dyDescent="0.25">
      <c r="A2159" s="56">
        <v>108803</v>
      </c>
      <c r="B2159" s="72">
        <v>46034</v>
      </c>
      <c r="C2159" s="68">
        <v>46034</v>
      </c>
      <c r="D2159" s="58" t="s">
        <v>1954</v>
      </c>
      <c r="E2159" s="59" t="s">
        <v>352</v>
      </c>
      <c r="F2159" s="56">
        <v>36</v>
      </c>
      <c r="G2159" s="73">
        <v>129</v>
      </c>
      <c r="H2159" s="74" t="s">
        <v>1951</v>
      </c>
      <c r="I2159" s="59" t="s">
        <v>1952</v>
      </c>
      <c r="J2159" s="59" t="s">
        <v>1953</v>
      </c>
      <c r="K2159" s="69">
        <v>5403</v>
      </c>
      <c r="L2159" s="56">
        <v>207</v>
      </c>
      <c r="M2159" s="59" t="s">
        <v>26</v>
      </c>
      <c r="N2159" s="61">
        <v>273.61</v>
      </c>
      <c r="O2159" s="59" t="s">
        <v>313</v>
      </c>
      <c r="P2159" s="62">
        <v>255.71</v>
      </c>
      <c r="Q2159" s="63">
        <v>20</v>
      </c>
      <c r="R2159" s="62">
        <v>51.14</v>
      </c>
      <c r="S2159" s="61">
        <v>0</v>
      </c>
      <c r="T2159" s="62">
        <v>17.899999999999999</v>
      </c>
    </row>
    <row r="2160" spans="1:20" ht="11.1" customHeight="1" x14ac:dyDescent="0.25">
      <c r="O2160" s="59" t="s">
        <v>436</v>
      </c>
      <c r="P2160" s="62">
        <v>345.21</v>
      </c>
      <c r="Q2160" s="63">
        <v>20</v>
      </c>
      <c r="R2160" s="62">
        <v>17.899999999999999</v>
      </c>
      <c r="S2160" s="61">
        <v>0</v>
      </c>
      <c r="T2160" s="62">
        <v>0</v>
      </c>
    </row>
    <row r="2161" spans="1:20" ht="11.1" customHeight="1" x14ac:dyDescent="0.25">
      <c r="A2161" s="56">
        <v>109074</v>
      </c>
      <c r="B2161" s="72">
        <v>46041</v>
      </c>
      <c r="C2161" s="68">
        <v>46041</v>
      </c>
      <c r="D2161" s="58" t="s">
        <v>1955</v>
      </c>
      <c r="E2161" s="59" t="s">
        <v>352</v>
      </c>
      <c r="F2161" s="56">
        <v>36</v>
      </c>
      <c r="G2161" s="73">
        <v>129</v>
      </c>
      <c r="H2161" s="74" t="s">
        <v>1951</v>
      </c>
      <c r="I2161" s="59" t="s">
        <v>1952</v>
      </c>
      <c r="J2161" s="59" t="s">
        <v>1953</v>
      </c>
      <c r="K2161" s="69">
        <v>5102</v>
      </c>
      <c r="L2161" s="56">
        <v>205</v>
      </c>
      <c r="M2161" s="59" t="s">
        <v>26</v>
      </c>
      <c r="N2161" s="61">
        <v>849.79</v>
      </c>
      <c r="O2161" s="59" t="s">
        <v>313</v>
      </c>
      <c r="P2161" s="62">
        <v>849.79</v>
      </c>
      <c r="Q2161" s="63">
        <v>20</v>
      </c>
      <c r="R2161" s="62">
        <v>169.97</v>
      </c>
      <c r="S2161" s="61">
        <v>0</v>
      </c>
      <c r="T2161" s="62">
        <v>0</v>
      </c>
    </row>
    <row r="2162" spans="1:20" ht="11.1" customHeight="1" x14ac:dyDescent="0.25">
      <c r="A2162" s="56">
        <v>109075</v>
      </c>
      <c r="B2162" s="72">
        <v>46041</v>
      </c>
      <c r="C2162" s="68">
        <v>46041</v>
      </c>
      <c r="D2162" s="58" t="s">
        <v>1955</v>
      </c>
      <c r="E2162" s="59" t="s">
        <v>352</v>
      </c>
      <c r="F2162" s="56">
        <v>36</v>
      </c>
      <c r="G2162" s="73">
        <v>129</v>
      </c>
      <c r="H2162" s="74" t="s">
        <v>1951</v>
      </c>
      <c r="I2162" s="59" t="s">
        <v>1952</v>
      </c>
      <c r="J2162" s="59" t="s">
        <v>1953</v>
      </c>
      <c r="K2162" s="69">
        <v>5403</v>
      </c>
      <c r="L2162" s="56">
        <v>207</v>
      </c>
      <c r="M2162" s="59" t="s">
        <v>26</v>
      </c>
      <c r="N2162" s="61">
        <v>163.95</v>
      </c>
      <c r="O2162" s="59" t="s">
        <v>313</v>
      </c>
      <c r="P2162" s="62">
        <v>153.22999999999999</v>
      </c>
      <c r="Q2162" s="63">
        <v>20</v>
      </c>
      <c r="R2162" s="62">
        <v>30.65</v>
      </c>
      <c r="S2162" s="61">
        <v>0</v>
      </c>
      <c r="T2162" s="62">
        <v>10.72</v>
      </c>
    </row>
    <row r="2163" spans="1:20" ht="11.1" customHeight="1" x14ac:dyDescent="0.25">
      <c r="O2163" s="59" t="s">
        <v>436</v>
      </c>
      <c r="P2163" s="62">
        <v>206.86</v>
      </c>
      <c r="Q2163" s="63">
        <v>20</v>
      </c>
      <c r="R2163" s="62">
        <v>10.72</v>
      </c>
      <c r="S2163" s="61">
        <v>0</v>
      </c>
      <c r="T2163" s="62">
        <v>0</v>
      </c>
    </row>
    <row r="2164" spans="1:20" ht="11.1" customHeight="1" x14ac:dyDescent="0.25">
      <c r="A2164" s="56">
        <v>109398</v>
      </c>
      <c r="B2164" s="72">
        <v>46045</v>
      </c>
      <c r="C2164" s="68">
        <v>46045</v>
      </c>
      <c r="D2164" s="58" t="s">
        <v>1956</v>
      </c>
      <c r="E2164" s="59" t="s">
        <v>352</v>
      </c>
      <c r="F2164" s="56">
        <v>36</v>
      </c>
      <c r="G2164" s="73">
        <v>129</v>
      </c>
      <c r="H2164" s="74" t="s">
        <v>1951</v>
      </c>
      <c r="I2164" s="59" t="s">
        <v>1952</v>
      </c>
      <c r="J2164" s="59" t="s">
        <v>1953</v>
      </c>
      <c r="K2164" s="69">
        <v>5102</v>
      </c>
      <c r="L2164" s="56">
        <v>205</v>
      </c>
      <c r="M2164" s="59" t="s">
        <v>26</v>
      </c>
      <c r="N2164" s="61">
        <v>650.42999999999995</v>
      </c>
      <c r="O2164" s="59" t="s">
        <v>313</v>
      </c>
      <c r="P2164" s="62">
        <v>650.42999999999995</v>
      </c>
      <c r="Q2164" s="63">
        <v>20</v>
      </c>
      <c r="R2164" s="62">
        <v>130.09</v>
      </c>
      <c r="S2164" s="61">
        <v>0</v>
      </c>
      <c r="T2164" s="62">
        <v>0</v>
      </c>
    </row>
    <row r="2165" spans="1:20" ht="11.1" customHeight="1" x14ac:dyDescent="0.25">
      <c r="A2165" s="56">
        <v>109399</v>
      </c>
      <c r="B2165" s="72">
        <v>46045</v>
      </c>
      <c r="C2165" s="68">
        <v>46045</v>
      </c>
      <c r="D2165" s="58" t="s">
        <v>1956</v>
      </c>
      <c r="E2165" s="59" t="s">
        <v>352</v>
      </c>
      <c r="F2165" s="56">
        <v>36</v>
      </c>
      <c r="G2165" s="73">
        <v>129</v>
      </c>
      <c r="H2165" s="74" t="s">
        <v>1951</v>
      </c>
      <c r="I2165" s="59" t="s">
        <v>1952</v>
      </c>
      <c r="J2165" s="59" t="s">
        <v>1953</v>
      </c>
      <c r="K2165" s="69">
        <v>5403</v>
      </c>
      <c r="L2165" s="56">
        <v>207</v>
      </c>
      <c r="M2165" s="59" t="s">
        <v>26</v>
      </c>
      <c r="N2165" s="61">
        <v>131.22</v>
      </c>
      <c r="O2165" s="59" t="s">
        <v>313</v>
      </c>
      <c r="P2165" s="62">
        <v>122.64</v>
      </c>
      <c r="Q2165" s="63">
        <v>20</v>
      </c>
      <c r="R2165" s="62">
        <v>24.53</v>
      </c>
      <c r="S2165" s="61">
        <v>0</v>
      </c>
      <c r="T2165" s="62">
        <v>8.58</v>
      </c>
    </row>
    <row r="2166" spans="1:20" ht="11.1" customHeight="1" x14ac:dyDescent="0.25">
      <c r="O2166" s="59" t="s">
        <v>436</v>
      </c>
      <c r="P2166" s="62">
        <v>165.56</v>
      </c>
      <c r="Q2166" s="63">
        <v>20</v>
      </c>
      <c r="R2166" s="62">
        <v>8.58</v>
      </c>
      <c r="S2166" s="61">
        <v>0</v>
      </c>
      <c r="T2166" s="62">
        <v>0</v>
      </c>
    </row>
    <row r="2167" spans="1:20" ht="11.1" customHeight="1" x14ac:dyDescent="0.25">
      <c r="A2167" s="56">
        <v>109697</v>
      </c>
      <c r="B2167" s="72">
        <v>46052</v>
      </c>
      <c r="C2167" s="68">
        <v>46052</v>
      </c>
      <c r="D2167" s="58" t="s">
        <v>1957</v>
      </c>
      <c r="E2167" s="59" t="s">
        <v>352</v>
      </c>
      <c r="F2167" s="56">
        <v>36</v>
      </c>
      <c r="G2167" s="73">
        <v>129</v>
      </c>
      <c r="H2167" s="74" t="s">
        <v>1951</v>
      </c>
      <c r="I2167" s="59" t="s">
        <v>1952</v>
      </c>
      <c r="J2167" s="59" t="s">
        <v>1953</v>
      </c>
      <c r="K2167" s="69">
        <v>5102</v>
      </c>
      <c r="L2167" s="56">
        <v>205</v>
      </c>
      <c r="M2167" s="59" t="s">
        <v>26</v>
      </c>
      <c r="N2167" s="61">
        <v>393.08</v>
      </c>
      <c r="O2167" s="59" t="s">
        <v>313</v>
      </c>
      <c r="P2167" s="62">
        <v>393.08</v>
      </c>
      <c r="Q2167" s="63">
        <v>20</v>
      </c>
      <c r="R2167" s="62">
        <v>78.62</v>
      </c>
      <c r="S2167" s="61">
        <v>0</v>
      </c>
      <c r="T2167" s="62">
        <v>0</v>
      </c>
    </row>
    <row r="2168" spans="1:20" ht="11.1" customHeight="1" x14ac:dyDescent="0.25">
      <c r="A2168" s="56">
        <v>109698</v>
      </c>
      <c r="B2168" s="72">
        <v>46052</v>
      </c>
      <c r="C2168" s="68">
        <v>46052</v>
      </c>
      <c r="D2168" s="58" t="s">
        <v>1957</v>
      </c>
      <c r="E2168" s="59" t="s">
        <v>352</v>
      </c>
      <c r="F2168" s="56">
        <v>36</v>
      </c>
      <c r="G2168" s="73">
        <v>129</v>
      </c>
      <c r="H2168" s="74" t="s">
        <v>1951</v>
      </c>
      <c r="I2168" s="59" t="s">
        <v>1952</v>
      </c>
      <c r="J2168" s="59" t="s">
        <v>1953</v>
      </c>
      <c r="K2168" s="69">
        <v>5403</v>
      </c>
      <c r="L2168" s="56">
        <v>207</v>
      </c>
      <c r="M2168" s="59" t="s">
        <v>26</v>
      </c>
      <c r="N2168" s="61">
        <v>157.4</v>
      </c>
      <c r="O2168" s="59" t="s">
        <v>313</v>
      </c>
      <c r="P2168" s="62">
        <v>147.1</v>
      </c>
      <c r="Q2168" s="63">
        <v>20</v>
      </c>
      <c r="R2168" s="62">
        <v>29.42</v>
      </c>
      <c r="S2168" s="61">
        <v>0</v>
      </c>
      <c r="T2168" s="62">
        <v>10.3</v>
      </c>
    </row>
    <row r="2169" spans="1:20" ht="11.1" customHeight="1" x14ac:dyDescent="0.25">
      <c r="O2169" s="59" t="s">
        <v>436</v>
      </c>
      <c r="P2169" s="62">
        <v>198.59</v>
      </c>
      <c r="Q2169" s="63">
        <v>20</v>
      </c>
      <c r="R2169" s="62">
        <v>10.3</v>
      </c>
      <c r="S2169" s="61">
        <v>0</v>
      </c>
      <c r="T2169" s="62">
        <v>0</v>
      </c>
    </row>
    <row r="2170" spans="1:20" ht="11.85" customHeight="1" x14ac:dyDescent="0.25">
      <c r="A2170" s="71" t="s">
        <v>620</v>
      </c>
      <c r="B2170" s="71"/>
      <c r="C2170" s="71"/>
      <c r="D2170" s="71"/>
      <c r="E2170" s="71"/>
      <c r="F2170" s="71"/>
      <c r="G2170" s="71"/>
      <c r="H2170" s="71"/>
    </row>
    <row r="2171" spans="1:20" ht="11.1" customHeight="1" x14ac:dyDescent="0.25">
      <c r="O2171" s="59" t="s">
        <v>313</v>
      </c>
      <c r="P2171" s="62">
        <v>3570.19</v>
      </c>
      <c r="R2171" s="62">
        <v>714.06</v>
      </c>
      <c r="S2171" s="61">
        <v>0</v>
      </c>
      <c r="T2171" s="62">
        <v>57</v>
      </c>
    </row>
    <row r="2172" spans="1:20" ht="11.1" customHeight="1" x14ac:dyDescent="0.25">
      <c r="O2172" s="59" t="s">
        <v>436</v>
      </c>
      <c r="P2172" s="62">
        <v>1099.44</v>
      </c>
      <c r="R2172" s="62">
        <v>57</v>
      </c>
      <c r="S2172" s="61">
        <v>0</v>
      </c>
      <c r="T2172" s="62">
        <v>0</v>
      </c>
    </row>
    <row r="2173" spans="1:20" ht="11.1" customHeight="1" x14ac:dyDescent="0.25">
      <c r="A2173" s="56">
        <v>108861</v>
      </c>
      <c r="B2173" s="72">
        <v>46035</v>
      </c>
      <c r="C2173" s="68">
        <v>46035</v>
      </c>
      <c r="D2173" s="58" t="s">
        <v>1958</v>
      </c>
      <c r="E2173" s="59" t="s">
        <v>352</v>
      </c>
      <c r="F2173" s="56">
        <v>36</v>
      </c>
      <c r="G2173" s="73">
        <v>513</v>
      </c>
      <c r="H2173" s="74" t="s">
        <v>1959</v>
      </c>
      <c r="I2173" s="59" t="s">
        <v>1960</v>
      </c>
      <c r="J2173" s="59" t="s">
        <v>1961</v>
      </c>
      <c r="K2173" s="69">
        <v>5403</v>
      </c>
      <c r="L2173" s="56">
        <v>207</v>
      </c>
      <c r="M2173" s="59" t="s">
        <v>26</v>
      </c>
      <c r="N2173" s="61">
        <v>499.32</v>
      </c>
      <c r="O2173" s="59" t="s">
        <v>313</v>
      </c>
      <c r="P2173" s="62">
        <v>466.65</v>
      </c>
      <c r="Q2173" s="63">
        <v>20</v>
      </c>
      <c r="R2173" s="62">
        <v>93.33</v>
      </c>
      <c r="S2173" s="61">
        <v>0</v>
      </c>
      <c r="T2173" s="62">
        <v>32.67</v>
      </c>
    </row>
    <row r="2174" spans="1:20" ht="11.1" customHeight="1" x14ac:dyDescent="0.25">
      <c r="O2174" s="59" t="s">
        <v>436</v>
      </c>
      <c r="P2174" s="62">
        <v>629.98</v>
      </c>
      <c r="Q2174" s="63">
        <v>20</v>
      </c>
      <c r="R2174" s="62">
        <v>32.67</v>
      </c>
      <c r="S2174" s="61">
        <v>0</v>
      </c>
      <c r="T2174" s="62">
        <v>0</v>
      </c>
    </row>
    <row r="2175" spans="1:20" ht="11.85" customHeight="1" x14ac:dyDescent="0.25">
      <c r="A2175" s="71" t="s">
        <v>620</v>
      </c>
      <c r="B2175" s="71"/>
      <c r="C2175" s="71"/>
      <c r="D2175" s="71"/>
      <c r="E2175" s="71"/>
      <c r="F2175" s="71"/>
      <c r="G2175" s="71"/>
      <c r="H2175" s="71"/>
    </row>
    <row r="2176" spans="1:20" ht="11.1" customHeight="1" x14ac:dyDescent="0.25">
      <c r="O2176" s="59" t="s">
        <v>313</v>
      </c>
      <c r="P2176" s="62">
        <v>466.65</v>
      </c>
      <c r="R2176" s="62">
        <v>93.33</v>
      </c>
      <c r="S2176" s="61">
        <v>0</v>
      </c>
      <c r="T2176" s="62">
        <v>32.67</v>
      </c>
    </row>
    <row r="2177" spans="1:20" ht="11.1" customHeight="1" x14ac:dyDescent="0.25">
      <c r="O2177" s="59" t="s">
        <v>436</v>
      </c>
      <c r="P2177" s="62">
        <v>629.98</v>
      </c>
      <c r="R2177" s="62">
        <v>32.67</v>
      </c>
      <c r="S2177" s="61">
        <v>0</v>
      </c>
      <c r="T2177" s="62">
        <v>0</v>
      </c>
    </row>
    <row r="2178" spans="1:20" ht="11.1" customHeight="1" x14ac:dyDescent="0.25">
      <c r="A2178" s="56">
        <v>108492</v>
      </c>
      <c r="B2178" s="72">
        <v>46028</v>
      </c>
      <c r="C2178" s="68">
        <v>46028</v>
      </c>
      <c r="D2178" s="58" t="s">
        <v>1962</v>
      </c>
      <c r="E2178" s="59" t="s">
        <v>352</v>
      </c>
      <c r="F2178" s="56">
        <v>36</v>
      </c>
      <c r="G2178" s="73">
        <v>34</v>
      </c>
      <c r="H2178" s="74" t="s">
        <v>1963</v>
      </c>
      <c r="I2178" s="59" t="s">
        <v>1964</v>
      </c>
      <c r="J2178" s="59" t="s">
        <v>1965</v>
      </c>
      <c r="K2178" s="69">
        <v>5102</v>
      </c>
      <c r="L2178" s="56">
        <v>205</v>
      </c>
      <c r="M2178" s="59" t="s">
        <v>26</v>
      </c>
      <c r="N2178" s="61">
        <v>1491.32</v>
      </c>
      <c r="O2178" s="59" t="s">
        <v>313</v>
      </c>
      <c r="P2178" s="62">
        <v>1491.32</v>
      </c>
      <c r="Q2178" s="63">
        <v>20</v>
      </c>
      <c r="R2178" s="62">
        <v>298.27</v>
      </c>
      <c r="S2178" s="61">
        <v>0</v>
      </c>
      <c r="T2178" s="62">
        <v>0</v>
      </c>
    </row>
    <row r="2179" spans="1:20" ht="11.1" customHeight="1" x14ac:dyDescent="0.25">
      <c r="A2179" s="56">
        <v>108493</v>
      </c>
      <c r="B2179" s="72">
        <v>46028</v>
      </c>
      <c r="C2179" s="68">
        <v>46028</v>
      </c>
      <c r="D2179" s="58" t="s">
        <v>1962</v>
      </c>
      <c r="E2179" s="59" t="s">
        <v>352</v>
      </c>
      <c r="F2179" s="56">
        <v>36</v>
      </c>
      <c r="G2179" s="73">
        <v>34</v>
      </c>
      <c r="H2179" s="74" t="s">
        <v>1963</v>
      </c>
      <c r="I2179" s="59" t="s">
        <v>1964</v>
      </c>
      <c r="J2179" s="59" t="s">
        <v>1965</v>
      </c>
      <c r="K2179" s="69">
        <v>5403</v>
      </c>
      <c r="L2179" s="56">
        <v>207</v>
      </c>
      <c r="M2179" s="59" t="s">
        <v>26</v>
      </c>
      <c r="N2179" s="61">
        <v>2390.46</v>
      </c>
      <c r="O2179" s="59" t="s">
        <v>313</v>
      </c>
      <c r="P2179" s="62">
        <v>2234.0700000000002</v>
      </c>
      <c r="Q2179" s="63">
        <v>20</v>
      </c>
      <c r="R2179" s="62">
        <v>446.81</v>
      </c>
      <c r="S2179" s="61">
        <v>0</v>
      </c>
      <c r="T2179" s="62">
        <v>156.38999999999999</v>
      </c>
    </row>
    <row r="2180" spans="1:20" ht="11.1" customHeight="1" x14ac:dyDescent="0.25">
      <c r="O2180" s="59" t="s">
        <v>436</v>
      </c>
      <c r="P2180" s="62">
        <v>3016</v>
      </c>
      <c r="Q2180" s="63">
        <v>20</v>
      </c>
      <c r="R2180" s="62">
        <v>156.38999999999999</v>
      </c>
      <c r="S2180" s="61">
        <v>0</v>
      </c>
      <c r="T2180" s="62">
        <v>0</v>
      </c>
    </row>
    <row r="2181" spans="1:20" ht="11.1" customHeight="1" x14ac:dyDescent="0.25">
      <c r="A2181" s="56">
        <v>108880</v>
      </c>
      <c r="B2181" s="72">
        <v>46035</v>
      </c>
      <c r="C2181" s="68">
        <v>46035</v>
      </c>
      <c r="D2181" s="58" t="s">
        <v>1966</v>
      </c>
      <c r="E2181" s="59" t="s">
        <v>352</v>
      </c>
      <c r="F2181" s="56">
        <v>36</v>
      </c>
      <c r="G2181" s="73">
        <v>34</v>
      </c>
      <c r="H2181" s="74" t="s">
        <v>1963</v>
      </c>
      <c r="I2181" s="59" t="s">
        <v>1964</v>
      </c>
      <c r="J2181" s="59" t="s">
        <v>1965</v>
      </c>
      <c r="K2181" s="69">
        <v>5102</v>
      </c>
      <c r="L2181" s="56">
        <v>205</v>
      </c>
      <c r="M2181" s="59" t="s">
        <v>26</v>
      </c>
      <c r="N2181" s="61">
        <v>1888.1</v>
      </c>
      <c r="O2181" s="59" t="s">
        <v>313</v>
      </c>
      <c r="P2181" s="62">
        <v>1888.1</v>
      </c>
      <c r="Q2181" s="63">
        <v>20</v>
      </c>
      <c r="R2181" s="62">
        <v>377.63</v>
      </c>
      <c r="S2181" s="61">
        <v>0</v>
      </c>
      <c r="T2181" s="62">
        <v>0</v>
      </c>
    </row>
    <row r="2182" spans="1:20" ht="11.1" customHeight="1" x14ac:dyDescent="0.25">
      <c r="A2182" s="56">
        <v>108881</v>
      </c>
      <c r="B2182" s="72">
        <v>46035</v>
      </c>
      <c r="C2182" s="68">
        <v>46035</v>
      </c>
      <c r="D2182" s="58" t="s">
        <v>1966</v>
      </c>
      <c r="E2182" s="59" t="s">
        <v>352</v>
      </c>
      <c r="F2182" s="56">
        <v>36</v>
      </c>
      <c r="G2182" s="73">
        <v>34</v>
      </c>
      <c r="H2182" s="74" t="s">
        <v>1963</v>
      </c>
      <c r="I2182" s="59" t="s">
        <v>1964</v>
      </c>
      <c r="J2182" s="59" t="s">
        <v>1965</v>
      </c>
      <c r="K2182" s="69">
        <v>5403</v>
      </c>
      <c r="L2182" s="56">
        <v>207</v>
      </c>
      <c r="M2182" s="59" t="s">
        <v>26</v>
      </c>
      <c r="N2182" s="61">
        <v>855.31</v>
      </c>
      <c r="O2182" s="59" t="s">
        <v>313</v>
      </c>
      <c r="P2182" s="62">
        <v>799.36</v>
      </c>
      <c r="Q2182" s="63">
        <v>20</v>
      </c>
      <c r="R2182" s="62">
        <v>159.87</v>
      </c>
      <c r="S2182" s="61">
        <v>0</v>
      </c>
      <c r="T2182" s="62">
        <v>55.95</v>
      </c>
    </row>
    <row r="2183" spans="1:20" ht="11.1" customHeight="1" x14ac:dyDescent="0.25">
      <c r="O2183" s="59" t="s">
        <v>436</v>
      </c>
      <c r="P2183" s="62">
        <v>1079.1300000000001</v>
      </c>
      <c r="Q2183" s="63">
        <v>20</v>
      </c>
      <c r="R2183" s="62">
        <v>55.95</v>
      </c>
      <c r="S2183" s="61">
        <v>0</v>
      </c>
      <c r="T2183" s="62">
        <v>0</v>
      </c>
    </row>
    <row r="2184" spans="1:20" ht="11.1" customHeight="1" x14ac:dyDescent="0.25">
      <c r="A2184" s="56">
        <v>109461</v>
      </c>
      <c r="B2184" s="72">
        <v>46048</v>
      </c>
      <c r="C2184" s="68">
        <v>46048</v>
      </c>
      <c r="D2184" s="58" t="s">
        <v>1967</v>
      </c>
      <c r="E2184" s="59" t="s">
        <v>352</v>
      </c>
      <c r="F2184" s="56">
        <v>36</v>
      </c>
      <c r="G2184" s="73">
        <v>34</v>
      </c>
      <c r="H2184" s="74" t="s">
        <v>1963</v>
      </c>
      <c r="I2184" s="59" t="s">
        <v>1964</v>
      </c>
      <c r="J2184" s="59" t="s">
        <v>1965</v>
      </c>
      <c r="K2184" s="69">
        <v>5102</v>
      </c>
      <c r="L2184" s="56">
        <v>205</v>
      </c>
      <c r="M2184" s="59" t="s">
        <v>26</v>
      </c>
      <c r="N2184" s="61">
        <v>1271.83</v>
      </c>
      <c r="O2184" s="59" t="s">
        <v>313</v>
      </c>
      <c r="P2184" s="62">
        <v>1271.83</v>
      </c>
      <c r="Q2184" s="63">
        <v>20</v>
      </c>
      <c r="R2184" s="62">
        <v>254.36</v>
      </c>
      <c r="S2184" s="61">
        <v>0</v>
      </c>
      <c r="T2184" s="62">
        <v>0</v>
      </c>
    </row>
    <row r="2185" spans="1:20" ht="11.1" customHeight="1" x14ac:dyDescent="0.25">
      <c r="A2185" s="56">
        <v>109462</v>
      </c>
      <c r="B2185" s="72">
        <v>46048</v>
      </c>
      <c r="C2185" s="68">
        <v>46048</v>
      </c>
      <c r="D2185" s="58" t="s">
        <v>1967</v>
      </c>
      <c r="E2185" s="59" t="s">
        <v>352</v>
      </c>
      <c r="F2185" s="56">
        <v>36</v>
      </c>
      <c r="G2185" s="73">
        <v>34</v>
      </c>
      <c r="H2185" s="74" t="s">
        <v>1963</v>
      </c>
      <c r="I2185" s="59" t="s">
        <v>1964</v>
      </c>
      <c r="J2185" s="59" t="s">
        <v>1965</v>
      </c>
      <c r="K2185" s="69">
        <v>5403</v>
      </c>
      <c r="L2185" s="56">
        <v>207</v>
      </c>
      <c r="M2185" s="59" t="s">
        <v>26</v>
      </c>
      <c r="N2185" s="61">
        <v>2439.3200000000002</v>
      </c>
      <c r="O2185" s="59" t="s">
        <v>313</v>
      </c>
      <c r="P2185" s="62">
        <v>2279.73</v>
      </c>
      <c r="Q2185" s="63">
        <v>20</v>
      </c>
      <c r="R2185" s="62">
        <v>455.94</v>
      </c>
      <c r="S2185" s="61">
        <v>0</v>
      </c>
      <c r="T2185" s="62">
        <v>159.59</v>
      </c>
    </row>
    <row r="2186" spans="1:20" ht="11.1" customHeight="1" x14ac:dyDescent="0.25">
      <c r="O2186" s="59" t="s">
        <v>436</v>
      </c>
      <c r="P2186" s="62">
        <v>3077.64</v>
      </c>
      <c r="Q2186" s="63">
        <v>20</v>
      </c>
      <c r="R2186" s="62">
        <v>159.59</v>
      </c>
      <c r="S2186" s="61">
        <v>0</v>
      </c>
      <c r="T2186" s="62">
        <v>0</v>
      </c>
    </row>
    <row r="2187" spans="1:20" ht="11.85" customHeight="1" x14ac:dyDescent="0.25">
      <c r="A2187" s="71" t="s">
        <v>620</v>
      </c>
      <c r="B2187" s="71"/>
      <c r="C2187" s="71"/>
      <c r="D2187" s="71"/>
      <c r="E2187" s="71"/>
      <c r="F2187" s="71"/>
      <c r="G2187" s="71"/>
      <c r="H2187" s="71"/>
    </row>
    <row r="2188" spans="1:20" ht="11.1" customHeight="1" x14ac:dyDescent="0.25">
      <c r="O2188" s="59" t="s">
        <v>313</v>
      </c>
      <c r="P2188" s="62">
        <v>9964.41</v>
      </c>
      <c r="R2188" s="62">
        <v>1992.88</v>
      </c>
      <c r="S2188" s="61">
        <v>0</v>
      </c>
      <c r="T2188" s="62">
        <v>371.93</v>
      </c>
    </row>
    <row r="2189" spans="1:20" ht="11.1" customHeight="1" x14ac:dyDescent="0.25">
      <c r="O2189" s="59" t="s">
        <v>436</v>
      </c>
      <c r="P2189" s="62">
        <v>7172.77</v>
      </c>
      <c r="R2189" s="62">
        <v>371.93</v>
      </c>
      <c r="S2189" s="61">
        <v>0</v>
      </c>
      <c r="T2189" s="62">
        <v>0</v>
      </c>
    </row>
    <row r="2190" spans="1:20" ht="11.1" customHeight="1" x14ac:dyDescent="0.25">
      <c r="A2190" s="56">
        <v>108917</v>
      </c>
      <c r="B2190" s="72">
        <v>46036</v>
      </c>
      <c r="C2190" s="68">
        <v>46036</v>
      </c>
      <c r="D2190" s="58" t="s">
        <v>1968</v>
      </c>
      <c r="E2190" s="59" t="s">
        <v>352</v>
      </c>
      <c r="F2190" s="56">
        <v>36</v>
      </c>
      <c r="G2190" s="73">
        <v>404</v>
      </c>
      <c r="H2190" s="74" t="s">
        <v>1969</v>
      </c>
      <c r="I2190" s="59" t="s">
        <v>1970</v>
      </c>
      <c r="J2190" s="59" t="s">
        <v>1971</v>
      </c>
      <c r="K2190" s="69">
        <v>6403</v>
      </c>
      <c r="L2190" s="56">
        <v>207</v>
      </c>
      <c r="M2190" s="59" t="s">
        <v>31</v>
      </c>
      <c r="N2190" s="61">
        <v>1272.18</v>
      </c>
      <c r="O2190" s="59" t="s">
        <v>313</v>
      </c>
      <c r="P2190" s="62">
        <v>1077.5</v>
      </c>
      <c r="Q2190" s="63">
        <v>12</v>
      </c>
      <c r="R2190" s="62">
        <v>129.30000000000001</v>
      </c>
      <c r="S2190" s="61">
        <v>0</v>
      </c>
      <c r="T2190" s="62">
        <v>194.68</v>
      </c>
    </row>
    <row r="2191" spans="1:20" ht="11.1" customHeight="1" x14ac:dyDescent="0.25">
      <c r="O2191" s="59" t="s">
        <v>436</v>
      </c>
      <c r="P2191" s="62">
        <v>1580.37</v>
      </c>
      <c r="Q2191" s="63">
        <v>20.5</v>
      </c>
      <c r="R2191" s="62">
        <v>194.68</v>
      </c>
      <c r="S2191" s="61">
        <v>0</v>
      </c>
      <c r="T2191" s="62">
        <v>0</v>
      </c>
    </row>
    <row r="2192" spans="1:20" ht="11.1" customHeight="1" x14ac:dyDescent="0.25">
      <c r="A2192" s="56">
        <v>108918</v>
      </c>
      <c r="B2192" s="72">
        <v>46036</v>
      </c>
      <c r="C2192" s="68">
        <v>46036</v>
      </c>
      <c r="D2192" s="58" t="s">
        <v>1968</v>
      </c>
      <c r="E2192" s="59" t="s">
        <v>352</v>
      </c>
      <c r="F2192" s="56">
        <v>36</v>
      </c>
      <c r="G2192" s="73">
        <v>404</v>
      </c>
      <c r="H2192" s="74" t="s">
        <v>1969</v>
      </c>
      <c r="I2192" s="59" t="s">
        <v>1970</v>
      </c>
      <c r="J2192" s="59" t="s">
        <v>1971</v>
      </c>
      <c r="K2192" s="69">
        <v>6102</v>
      </c>
      <c r="L2192" s="56">
        <v>238</v>
      </c>
      <c r="M2192" s="59" t="s">
        <v>31</v>
      </c>
      <c r="N2192" s="61">
        <v>3210.96</v>
      </c>
      <c r="O2192" s="59" t="s">
        <v>313</v>
      </c>
      <c r="P2192" s="62">
        <v>3210.96</v>
      </c>
      <c r="Q2192" s="63">
        <v>12</v>
      </c>
      <c r="R2192" s="62">
        <v>385.32</v>
      </c>
      <c r="S2192" s="61">
        <v>0</v>
      </c>
      <c r="T2192" s="62">
        <v>0</v>
      </c>
    </row>
    <row r="2193" spans="1:20" ht="11.85" customHeight="1" x14ac:dyDescent="0.25">
      <c r="A2193" s="71" t="s">
        <v>620</v>
      </c>
      <c r="B2193" s="71"/>
      <c r="C2193" s="71"/>
      <c r="D2193" s="71"/>
      <c r="E2193" s="71"/>
      <c r="F2193" s="71"/>
      <c r="G2193" s="71"/>
      <c r="H2193" s="71"/>
    </row>
    <row r="2194" spans="1:20" ht="11.1" customHeight="1" x14ac:dyDescent="0.25">
      <c r="O2194" s="59" t="s">
        <v>313</v>
      </c>
      <c r="P2194" s="62">
        <v>4288.46</v>
      </c>
      <c r="R2194" s="62">
        <v>514.62</v>
      </c>
      <c r="S2194" s="61">
        <v>0</v>
      </c>
      <c r="T2194" s="62">
        <v>194.68</v>
      </c>
    </row>
    <row r="2195" spans="1:20" ht="11.1" customHeight="1" x14ac:dyDescent="0.25">
      <c r="O2195" s="59" t="s">
        <v>436</v>
      </c>
      <c r="P2195" s="62">
        <v>1580.37</v>
      </c>
      <c r="R2195" s="62">
        <v>194.68</v>
      </c>
      <c r="S2195" s="61">
        <v>0</v>
      </c>
      <c r="T2195" s="62">
        <v>0</v>
      </c>
    </row>
    <row r="2196" spans="1:20" ht="11.1" customHeight="1" x14ac:dyDescent="0.25">
      <c r="A2196" s="56">
        <v>109170</v>
      </c>
      <c r="B2196" s="72">
        <v>46042</v>
      </c>
      <c r="C2196" s="68">
        <v>46042</v>
      </c>
      <c r="D2196" s="58" t="s">
        <v>1972</v>
      </c>
      <c r="E2196" s="59" t="s">
        <v>352</v>
      </c>
      <c r="F2196" s="56">
        <v>36</v>
      </c>
      <c r="G2196" s="73">
        <v>853</v>
      </c>
      <c r="H2196" s="74" t="s">
        <v>1973</v>
      </c>
      <c r="I2196" s="59" t="s">
        <v>1974</v>
      </c>
      <c r="J2196" s="59" t="s">
        <v>1975</v>
      </c>
      <c r="K2196" s="69">
        <v>5102</v>
      </c>
      <c r="L2196" s="56">
        <v>205</v>
      </c>
      <c r="M2196" s="59" t="s">
        <v>26</v>
      </c>
      <c r="N2196" s="61">
        <v>82.14</v>
      </c>
      <c r="O2196" s="59" t="s">
        <v>313</v>
      </c>
      <c r="P2196" s="62">
        <v>82.14</v>
      </c>
      <c r="Q2196" s="63">
        <v>20</v>
      </c>
      <c r="R2196" s="62">
        <v>16.43</v>
      </c>
      <c r="S2196" s="61">
        <v>0</v>
      </c>
      <c r="T2196" s="62">
        <v>0</v>
      </c>
    </row>
    <row r="2197" spans="1:20" ht="11.1" customHeight="1" x14ac:dyDescent="0.25">
      <c r="A2197" s="56">
        <v>109171</v>
      </c>
      <c r="B2197" s="72">
        <v>46042</v>
      </c>
      <c r="C2197" s="68">
        <v>46042</v>
      </c>
      <c r="D2197" s="58" t="s">
        <v>1972</v>
      </c>
      <c r="E2197" s="59" t="s">
        <v>352</v>
      </c>
      <c r="F2197" s="56">
        <v>36</v>
      </c>
      <c r="G2197" s="73">
        <v>853</v>
      </c>
      <c r="H2197" s="74" t="s">
        <v>1973</v>
      </c>
      <c r="I2197" s="59" t="s">
        <v>1974</v>
      </c>
      <c r="J2197" s="59" t="s">
        <v>1975</v>
      </c>
      <c r="K2197" s="69">
        <v>5403</v>
      </c>
      <c r="L2197" s="56">
        <v>207</v>
      </c>
      <c r="M2197" s="59" t="s">
        <v>26</v>
      </c>
      <c r="N2197" s="61">
        <v>111.96</v>
      </c>
      <c r="O2197" s="59" t="s">
        <v>313</v>
      </c>
      <c r="P2197" s="62">
        <v>104.65</v>
      </c>
      <c r="Q2197" s="63">
        <v>20</v>
      </c>
      <c r="R2197" s="62">
        <v>20.93</v>
      </c>
      <c r="S2197" s="61">
        <v>0</v>
      </c>
      <c r="T2197" s="62">
        <v>7.31</v>
      </c>
    </row>
    <row r="2198" spans="1:20" ht="11.1" customHeight="1" x14ac:dyDescent="0.25">
      <c r="O2198" s="59" t="s">
        <v>436</v>
      </c>
      <c r="P2198" s="62">
        <v>141.28</v>
      </c>
      <c r="Q2198" s="63">
        <v>20</v>
      </c>
      <c r="R2198" s="62">
        <v>7.31</v>
      </c>
      <c r="S2198" s="61">
        <v>0</v>
      </c>
      <c r="T2198" s="62">
        <v>0</v>
      </c>
    </row>
    <row r="2199" spans="1:20" ht="11.85" customHeight="1" x14ac:dyDescent="0.25">
      <c r="A2199" s="71" t="s">
        <v>620</v>
      </c>
      <c r="B2199" s="71"/>
      <c r="C2199" s="71"/>
      <c r="D2199" s="71"/>
      <c r="E2199" s="71"/>
      <c r="F2199" s="71"/>
      <c r="G2199" s="71"/>
      <c r="H2199" s="71"/>
    </row>
    <row r="2200" spans="1:20" ht="11.1" customHeight="1" x14ac:dyDescent="0.25">
      <c r="O2200" s="59" t="s">
        <v>313</v>
      </c>
      <c r="P2200" s="62">
        <v>186.79</v>
      </c>
      <c r="R2200" s="62">
        <v>37.36</v>
      </c>
      <c r="S2200" s="61">
        <v>0</v>
      </c>
      <c r="T2200" s="62">
        <v>7.31</v>
      </c>
    </row>
    <row r="2201" spans="1:20" ht="11.1" customHeight="1" x14ac:dyDescent="0.25">
      <c r="O2201" s="59" t="s">
        <v>436</v>
      </c>
      <c r="P2201" s="62">
        <v>141.28</v>
      </c>
      <c r="R2201" s="62">
        <v>7.31</v>
      </c>
      <c r="S2201" s="61">
        <v>0</v>
      </c>
      <c r="T2201" s="62">
        <v>0</v>
      </c>
    </row>
    <row r="2202" spans="1:20" ht="11.1" customHeight="1" x14ac:dyDescent="0.25">
      <c r="A2202" s="56">
        <v>108715</v>
      </c>
      <c r="B2202" s="72">
        <v>46031</v>
      </c>
      <c r="C2202" s="68">
        <v>46031</v>
      </c>
      <c r="D2202" s="58" t="s">
        <v>1976</v>
      </c>
      <c r="E2202" s="59" t="s">
        <v>352</v>
      </c>
      <c r="F2202" s="56">
        <v>36</v>
      </c>
      <c r="G2202" s="73">
        <v>172</v>
      </c>
      <c r="H2202" s="74" t="s">
        <v>1977</v>
      </c>
      <c r="I2202" s="59" t="s">
        <v>1978</v>
      </c>
      <c r="J2202" s="59" t="s">
        <v>1979</v>
      </c>
      <c r="K2202" s="69">
        <v>5102</v>
      </c>
      <c r="L2202" s="56">
        <v>205</v>
      </c>
      <c r="M2202" s="59" t="s">
        <v>26</v>
      </c>
      <c r="N2202" s="61">
        <v>191.56</v>
      </c>
      <c r="O2202" s="59" t="s">
        <v>313</v>
      </c>
      <c r="P2202" s="62">
        <v>191.56</v>
      </c>
      <c r="Q2202" s="63">
        <v>20</v>
      </c>
      <c r="R2202" s="62">
        <v>38.31</v>
      </c>
      <c r="S2202" s="61">
        <v>0</v>
      </c>
      <c r="T2202" s="62">
        <v>0</v>
      </c>
    </row>
    <row r="2203" spans="1:20" ht="11.1" customHeight="1" x14ac:dyDescent="0.25">
      <c r="A2203" s="56">
        <v>108716</v>
      </c>
      <c r="B2203" s="72">
        <v>46031</v>
      </c>
      <c r="C2203" s="68">
        <v>46031</v>
      </c>
      <c r="D2203" s="58" t="s">
        <v>1976</v>
      </c>
      <c r="E2203" s="59" t="s">
        <v>352</v>
      </c>
      <c r="F2203" s="56">
        <v>36</v>
      </c>
      <c r="G2203" s="73">
        <v>172</v>
      </c>
      <c r="H2203" s="74" t="s">
        <v>1977</v>
      </c>
      <c r="I2203" s="59" t="s">
        <v>1978</v>
      </c>
      <c r="J2203" s="59" t="s">
        <v>1979</v>
      </c>
      <c r="K2203" s="69">
        <v>5403</v>
      </c>
      <c r="L2203" s="56">
        <v>207</v>
      </c>
      <c r="M2203" s="59" t="s">
        <v>26</v>
      </c>
      <c r="N2203" s="61">
        <v>1893.98</v>
      </c>
      <c r="O2203" s="59" t="s">
        <v>313</v>
      </c>
      <c r="P2203" s="62">
        <v>1770.08</v>
      </c>
      <c r="Q2203" s="63">
        <v>20</v>
      </c>
      <c r="R2203" s="62">
        <v>354.01</v>
      </c>
      <c r="S2203" s="61">
        <v>0</v>
      </c>
      <c r="T2203" s="62">
        <v>123.9</v>
      </c>
    </row>
    <row r="2204" spans="1:20" ht="11.1" customHeight="1" x14ac:dyDescent="0.25">
      <c r="O2204" s="59" t="s">
        <v>436</v>
      </c>
      <c r="P2204" s="62">
        <v>2389.61</v>
      </c>
      <c r="Q2204" s="63">
        <v>20</v>
      </c>
      <c r="R2204" s="62">
        <v>123.9</v>
      </c>
      <c r="S2204" s="61">
        <v>0</v>
      </c>
      <c r="T2204" s="62">
        <v>0</v>
      </c>
    </row>
    <row r="2205" spans="1:20" ht="11.85" customHeight="1" x14ac:dyDescent="0.25">
      <c r="A2205" s="71" t="s">
        <v>620</v>
      </c>
      <c r="B2205" s="71"/>
      <c r="C2205" s="71"/>
      <c r="D2205" s="71"/>
      <c r="E2205" s="71"/>
      <c r="F2205" s="71"/>
      <c r="G2205" s="71"/>
      <c r="H2205" s="71"/>
    </row>
    <row r="2206" spans="1:20" ht="11.1" customHeight="1" x14ac:dyDescent="0.25">
      <c r="O2206" s="59" t="s">
        <v>313</v>
      </c>
      <c r="P2206" s="62">
        <v>1961.64</v>
      </c>
      <c r="R2206" s="62">
        <v>392.32</v>
      </c>
      <c r="S2206" s="61">
        <v>0</v>
      </c>
      <c r="T2206" s="62">
        <v>123.9</v>
      </c>
    </row>
    <row r="2207" spans="1:20" ht="11.1" customHeight="1" x14ac:dyDescent="0.25">
      <c r="O2207" s="59" t="s">
        <v>436</v>
      </c>
      <c r="P2207" s="62">
        <v>2389.61</v>
      </c>
      <c r="R2207" s="62">
        <v>123.9</v>
      </c>
      <c r="S2207" s="61">
        <v>0</v>
      </c>
      <c r="T2207" s="62">
        <v>0</v>
      </c>
    </row>
    <row r="2208" spans="1:20" ht="11.1" customHeight="1" x14ac:dyDescent="0.25">
      <c r="A2208" s="56">
        <v>108553</v>
      </c>
      <c r="B2208" s="72">
        <v>46028</v>
      </c>
      <c r="C2208" s="68">
        <v>46028</v>
      </c>
      <c r="D2208" s="58" t="s">
        <v>1980</v>
      </c>
      <c r="E2208" s="59" t="s">
        <v>352</v>
      </c>
      <c r="F2208" s="56">
        <v>36</v>
      </c>
      <c r="G2208" s="73">
        <v>12</v>
      </c>
      <c r="H2208" s="74" t="s">
        <v>1981</v>
      </c>
      <c r="I2208" s="59" t="s">
        <v>1982</v>
      </c>
      <c r="J2208" s="59" t="s">
        <v>1983</v>
      </c>
      <c r="K2208" s="69">
        <v>5102</v>
      </c>
      <c r="L2208" s="56">
        <v>205</v>
      </c>
      <c r="M2208" s="59" t="s">
        <v>26</v>
      </c>
      <c r="N2208" s="61">
        <v>13307.3</v>
      </c>
      <c r="O2208" s="59" t="s">
        <v>313</v>
      </c>
      <c r="P2208" s="62">
        <v>13307.3</v>
      </c>
      <c r="Q2208" s="63">
        <v>20</v>
      </c>
      <c r="R2208" s="62">
        <v>2661.48</v>
      </c>
      <c r="S2208" s="61">
        <v>0</v>
      </c>
      <c r="T2208" s="62">
        <v>0</v>
      </c>
    </row>
    <row r="2209" spans="1:20" ht="11.1" customHeight="1" x14ac:dyDescent="0.25">
      <c r="A2209" s="56">
        <v>108554</v>
      </c>
      <c r="B2209" s="72">
        <v>46028</v>
      </c>
      <c r="C2209" s="68">
        <v>46028</v>
      </c>
      <c r="D2209" s="58" t="s">
        <v>1980</v>
      </c>
      <c r="E2209" s="59" t="s">
        <v>352</v>
      </c>
      <c r="F2209" s="56">
        <v>36</v>
      </c>
      <c r="G2209" s="73">
        <v>12</v>
      </c>
      <c r="H2209" s="74" t="s">
        <v>1981</v>
      </c>
      <c r="I2209" s="59" t="s">
        <v>1982</v>
      </c>
      <c r="J2209" s="59" t="s">
        <v>1983</v>
      </c>
      <c r="K2209" s="69">
        <v>5403</v>
      </c>
      <c r="L2209" s="56">
        <v>207</v>
      </c>
      <c r="M2209" s="59" t="s">
        <v>26</v>
      </c>
      <c r="N2209" s="61">
        <v>1569.94</v>
      </c>
      <c r="O2209" s="59" t="s">
        <v>313</v>
      </c>
      <c r="P2209" s="62">
        <v>1467.24</v>
      </c>
      <c r="Q2209" s="63">
        <v>20</v>
      </c>
      <c r="R2209" s="62">
        <v>293.45</v>
      </c>
      <c r="S2209" s="61">
        <v>0</v>
      </c>
      <c r="T2209" s="62">
        <v>102.7</v>
      </c>
    </row>
    <row r="2210" spans="1:20" ht="11.1" customHeight="1" x14ac:dyDescent="0.25">
      <c r="O2210" s="59" t="s">
        <v>436</v>
      </c>
      <c r="P2210" s="62">
        <v>1980.79</v>
      </c>
      <c r="Q2210" s="63">
        <v>20</v>
      </c>
      <c r="R2210" s="62">
        <v>102.7</v>
      </c>
      <c r="S2210" s="61">
        <v>0</v>
      </c>
      <c r="T2210" s="62">
        <v>0</v>
      </c>
    </row>
    <row r="2211" spans="1:20" ht="11.1" customHeight="1" x14ac:dyDescent="0.25">
      <c r="A2211" s="56">
        <v>109705</v>
      </c>
      <c r="B2211" s="72">
        <v>46028</v>
      </c>
      <c r="C2211" s="68">
        <v>46028</v>
      </c>
      <c r="D2211" s="58" t="s">
        <v>1984</v>
      </c>
      <c r="E2211" s="59" t="s">
        <v>352</v>
      </c>
      <c r="F2211" s="56">
        <v>36</v>
      </c>
      <c r="G2211" s="73">
        <v>12</v>
      </c>
      <c r="H2211" s="74" t="s">
        <v>1981</v>
      </c>
      <c r="I2211" s="59" t="s">
        <v>1982</v>
      </c>
      <c r="J2211" s="59" t="s">
        <v>1983</v>
      </c>
      <c r="K2211" s="69">
        <v>5102</v>
      </c>
      <c r="L2211" s="56">
        <v>205</v>
      </c>
      <c r="M2211" s="59" t="s">
        <v>26</v>
      </c>
      <c r="N2211" s="61">
        <v>0</v>
      </c>
      <c r="O2211" s="59" t="s">
        <v>313</v>
      </c>
      <c r="P2211" s="62">
        <v>0</v>
      </c>
      <c r="Q2211" s="63">
        <v>0</v>
      </c>
      <c r="R2211" s="62">
        <v>0</v>
      </c>
      <c r="S2211" s="61">
        <v>0</v>
      </c>
      <c r="T2211" s="62">
        <v>0</v>
      </c>
    </row>
    <row r="2212" spans="1:20" ht="11.1" customHeight="1" x14ac:dyDescent="0.25">
      <c r="A2212" s="56">
        <v>109706</v>
      </c>
      <c r="B2212" s="72">
        <v>46028</v>
      </c>
      <c r="C2212" s="68">
        <v>46028</v>
      </c>
      <c r="D2212" s="58" t="s">
        <v>1984</v>
      </c>
      <c r="E2212" s="59" t="s">
        <v>352</v>
      </c>
      <c r="F2212" s="56">
        <v>36</v>
      </c>
      <c r="G2212" s="73">
        <v>12</v>
      </c>
      <c r="H2212" s="74" t="s">
        <v>1981</v>
      </c>
      <c r="I2212" s="59" t="s">
        <v>1982</v>
      </c>
      <c r="J2212" s="59" t="s">
        <v>1983</v>
      </c>
      <c r="K2212" s="69">
        <v>5403</v>
      </c>
      <c r="L2212" s="56">
        <v>207</v>
      </c>
      <c r="M2212" s="59" t="s">
        <v>26</v>
      </c>
      <c r="N2212" s="61">
        <v>0</v>
      </c>
      <c r="O2212" s="59" t="s">
        <v>313</v>
      </c>
      <c r="P2212" s="62">
        <v>0</v>
      </c>
      <c r="Q2212" s="63">
        <v>0</v>
      </c>
      <c r="R2212" s="62">
        <v>0</v>
      </c>
      <c r="S2212" s="61">
        <v>0</v>
      </c>
      <c r="T2212" s="62">
        <v>0</v>
      </c>
    </row>
    <row r="2213" spans="1:20" ht="11.1" customHeight="1" x14ac:dyDescent="0.25">
      <c r="O2213" s="59" t="s">
        <v>436</v>
      </c>
      <c r="P2213" s="62">
        <v>0</v>
      </c>
      <c r="Q2213" s="63">
        <v>0</v>
      </c>
      <c r="R2213" s="62">
        <v>0</v>
      </c>
      <c r="S2213" s="61">
        <v>0</v>
      </c>
      <c r="T2213" s="62">
        <v>0</v>
      </c>
    </row>
    <row r="2214" spans="1:20" ht="11.85" customHeight="1" x14ac:dyDescent="0.25">
      <c r="A2214" s="71" t="s">
        <v>620</v>
      </c>
      <c r="B2214" s="71"/>
      <c r="C2214" s="71"/>
      <c r="D2214" s="71"/>
      <c r="E2214" s="71"/>
      <c r="F2214" s="71"/>
      <c r="G2214" s="71"/>
      <c r="H2214" s="71"/>
    </row>
    <row r="2215" spans="1:20" ht="11.1" customHeight="1" x14ac:dyDescent="0.25">
      <c r="O2215" s="59" t="s">
        <v>313</v>
      </c>
      <c r="P2215" s="62">
        <v>14774.54</v>
      </c>
      <c r="R2215" s="62">
        <v>2954.93</v>
      </c>
      <c r="S2215" s="61">
        <v>0</v>
      </c>
      <c r="T2215" s="62">
        <v>102.7</v>
      </c>
    </row>
    <row r="2216" spans="1:20" ht="11.1" customHeight="1" x14ac:dyDescent="0.25">
      <c r="O2216" s="59" t="s">
        <v>436</v>
      </c>
      <c r="P2216" s="62">
        <v>1980.79</v>
      </c>
      <c r="R2216" s="62">
        <v>102.7</v>
      </c>
      <c r="S2216" s="61">
        <v>0</v>
      </c>
      <c r="T2216" s="62">
        <v>0</v>
      </c>
    </row>
    <row r="2217" spans="1:20" ht="11.1" customHeight="1" x14ac:dyDescent="0.25">
      <c r="A2217" s="56">
        <v>108616</v>
      </c>
      <c r="B2217" s="72">
        <v>46029</v>
      </c>
      <c r="C2217" s="68">
        <v>46029</v>
      </c>
      <c r="D2217" s="58" t="s">
        <v>1985</v>
      </c>
      <c r="E2217" s="59" t="s">
        <v>352</v>
      </c>
      <c r="F2217" s="56">
        <v>36</v>
      </c>
      <c r="G2217" s="73">
        <v>371</v>
      </c>
      <c r="H2217" s="74" t="s">
        <v>1986</v>
      </c>
      <c r="I2217" s="59" t="s">
        <v>1987</v>
      </c>
      <c r="J2217" s="59" t="s">
        <v>1988</v>
      </c>
      <c r="K2217" s="69">
        <v>5102</v>
      </c>
      <c r="L2217" s="56">
        <v>205</v>
      </c>
      <c r="M2217" s="59" t="s">
        <v>26</v>
      </c>
      <c r="N2217" s="61">
        <v>956.4</v>
      </c>
      <c r="O2217" s="59" t="s">
        <v>313</v>
      </c>
      <c r="P2217" s="62">
        <v>956.4</v>
      </c>
      <c r="Q2217" s="63">
        <v>20</v>
      </c>
      <c r="R2217" s="62">
        <v>191.28</v>
      </c>
      <c r="S2217" s="61">
        <v>0</v>
      </c>
      <c r="T2217" s="62">
        <v>0</v>
      </c>
    </row>
    <row r="2218" spans="1:20" ht="11.1" customHeight="1" x14ac:dyDescent="0.25">
      <c r="A2218" s="56">
        <v>109199</v>
      </c>
      <c r="B2218" s="72">
        <v>46043</v>
      </c>
      <c r="C2218" s="68">
        <v>46043</v>
      </c>
      <c r="D2218" s="58" t="s">
        <v>1989</v>
      </c>
      <c r="E2218" s="59" t="s">
        <v>352</v>
      </c>
      <c r="F2218" s="56">
        <v>36</v>
      </c>
      <c r="G2218" s="73">
        <v>371</v>
      </c>
      <c r="H2218" s="74" t="s">
        <v>1986</v>
      </c>
      <c r="I2218" s="59" t="s">
        <v>1987</v>
      </c>
      <c r="J2218" s="59" t="s">
        <v>1988</v>
      </c>
      <c r="K2218" s="69">
        <v>5102</v>
      </c>
      <c r="L2218" s="56">
        <v>205</v>
      </c>
      <c r="M2218" s="59" t="s">
        <v>26</v>
      </c>
      <c r="N2218" s="61">
        <v>274.68</v>
      </c>
      <c r="O2218" s="59" t="s">
        <v>313</v>
      </c>
      <c r="P2218" s="62">
        <v>274.68</v>
      </c>
      <c r="Q2218" s="63">
        <v>20</v>
      </c>
      <c r="R2218" s="62">
        <v>54.94</v>
      </c>
      <c r="S2218" s="61">
        <v>0</v>
      </c>
      <c r="T2218" s="62">
        <v>0</v>
      </c>
    </row>
    <row r="2219" spans="1:20" ht="11.85" customHeight="1" x14ac:dyDescent="0.25">
      <c r="A2219" s="71" t="s">
        <v>620</v>
      </c>
      <c r="B2219" s="71"/>
      <c r="C2219" s="71"/>
      <c r="D2219" s="71"/>
      <c r="E2219" s="71"/>
      <c r="F2219" s="71"/>
      <c r="G2219" s="71"/>
      <c r="H2219" s="71"/>
    </row>
    <row r="2220" spans="1:20" ht="11.1" customHeight="1" x14ac:dyDescent="0.25">
      <c r="O2220" s="59" t="s">
        <v>313</v>
      </c>
      <c r="P2220" s="62">
        <v>1231.08</v>
      </c>
      <c r="R2220" s="62">
        <v>246.22</v>
      </c>
      <c r="S2220" s="61">
        <v>0</v>
      </c>
      <c r="T2220" s="62">
        <v>0</v>
      </c>
    </row>
    <row r="2221" spans="1:20" ht="11.1" customHeight="1" x14ac:dyDescent="0.25">
      <c r="A2221" s="56">
        <v>108761</v>
      </c>
      <c r="B2221" s="72">
        <v>46031</v>
      </c>
      <c r="C2221" s="68">
        <v>46031</v>
      </c>
      <c r="D2221" s="58" t="s">
        <v>1990</v>
      </c>
      <c r="E2221" s="59" t="s">
        <v>352</v>
      </c>
      <c r="F2221" s="56">
        <v>36</v>
      </c>
      <c r="G2221" s="73">
        <v>653</v>
      </c>
      <c r="H2221" s="74" t="s">
        <v>1991</v>
      </c>
      <c r="I2221" s="59" t="s">
        <v>1992</v>
      </c>
      <c r="J2221" s="59" t="s">
        <v>1993</v>
      </c>
      <c r="K2221" s="69">
        <v>5102</v>
      </c>
      <c r="L2221" s="56">
        <v>205</v>
      </c>
      <c r="M2221" s="59" t="s">
        <v>26</v>
      </c>
      <c r="N2221" s="61">
        <v>834.28</v>
      </c>
      <c r="O2221" s="59" t="s">
        <v>313</v>
      </c>
      <c r="P2221" s="62">
        <v>834.28</v>
      </c>
      <c r="Q2221" s="63">
        <v>20</v>
      </c>
      <c r="R2221" s="62">
        <v>166.85</v>
      </c>
      <c r="S2221" s="61">
        <v>0</v>
      </c>
      <c r="T2221" s="62">
        <v>0</v>
      </c>
    </row>
    <row r="2222" spans="1:20" ht="11.1" customHeight="1" x14ac:dyDescent="0.25">
      <c r="A2222" s="56">
        <v>108762</v>
      </c>
      <c r="B2222" s="72">
        <v>46031</v>
      </c>
      <c r="C2222" s="68">
        <v>46031</v>
      </c>
      <c r="D2222" s="58" t="s">
        <v>1990</v>
      </c>
      <c r="E2222" s="59" t="s">
        <v>352</v>
      </c>
      <c r="F2222" s="56">
        <v>36</v>
      </c>
      <c r="G2222" s="73">
        <v>653</v>
      </c>
      <c r="H2222" s="74" t="s">
        <v>1991</v>
      </c>
      <c r="I2222" s="59" t="s">
        <v>1992</v>
      </c>
      <c r="J2222" s="59" t="s">
        <v>1993</v>
      </c>
      <c r="K2222" s="69">
        <v>5403</v>
      </c>
      <c r="L2222" s="56">
        <v>207</v>
      </c>
      <c r="M2222" s="59" t="s">
        <v>26</v>
      </c>
      <c r="N2222" s="61">
        <v>327.69</v>
      </c>
      <c r="O2222" s="59" t="s">
        <v>313</v>
      </c>
      <c r="P2222" s="62">
        <v>306.26</v>
      </c>
      <c r="Q2222" s="63">
        <v>20</v>
      </c>
      <c r="R2222" s="62">
        <v>61.25</v>
      </c>
      <c r="S2222" s="61">
        <v>0</v>
      </c>
      <c r="T2222" s="62">
        <v>21.43</v>
      </c>
    </row>
    <row r="2223" spans="1:20" ht="11.1" customHeight="1" x14ac:dyDescent="0.25">
      <c r="O2223" s="59" t="s">
        <v>436</v>
      </c>
      <c r="P2223" s="62">
        <v>413.46</v>
      </c>
      <c r="Q2223" s="63">
        <v>20</v>
      </c>
      <c r="R2223" s="62">
        <v>21.43</v>
      </c>
      <c r="S2223" s="61">
        <v>0</v>
      </c>
      <c r="T2223" s="62">
        <v>0</v>
      </c>
    </row>
    <row r="2224" spans="1:20" ht="11.1" customHeight="1" x14ac:dyDescent="0.25">
      <c r="A2224" s="56">
        <v>109253</v>
      </c>
      <c r="B2224" s="72">
        <v>46043</v>
      </c>
      <c r="C2224" s="68">
        <v>46043</v>
      </c>
      <c r="D2224" s="58" t="s">
        <v>1994</v>
      </c>
      <c r="E2224" s="59" t="s">
        <v>352</v>
      </c>
      <c r="F2224" s="56">
        <v>36</v>
      </c>
      <c r="G2224" s="73">
        <v>653</v>
      </c>
      <c r="H2224" s="74" t="s">
        <v>1991</v>
      </c>
      <c r="I2224" s="59" t="s">
        <v>1992</v>
      </c>
      <c r="J2224" s="59" t="s">
        <v>1993</v>
      </c>
      <c r="K2224" s="69">
        <v>5102</v>
      </c>
      <c r="L2224" s="56">
        <v>205</v>
      </c>
      <c r="M2224" s="59" t="s">
        <v>26</v>
      </c>
      <c r="N2224" s="61">
        <v>813.06</v>
      </c>
      <c r="O2224" s="59" t="s">
        <v>313</v>
      </c>
      <c r="P2224" s="62">
        <v>813.06</v>
      </c>
      <c r="Q2224" s="63">
        <v>20</v>
      </c>
      <c r="R2224" s="62">
        <v>162.62</v>
      </c>
      <c r="S2224" s="61">
        <v>0</v>
      </c>
      <c r="T2224" s="62">
        <v>0</v>
      </c>
    </row>
    <row r="2225" spans="1:20" ht="11.1" customHeight="1" x14ac:dyDescent="0.25">
      <c r="A2225" s="56">
        <v>109254</v>
      </c>
      <c r="B2225" s="72">
        <v>46043</v>
      </c>
      <c r="C2225" s="68">
        <v>46043</v>
      </c>
      <c r="D2225" s="58" t="s">
        <v>1994</v>
      </c>
      <c r="E2225" s="59" t="s">
        <v>352</v>
      </c>
      <c r="F2225" s="56">
        <v>36</v>
      </c>
      <c r="G2225" s="73">
        <v>653</v>
      </c>
      <c r="H2225" s="74" t="s">
        <v>1991</v>
      </c>
      <c r="I2225" s="59" t="s">
        <v>1992</v>
      </c>
      <c r="J2225" s="59" t="s">
        <v>1993</v>
      </c>
      <c r="K2225" s="69">
        <v>5403</v>
      </c>
      <c r="L2225" s="56">
        <v>207</v>
      </c>
      <c r="M2225" s="59" t="s">
        <v>26</v>
      </c>
      <c r="N2225" s="61">
        <v>624.89</v>
      </c>
      <c r="O2225" s="59" t="s">
        <v>313</v>
      </c>
      <c r="P2225" s="62">
        <v>584.01</v>
      </c>
      <c r="Q2225" s="63">
        <v>20</v>
      </c>
      <c r="R2225" s="62">
        <v>116.8</v>
      </c>
      <c r="S2225" s="61">
        <v>0</v>
      </c>
      <c r="T2225" s="62">
        <v>40.880000000000003</v>
      </c>
    </row>
    <row r="2226" spans="1:20" ht="11.1" customHeight="1" x14ac:dyDescent="0.25">
      <c r="O2226" s="59" t="s">
        <v>436</v>
      </c>
      <c r="P2226" s="62">
        <v>788.41</v>
      </c>
      <c r="Q2226" s="63">
        <v>20</v>
      </c>
      <c r="R2226" s="62">
        <v>40.880000000000003</v>
      </c>
      <c r="S2226" s="61">
        <v>0</v>
      </c>
      <c r="T2226" s="62">
        <v>0</v>
      </c>
    </row>
    <row r="2227" spans="1:20" ht="11.85" customHeight="1" x14ac:dyDescent="0.25">
      <c r="A2227" s="71" t="s">
        <v>620</v>
      </c>
      <c r="B2227" s="71"/>
      <c r="C2227" s="71"/>
      <c r="D2227" s="71"/>
      <c r="E2227" s="71"/>
      <c r="F2227" s="71"/>
      <c r="G2227" s="71"/>
      <c r="H2227" s="71"/>
    </row>
    <row r="2228" spans="1:20" ht="11.1" customHeight="1" x14ac:dyDescent="0.25">
      <c r="O2228" s="59" t="s">
        <v>313</v>
      </c>
      <c r="P2228" s="62">
        <v>2537.61</v>
      </c>
      <c r="R2228" s="62">
        <v>507.52</v>
      </c>
      <c r="S2228" s="61">
        <v>0</v>
      </c>
      <c r="T2228" s="62">
        <v>62.31</v>
      </c>
    </row>
    <row r="2229" spans="1:20" ht="11.1" customHeight="1" x14ac:dyDescent="0.25">
      <c r="O2229" s="59" t="s">
        <v>436</v>
      </c>
      <c r="P2229" s="62">
        <v>1201.8699999999999</v>
      </c>
      <c r="R2229" s="62">
        <v>62.31</v>
      </c>
      <c r="S2229" s="61">
        <v>0</v>
      </c>
      <c r="T2229" s="62">
        <v>0</v>
      </c>
    </row>
    <row r="2230" spans="1:20" ht="11.1" customHeight="1" x14ac:dyDescent="0.25">
      <c r="A2230" s="56">
        <v>109313</v>
      </c>
      <c r="B2230" s="72">
        <v>46044</v>
      </c>
      <c r="C2230" s="68">
        <v>46044</v>
      </c>
      <c r="D2230" s="58" t="s">
        <v>1995</v>
      </c>
      <c r="E2230" s="59" t="s">
        <v>352</v>
      </c>
      <c r="F2230" s="56">
        <v>36</v>
      </c>
      <c r="G2230" s="73">
        <v>523</v>
      </c>
      <c r="H2230" s="74" t="s">
        <v>1996</v>
      </c>
      <c r="I2230" s="59" t="s">
        <v>1997</v>
      </c>
      <c r="J2230" s="59" t="s">
        <v>1998</v>
      </c>
      <c r="K2230" s="69">
        <v>6403</v>
      </c>
      <c r="L2230" s="56">
        <v>207</v>
      </c>
      <c r="M2230" s="59" t="s">
        <v>34</v>
      </c>
      <c r="N2230" s="61">
        <v>720.21</v>
      </c>
      <c r="O2230" s="59" t="s">
        <v>313</v>
      </c>
      <c r="P2230" s="62">
        <v>625.20000000000005</v>
      </c>
      <c r="Q2230" s="63">
        <v>12</v>
      </c>
      <c r="R2230" s="62">
        <v>75.02</v>
      </c>
      <c r="S2230" s="61">
        <v>0</v>
      </c>
      <c r="T2230" s="62">
        <v>95.01</v>
      </c>
    </row>
    <row r="2231" spans="1:20" ht="11.1" customHeight="1" x14ac:dyDescent="0.25">
      <c r="O2231" s="59" t="s">
        <v>436</v>
      </c>
      <c r="P2231" s="62">
        <v>894.91</v>
      </c>
      <c r="Q2231" s="63">
        <v>19</v>
      </c>
      <c r="R2231" s="62">
        <v>95.01</v>
      </c>
      <c r="S2231" s="61">
        <v>0</v>
      </c>
      <c r="T2231" s="62">
        <v>0</v>
      </c>
    </row>
    <row r="2232" spans="1:20" ht="11.1" customHeight="1" x14ac:dyDescent="0.25">
      <c r="A2232" s="56">
        <v>109314</v>
      </c>
      <c r="B2232" s="72">
        <v>46044</v>
      </c>
      <c r="C2232" s="68">
        <v>46044</v>
      </c>
      <c r="D2232" s="58" t="s">
        <v>1995</v>
      </c>
      <c r="E2232" s="59" t="s">
        <v>352</v>
      </c>
      <c r="F2232" s="56">
        <v>36</v>
      </c>
      <c r="G2232" s="73">
        <v>523</v>
      </c>
      <c r="H2232" s="74" t="s">
        <v>1996</v>
      </c>
      <c r="I2232" s="59" t="s">
        <v>1997</v>
      </c>
      <c r="J2232" s="59" t="s">
        <v>1998</v>
      </c>
      <c r="K2232" s="69">
        <v>6102</v>
      </c>
      <c r="L2232" s="56">
        <v>238</v>
      </c>
      <c r="M2232" s="59" t="s">
        <v>34</v>
      </c>
      <c r="N2232" s="61">
        <v>289.5</v>
      </c>
      <c r="O2232" s="59" t="s">
        <v>313</v>
      </c>
      <c r="P2232" s="62">
        <v>289.5</v>
      </c>
      <c r="Q2232" s="63">
        <v>12</v>
      </c>
      <c r="R2232" s="62">
        <v>34.74</v>
      </c>
      <c r="S2232" s="61">
        <v>0</v>
      </c>
      <c r="T2232" s="62">
        <v>0</v>
      </c>
    </row>
    <row r="2233" spans="1:20" ht="11.85" customHeight="1" x14ac:dyDescent="0.25">
      <c r="A2233" s="71" t="s">
        <v>620</v>
      </c>
      <c r="B2233" s="71"/>
      <c r="C2233" s="71"/>
      <c r="D2233" s="71"/>
      <c r="E2233" s="71"/>
      <c r="F2233" s="71"/>
      <c r="G2233" s="71"/>
      <c r="H2233" s="71"/>
    </row>
    <row r="2234" spans="1:20" ht="11.1" customHeight="1" x14ac:dyDescent="0.25">
      <c r="O2234" s="59" t="s">
        <v>313</v>
      </c>
      <c r="P2234" s="62">
        <v>914.7</v>
      </c>
      <c r="R2234" s="62">
        <v>109.76</v>
      </c>
      <c r="S2234" s="61">
        <v>0</v>
      </c>
      <c r="T2234" s="62">
        <v>95.01</v>
      </c>
    </row>
    <row r="2235" spans="1:20" ht="11.1" customHeight="1" x14ac:dyDescent="0.25">
      <c r="O2235" s="59" t="s">
        <v>436</v>
      </c>
      <c r="P2235" s="62">
        <v>894.91</v>
      </c>
      <c r="R2235" s="62">
        <v>95.01</v>
      </c>
      <c r="S2235" s="61">
        <v>0</v>
      </c>
      <c r="T2235" s="62">
        <v>0</v>
      </c>
    </row>
    <row r="2236" spans="1:20" ht="11.1" customHeight="1" x14ac:dyDescent="0.25">
      <c r="A2236" s="56">
        <v>108559</v>
      </c>
      <c r="B2236" s="72">
        <v>46029</v>
      </c>
      <c r="C2236" s="68">
        <v>46029</v>
      </c>
      <c r="D2236" s="58" t="s">
        <v>1999</v>
      </c>
      <c r="E2236" s="59" t="s">
        <v>352</v>
      </c>
      <c r="F2236" s="56">
        <v>36</v>
      </c>
      <c r="G2236" s="73">
        <v>86</v>
      </c>
      <c r="H2236" s="74" t="s">
        <v>2000</v>
      </c>
      <c r="I2236" s="59" t="s">
        <v>2001</v>
      </c>
      <c r="J2236" s="59" t="s">
        <v>2002</v>
      </c>
      <c r="K2236" s="69">
        <v>5102</v>
      </c>
      <c r="L2236" s="56">
        <v>205</v>
      </c>
      <c r="M2236" s="59" t="s">
        <v>26</v>
      </c>
      <c r="N2236" s="61">
        <v>1517.97</v>
      </c>
      <c r="O2236" s="59" t="s">
        <v>313</v>
      </c>
      <c r="P2236" s="62">
        <v>1517.97</v>
      </c>
      <c r="Q2236" s="63">
        <v>20</v>
      </c>
      <c r="R2236" s="62">
        <v>303.58999999999997</v>
      </c>
      <c r="S2236" s="61">
        <v>0</v>
      </c>
      <c r="T2236" s="62">
        <v>0</v>
      </c>
    </row>
    <row r="2237" spans="1:20" ht="11.1" customHeight="1" x14ac:dyDescent="0.25">
      <c r="A2237" s="56">
        <v>108560</v>
      </c>
      <c r="B2237" s="72">
        <v>46029</v>
      </c>
      <c r="C2237" s="68">
        <v>46029</v>
      </c>
      <c r="D2237" s="58" t="s">
        <v>1999</v>
      </c>
      <c r="E2237" s="59" t="s">
        <v>352</v>
      </c>
      <c r="F2237" s="56">
        <v>36</v>
      </c>
      <c r="G2237" s="73">
        <v>86</v>
      </c>
      <c r="H2237" s="74" t="s">
        <v>2000</v>
      </c>
      <c r="I2237" s="59" t="s">
        <v>2001</v>
      </c>
      <c r="J2237" s="59" t="s">
        <v>2002</v>
      </c>
      <c r="K2237" s="69">
        <v>5403</v>
      </c>
      <c r="L2237" s="56">
        <v>207</v>
      </c>
      <c r="M2237" s="59" t="s">
        <v>26</v>
      </c>
      <c r="N2237" s="61">
        <v>1044.2</v>
      </c>
      <c r="O2237" s="59" t="s">
        <v>313</v>
      </c>
      <c r="P2237" s="62">
        <v>975.9</v>
      </c>
      <c r="Q2237" s="63">
        <v>20</v>
      </c>
      <c r="R2237" s="62">
        <v>195.17</v>
      </c>
      <c r="S2237" s="61">
        <v>0</v>
      </c>
      <c r="T2237" s="62">
        <v>68.3</v>
      </c>
    </row>
    <row r="2238" spans="1:20" ht="11.1" customHeight="1" x14ac:dyDescent="0.25">
      <c r="O2238" s="59" t="s">
        <v>436</v>
      </c>
      <c r="P2238" s="62">
        <v>1317.46</v>
      </c>
      <c r="Q2238" s="63">
        <v>20</v>
      </c>
      <c r="R2238" s="62">
        <v>68.3</v>
      </c>
      <c r="S2238" s="61">
        <v>0</v>
      </c>
      <c r="T2238" s="62">
        <v>0</v>
      </c>
    </row>
    <row r="2239" spans="1:20" ht="11.1" customHeight="1" x14ac:dyDescent="0.25">
      <c r="A2239" s="56">
        <v>108817</v>
      </c>
      <c r="B2239" s="72">
        <v>46035</v>
      </c>
      <c r="C2239" s="68">
        <v>46035</v>
      </c>
      <c r="D2239" s="58" t="s">
        <v>2003</v>
      </c>
      <c r="E2239" s="59" t="s">
        <v>352</v>
      </c>
      <c r="F2239" s="56">
        <v>36</v>
      </c>
      <c r="G2239" s="73">
        <v>86</v>
      </c>
      <c r="H2239" s="74" t="s">
        <v>2000</v>
      </c>
      <c r="I2239" s="59" t="s">
        <v>2001</v>
      </c>
      <c r="J2239" s="59" t="s">
        <v>2002</v>
      </c>
      <c r="K2239" s="69">
        <v>5102</v>
      </c>
      <c r="L2239" s="56">
        <v>205</v>
      </c>
      <c r="M2239" s="59" t="s">
        <v>26</v>
      </c>
      <c r="N2239" s="61">
        <v>2239.09</v>
      </c>
      <c r="O2239" s="59" t="s">
        <v>313</v>
      </c>
      <c r="P2239" s="62">
        <v>2239.09</v>
      </c>
      <c r="Q2239" s="63">
        <v>20</v>
      </c>
      <c r="R2239" s="62">
        <v>447.81</v>
      </c>
      <c r="S2239" s="61">
        <v>0</v>
      </c>
      <c r="T2239" s="62">
        <v>0</v>
      </c>
    </row>
    <row r="2240" spans="1:20" ht="11.1" customHeight="1" x14ac:dyDescent="0.25">
      <c r="A2240" s="56">
        <v>108818</v>
      </c>
      <c r="B2240" s="72">
        <v>46035</v>
      </c>
      <c r="C2240" s="68">
        <v>46035</v>
      </c>
      <c r="D2240" s="58" t="s">
        <v>2003</v>
      </c>
      <c r="E2240" s="59" t="s">
        <v>352</v>
      </c>
      <c r="F2240" s="56">
        <v>36</v>
      </c>
      <c r="G2240" s="73">
        <v>86</v>
      </c>
      <c r="H2240" s="74" t="s">
        <v>2000</v>
      </c>
      <c r="I2240" s="59" t="s">
        <v>2001</v>
      </c>
      <c r="J2240" s="59" t="s">
        <v>2002</v>
      </c>
      <c r="K2240" s="69">
        <v>5403</v>
      </c>
      <c r="L2240" s="56">
        <v>207</v>
      </c>
      <c r="M2240" s="59" t="s">
        <v>26</v>
      </c>
      <c r="N2240" s="61">
        <v>901.15</v>
      </c>
      <c r="O2240" s="59" t="s">
        <v>313</v>
      </c>
      <c r="P2240" s="62">
        <v>842.2</v>
      </c>
      <c r="Q2240" s="63">
        <v>20</v>
      </c>
      <c r="R2240" s="62">
        <v>168.44</v>
      </c>
      <c r="S2240" s="61">
        <v>0</v>
      </c>
      <c r="T2240" s="62">
        <v>58.95</v>
      </c>
    </row>
    <row r="2241" spans="1:20" ht="11.1" customHeight="1" x14ac:dyDescent="0.25">
      <c r="O2241" s="59" t="s">
        <v>436</v>
      </c>
      <c r="P2241" s="62">
        <v>1136.98</v>
      </c>
      <c r="Q2241" s="63">
        <v>20</v>
      </c>
      <c r="R2241" s="62">
        <v>58.95</v>
      </c>
      <c r="S2241" s="61">
        <v>0</v>
      </c>
      <c r="T2241" s="62">
        <v>0</v>
      </c>
    </row>
    <row r="2242" spans="1:20" ht="11.1" customHeight="1" x14ac:dyDescent="0.25">
      <c r="A2242" s="56">
        <v>109475</v>
      </c>
      <c r="B2242" s="72">
        <v>46049</v>
      </c>
      <c r="C2242" s="68">
        <v>46049</v>
      </c>
      <c r="D2242" s="58" t="s">
        <v>2004</v>
      </c>
      <c r="E2242" s="59" t="s">
        <v>352</v>
      </c>
      <c r="F2242" s="56">
        <v>36</v>
      </c>
      <c r="G2242" s="73">
        <v>86</v>
      </c>
      <c r="H2242" s="74" t="s">
        <v>2000</v>
      </c>
      <c r="I2242" s="59" t="s">
        <v>2001</v>
      </c>
      <c r="J2242" s="59" t="s">
        <v>2002</v>
      </c>
      <c r="K2242" s="69">
        <v>5102</v>
      </c>
      <c r="L2242" s="56">
        <v>205</v>
      </c>
      <c r="M2242" s="59" t="s">
        <v>26</v>
      </c>
      <c r="N2242" s="61">
        <v>2295.0100000000002</v>
      </c>
      <c r="O2242" s="59" t="s">
        <v>313</v>
      </c>
      <c r="P2242" s="62">
        <v>2295.0100000000002</v>
      </c>
      <c r="Q2242" s="63">
        <v>20</v>
      </c>
      <c r="R2242" s="62">
        <v>459.02</v>
      </c>
      <c r="S2242" s="61">
        <v>0</v>
      </c>
      <c r="T2242" s="62">
        <v>0</v>
      </c>
    </row>
    <row r="2243" spans="1:20" ht="11.1" customHeight="1" x14ac:dyDescent="0.25">
      <c r="A2243" s="56">
        <v>109476</v>
      </c>
      <c r="B2243" s="72">
        <v>46049</v>
      </c>
      <c r="C2243" s="68">
        <v>46049</v>
      </c>
      <c r="D2243" s="58" t="s">
        <v>2004</v>
      </c>
      <c r="E2243" s="59" t="s">
        <v>352</v>
      </c>
      <c r="F2243" s="56">
        <v>36</v>
      </c>
      <c r="G2243" s="73">
        <v>86</v>
      </c>
      <c r="H2243" s="74" t="s">
        <v>2000</v>
      </c>
      <c r="I2243" s="59" t="s">
        <v>2001</v>
      </c>
      <c r="J2243" s="59" t="s">
        <v>2002</v>
      </c>
      <c r="K2243" s="69">
        <v>5403</v>
      </c>
      <c r="L2243" s="56">
        <v>207</v>
      </c>
      <c r="M2243" s="59" t="s">
        <v>26</v>
      </c>
      <c r="N2243" s="61">
        <v>1232.3599999999999</v>
      </c>
      <c r="O2243" s="59" t="s">
        <v>313</v>
      </c>
      <c r="P2243" s="62">
        <v>1151.75</v>
      </c>
      <c r="Q2243" s="63">
        <v>20</v>
      </c>
      <c r="R2243" s="62">
        <v>230.36</v>
      </c>
      <c r="S2243" s="61">
        <v>0</v>
      </c>
      <c r="T2243" s="62">
        <v>80.61</v>
      </c>
    </row>
    <row r="2244" spans="1:20" ht="11.1" customHeight="1" x14ac:dyDescent="0.25">
      <c r="O2244" s="59" t="s">
        <v>436</v>
      </c>
      <c r="P2244" s="62">
        <v>1554.87</v>
      </c>
      <c r="Q2244" s="63">
        <v>20</v>
      </c>
      <c r="R2244" s="62">
        <v>80.61</v>
      </c>
      <c r="S2244" s="61">
        <v>0</v>
      </c>
      <c r="T2244" s="62">
        <v>0</v>
      </c>
    </row>
    <row r="2245" spans="1:20" ht="11.85" customHeight="1" x14ac:dyDescent="0.25">
      <c r="A2245" s="71" t="s">
        <v>620</v>
      </c>
      <c r="B2245" s="71"/>
      <c r="C2245" s="71"/>
      <c r="D2245" s="71"/>
      <c r="E2245" s="71"/>
      <c r="F2245" s="71"/>
      <c r="G2245" s="71"/>
      <c r="H2245" s="71"/>
    </row>
    <row r="2246" spans="1:20" ht="11.1" customHeight="1" x14ac:dyDescent="0.25">
      <c r="O2246" s="59" t="s">
        <v>313</v>
      </c>
      <c r="P2246" s="62">
        <v>9021.92</v>
      </c>
      <c r="R2246" s="62">
        <v>1804.39</v>
      </c>
      <c r="S2246" s="61">
        <v>0</v>
      </c>
      <c r="T2246" s="62">
        <v>207.86</v>
      </c>
    </row>
    <row r="2247" spans="1:20" ht="11.1" customHeight="1" x14ac:dyDescent="0.25">
      <c r="O2247" s="59" t="s">
        <v>436</v>
      </c>
      <c r="P2247" s="62">
        <v>4009.31</v>
      </c>
      <c r="R2247" s="62">
        <v>207.86</v>
      </c>
      <c r="S2247" s="61">
        <v>0</v>
      </c>
      <c r="T2247" s="62">
        <v>0</v>
      </c>
    </row>
    <row r="2248" spans="1:20" ht="11.1" customHeight="1" x14ac:dyDescent="0.25">
      <c r="A2248" s="56">
        <v>108831</v>
      </c>
      <c r="B2248" s="72">
        <v>46035</v>
      </c>
      <c r="C2248" s="68">
        <v>46035</v>
      </c>
      <c r="D2248" s="58" t="s">
        <v>2005</v>
      </c>
      <c r="E2248" s="59" t="s">
        <v>352</v>
      </c>
      <c r="F2248" s="56">
        <v>36</v>
      </c>
      <c r="G2248" s="73">
        <v>849</v>
      </c>
      <c r="H2248" s="74" t="s">
        <v>2006</v>
      </c>
      <c r="I2248" s="59" t="s">
        <v>2007</v>
      </c>
      <c r="J2248" s="59" t="s">
        <v>2008</v>
      </c>
      <c r="K2248" s="69">
        <v>5403</v>
      </c>
      <c r="L2248" s="56">
        <v>207</v>
      </c>
      <c r="M2248" s="59" t="s">
        <v>26</v>
      </c>
      <c r="N2248" s="61">
        <v>179.65</v>
      </c>
      <c r="O2248" s="59" t="s">
        <v>313</v>
      </c>
      <c r="P2248" s="62">
        <v>167.9</v>
      </c>
      <c r="Q2248" s="63">
        <v>20</v>
      </c>
      <c r="R2248" s="62">
        <v>33.58</v>
      </c>
      <c r="S2248" s="61">
        <v>0</v>
      </c>
      <c r="T2248" s="62">
        <v>11.75</v>
      </c>
    </row>
    <row r="2249" spans="1:20" ht="11.1" customHeight="1" x14ac:dyDescent="0.25">
      <c r="O2249" s="59" t="s">
        <v>436</v>
      </c>
      <c r="P2249" s="62">
        <v>226.67</v>
      </c>
      <c r="Q2249" s="63">
        <v>20</v>
      </c>
      <c r="R2249" s="62">
        <v>11.75</v>
      </c>
      <c r="S2249" s="61">
        <v>0</v>
      </c>
      <c r="T2249" s="62">
        <v>0</v>
      </c>
    </row>
    <row r="2250" spans="1:20" ht="11.1" customHeight="1" x14ac:dyDescent="0.25">
      <c r="A2250" s="56">
        <v>108876</v>
      </c>
      <c r="B2250" s="72">
        <v>46035</v>
      </c>
      <c r="C2250" s="68">
        <v>46035</v>
      </c>
      <c r="D2250" s="58" t="s">
        <v>2009</v>
      </c>
      <c r="E2250" s="59" t="s">
        <v>352</v>
      </c>
      <c r="F2250" s="56">
        <v>36</v>
      </c>
      <c r="G2250" s="73">
        <v>849</v>
      </c>
      <c r="H2250" s="74" t="s">
        <v>2006</v>
      </c>
      <c r="I2250" s="59" t="s">
        <v>2007</v>
      </c>
      <c r="J2250" s="59" t="s">
        <v>2008</v>
      </c>
      <c r="K2250" s="69">
        <v>5102</v>
      </c>
      <c r="L2250" s="56">
        <v>205</v>
      </c>
      <c r="M2250" s="59" t="s">
        <v>26</v>
      </c>
      <c r="N2250" s="61">
        <v>13.89</v>
      </c>
      <c r="O2250" s="59" t="s">
        <v>313</v>
      </c>
      <c r="P2250" s="62">
        <v>13.89</v>
      </c>
      <c r="Q2250" s="63">
        <v>20</v>
      </c>
      <c r="R2250" s="62">
        <v>2.78</v>
      </c>
      <c r="S2250" s="61">
        <v>0</v>
      </c>
      <c r="T2250" s="62">
        <v>0</v>
      </c>
    </row>
    <row r="2251" spans="1:20" ht="11.1" customHeight="1" x14ac:dyDescent="0.25">
      <c r="A2251" s="56">
        <v>108877</v>
      </c>
      <c r="B2251" s="72">
        <v>46035</v>
      </c>
      <c r="C2251" s="68">
        <v>46035</v>
      </c>
      <c r="D2251" s="58" t="s">
        <v>2009</v>
      </c>
      <c r="E2251" s="59" t="s">
        <v>352</v>
      </c>
      <c r="F2251" s="56">
        <v>36</v>
      </c>
      <c r="G2251" s="73">
        <v>849</v>
      </c>
      <c r="H2251" s="74" t="s">
        <v>2006</v>
      </c>
      <c r="I2251" s="59" t="s">
        <v>2007</v>
      </c>
      <c r="J2251" s="59" t="s">
        <v>2008</v>
      </c>
      <c r="K2251" s="69">
        <v>5403</v>
      </c>
      <c r="L2251" s="56">
        <v>207</v>
      </c>
      <c r="M2251" s="59" t="s">
        <v>26</v>
      </c>
      <c r="N2251" s="61">
        <v>35.93</v>
      </c>
      <c r="O2251" s="59" t="s">
        <v>313</v>
      </c>
      <c r="P2251" s="62">
        <v>33.58</v>
      </c>
      <c r="Q2251" s="63">
        <v>20</v>
      </c>
      <c r="R2251" s="62">
        <v>6.72</v>
      </c>
      <c r="S2251" s="61">
        <v>0</v>
      </c>
      <c r="T2251" s="62">
        <v>2.35</v>
      </c>
    </row>
    <row r="2252" spans="1:20" ht="11.1" customHeight="1" x14ac:dyDescent="0.25">
      <c r="O2252" s="59" t="s">
        <v>436</v>
      </c>
      <c r="P2252" s="62">
        <v>45.33</v>
      </c>
      <c r="Q2252" s="63">
        <v>20</v>
      </c>
      <c r="R2252" s="62">
        <v>2.35</v>
      </c>
      <c r="S2252" s="61">
        <v>0</v>
      </c>
      <c r="T2252" s="62">
        <v>0</v>
      </c>
    </row>
    <row r="2253" spans="1:20" ht="11.85" customHeight="1" x14ac:dyDescent="0.25">
      <c r="A2253" s="71" t="s">
        <v>620</v>
      </c>
      <c r="B2253" s="71"/>
      <c r="C2253" s="71"/>
      <c r="D2253" s="71"/>
      <c r="E2253" s="71"/>
      <c r="F2253" s="71"/>
      <c r="G2253" s="71"/>
      <c r="H2253" s="71"/>
    </row>
    <row r="2254" spans="1:20" ht="11.1" customHeight="1" x14ac:dyDescent="0.25">
      <c r="O2254" s="59" t="s">
        <v>313</v>
      </c>
      <c r="P2254" s="62">
        <v>215.37</v>
      </c>
      <c r="R2254" s="62">
        <v>43.08</v>
      </c>
      <c r="S2254" s="61">
        <v>0</v>
      </c>
      <c r="T2254" s="62">
        <v>14.1</v>
      </c>
    </row>
    <row r="2255" spans="1:20" ht="11.1" customHeight="1" x14ac:dyDescent="0.25">
      <c r="O2255" s="59" t="s">
        <v>436</v>
      </c>
      <c r="P2255" s="62">
        <v>272</v>
      </c>
      <c r="R2255" s="62">
        <v>14.1</v>
      </c>
      <c r="S2255" s="61">
        <v>0</v>
      </c>
      <c r="T2255" s="62">
        <v>0</v>
      </c>
    </row>
    <row r="2256" spans="1:20" ht="11.1" customHeight="1" x14ac:dyDescent="0.25">
      <c r="A2256" s="56">
        <v>109580</v>
      </c>
      <c r="B2256" s="72">
        <v>46050</v>
      </c>
      <c r="C2256" s="68">
        <v>46050</v>
      </c>
      <c r="D2256" s="58" t="s">
        <v>2010</v>
      </c>
      <c r="E2256" s="59" t="s">
        <v>352</v>
      </c>
      <c r="F2256" s="56">
        <v>36</v>
      </c>
      <c r="G2256" s="73">
        <v>784</v>
      </c>
      <c r="H2256" s="74" t="s">
        <v>2011</v>
      </c>
      <c r="I2256" s="59" t="s">
        <v>2012</v>
      </c>
      <c r="J2256" s="59" t="s">
        <v>2013</v>
      </c>
      <c r="K2256" s="69">
        <v>5102</v>
      </c>
      <c r="L2256" s="56">
        <v>205</v>
      </c>
      <c r="M2256" s="59" t="s">
        <v>26</v>
      </c>
      <c r="N2256" s="61">
        <v>1956.48</v>
      </c>
      <c r="O2256" s="59" t="s">
        <v>313</v>
      </c>
      <c r="P2256" s="62">
        <v>1956.48</v>
      </c>
      <c r="Q2256" s="63">
        <v>20</v>
      </c>
      <c r="R2256" s="62">
        <v>391.3</v>
      </c>
      <c r="S2256" s="61">
        <v>0</v>
      </c>
      <c r="T2256" s="62">
        <v>0</v>
      </c>
    </row>
    <row r="2257" spans="1:20" ht="11.85" customHeight="1" x14ac:dyDescent="0.25">
      <c r="A2257" s="71" t="s">
        <v>620</v>
      </c>
      <c r="B2257" s="71"/>
      <c r="C2257" s="71"/>
      <c r="D2257" s="71"/>
      <c r="E2257" s="71"/>
      <c r="F2257" s="71"/>
      <c r="G2257" s="71"/>
      <c r="H2257" s="71"/>
    </row>
    <row r="2258" spans="1:20" ht="11.1" customHeight="1" x14ac:dyDescent="0.25">
      <c r="O2258" s="59" t="s">
        <v>313</v>
      </c>
      <c r="P2258" s="62">
        <v>1956.48</v>
      </c>
      <c r="R2258" s="62">
        <v>391.3</v>
      </c>
      <c r="S2258" s="61">
        <v>0</v>
      </c>
      <c r="T2258" s="62">
        <v>0</v>
      </c>
    </row>
    <row r="2259" spans="1:20" ht="11.1" customHeight="1" x14ac:dyDescent="0.25">
      <c r="A2259" s="56">
        <v>108984</v>
      </c>
      <c r="B2259" s="72">
        <v>46037</v>
      </c>
      <c r="C2259" s="68">
        <v>46037</v>
      </c>
      <c r="D2259" s="58" t="s">
        <v>2014</v>
      </c>
      <c r="E2259" s="59" t="s">
        <v>352</v>
      </c>
      <c r="F2259" s="56">
        <v>36</v>
      </c>
      <c r="G2259" s="73">
        <v>243</v>
      </c>
      <c r="H2259" s="74" t="s">
        <v>2015</v>
      </c>
      <c r="I2259" s="59" t="s">
        <v>2016</v>
      </c>
      <c r="J2259" s="59" t="s">
        <v>2017</v>
      </c>
      <c r="K2259" s="69">
        <v>5403</v>
      </c>
      <c r="L2259" s="56">
        <v>207</v>
      </c>
      <c r="M2259" s="59" t="s">
        <v>26</v>
      </c>
      <c r="N2259" s="61">
        <v>190.57</v>
      </c>
      <c r="O2259" s="59" t="s">
        <v>313</v>
      </c>
      <c r="P2259" s="62">
        <v>178.1</v>
      </c>
      <c r="Q2259" s="63">
        <v>20</v>
      </c>
      <c r="R2259" s="62">
        <v>35.619999999999997</v>
      </c>
      <c r="S2259" s="61">
        <v>0</v>
      </c>
      <c r="T2259" s="62">
        <v>12.47</v>
      </c>
    </row>
    <row r="2260" spans="1:20" ht="11.1" customHeight="1" x14ac:dyDescent="0.25">
      <c r="O2260" s="59" t="s">
        <v>436</v>
      </c>
      <c r="P2260" s="62">
        <v>240.44</v>
      </c>
      <c r="Q2260" s="63">
        <v>20</v>
      </c>
      <c r="R2260" s="62">
        <v>12.47</v>
      </c>
      <c r="S2260" s="61">
        <v>0</v>
      </c>
      <c r="T2260" s="62">
        <v>0</v>
      </c>
    </row>
    <row r="2261" spans="1:20" ht="11.85" customHeight="1" x14ac:dyDescent="0.25">
      <c r="A2261" s="71" t="s">
        <v>620</v>
      </c>
      <c r="B2261" s="71"/>
      <c r="C2261" s="71"/>
      <c r="D2261" s="71"/>
      <c r="E2261" s="71"/>
      <c r="F2261" s="71"/>
      <c r="G2261" s="71"/>
      <c r="H2261" s="71"/>
    </row>
    <row r="2262" spans="1:20" ht="11.1" customHeight="1" x14ac:dyDescent="0.25">
      <c r="O2262" s="59" t="s">
        <v>313</v>
      </c>
      <c r="P2262" s="62">
        <v>178.1</v>
      </c>
      <c r="R2262" s="62">
        <v>35.619999999999997</v>
      </c>
      <c r="S2262" s="61">
        <v>0</v>
      </c>
      <c r="T2262" s="62">
        <v>12.47</v>
      </c>
    </row>
    <row r="2263" spans="1:20" ht="11.1" customHeight="1" x14ac:dyDescent="0.25">
      <c r="O2263" s="59" t="s">
        <v>436</v>
      </c>
      <c r="P2263" s="62">
        <v>240.44</v>
      </c>
      <c r="R2263" s="62">
        <v>12.47</v>
      </c>
      <c r="S2263" s="61">
        <v>0</v>
      </c>
      <c r="T2263" s="62">
        <v>0</v>
      </c>
    </row>
    <row r="2264" spans="1:20" ht="11.1" customHeight="1" x14ac:dyDescent="0.25">
      <c r="A2264" s="56">
        <v>108858</v>
      </c>
      <c r="B2264" s="72">
        <v>46035</v>
      </c>
      <c r="C2264" s="68">
        <v>46035</v>
      </c>
      <c r="D2264" s="58" t="s">
        <v>2018</v>
      </c>
      <c r="E2264" s="59" t="s">
        <v>352</v>
      </c>
      <c r="F2264" s="56">
        <v>36</v>
      </c>
      <c r="G2264" s="73">
        <v>269</v>
      </c>
      <c r="H2264" s="74" t="s">
        <v>2019</v>
      </c>
      <c r="I2264" s="59" t="s">
        <v>2020</v>
      </c>
      <c r="J2264" s="59" t="s">
        <v>2021</v>
      </c>
      <c r="K2264" s="69">
        <v>6102</v>
      </c>
      <c r="L2264" s="56">
        <v>238</v>
      </c>
      <c r="M2264" s="59" t="s">
        <v>38</v>
      </c>
      <c r="N2264" s="61">
        <v>1297.44</v>
      </c>
      <c r="O2264" s="59" t="s">
        <v>313</v>
      </c>
      <c r="P2264" s="62">
        <v>1297.44</v>
      </c>
      <c r="Q2264" s="63">
        <v>12</v>
      </c>
      <c r="R2264" s="62">
        <v>155.69</v>
      </c>
      <c r="S2264" s="61">
        <v>0</v>
      </c>
      <c r="T2264" s="62">
        <v>0</v>
      </c>
    </row>
    <row r="2265" spans="1:20" ht="11.85" customHeight="1" x14ac:dyDescent="0.25">
      <c r="A2265" s="71" t="s">
        <v>620</v>
      </c>
      <c r="B2265" s="71"/>
      <c r="C2265" s="71"/>
      <c r="D2265" s="71"/>
      <c r="E2265" s="71"/>
      <c r="F2265" s="71"/>
      <c r="G2265" s="71"/>
      <c r="H2265" s="71"/>
    </row>
    <row r="2266" spans="1:20" ht="11.1" customHeight="1" x14ac:dyDescent="0.25">
      <c r="O2266" s="59" t="s">
        <v>313</v>
      </c>
      <c r="P2266" s="62">
        <v>1297.44</v>
      </c>
      <c r="R2266" s="62">
        <v>155.69</v>
      </c>
      <c r="S2266" s="61">
        <v>0</v>
      </c>
      <c r="T2266" s="62">
        <v>0</v>
      </c>
    </row>
    <row r="2267" spans="1:20" ht="11.1" customHeight="1" x14ac:dyDescent="0.25">
      <c r="A2267" s="56">
        <v>109518</v>
      </c>
      <c r="B2267" s="72">
        <v>46049</v>
      </c>
      <c r="C2267" s="68">
        <v>46049</v>
      </c>
      <c r="D2267" s="58" t="s">
        <v>2022</v>
      </c>
      <c r="E2267" s="59" t="s">
        <v>352</v>
      </c>
      <c r="F2267" s="56">
        <v>36</v>
      </c>
      <c r="G2267" s="73">
        <v>472</v>
      </c>
      <c r="H2267" s="74" t="s">
        <v>2023</v>
      </c>
      <c r="I2267" s="59" t="s">
        <v>2024</v>
      </c>
      <c r="J2267" s="59" t="s">
        <v>2025</v>
      </c>
      <c r="K2267" s="69">
        <v>5102</v>
      </c>
      <c r="L2267" s="56">
        <v>205</v>
      </c>
      <c r="M2267" s="59" t="s">
        <v>26</v>
      </c>
      <c r="N2267" s="61">
        <v>227.56</v>
      </c>
      <c r="O2267" s="59" t="s">
        <v>313</v>
      </c>
      <c r="P2267" s="62">
        <v>227.56</v>
      </c>
      <c r="Q2267" s="63">
        <v>20</v>
      </c>
      <c r="R2267" s="62">
        <v>45.51</v>
      </c>
      <c r="S2267" s="61">
        <v>0</v>
      </c>
      <c r="T2267" s="62">
        <v>0</v>
      </c>
    </row>
    <row r="2268" spans="1:20" ht="11.85" customHeight="1" x14ac:dyDescent="0.25">
      <c r="A2268" s="71" t="s">
        <v>620</v>
      </c>
      <c r="B2268" s="71"/>
      <c r="C2268" s="71"/>
      <c r="D2268" s="71"/>
      <c r="E2268" s="71"/>
      <c r="F2268" s="71"/>
      <c r="G2268" s="71"/>
      <c r="H2268" s="71"/>
    </row>
    <row r="2269" spans="1:20" ht="11.1" customHeight="1" x14ac:dyDescent="0.25">
      <c r="O2269" s="59" t="s">
        <v>313</v>
      </c>
      <c r="P2269" s="62">
        <v>227.56</v>
      </c>
      <c r="R2269" s="62">
        <v>45.51</v>
      </c>
      <c r="S2269" s="61">
        <v>0</v>
      </c>
      <c r="T2269" s="62">
        <v>0</v>
      </c>
    </row>
    <row r="2270" spans="1:20" ht="11.1" customHeight="1" x14ac:dyDescent="0.25">
      <c r="A2270" s="56">
        <v>109414</v>
      </c>
      <c r="B2270" s="72">
        <v>46048</v>
      </c>
      <c r="C2270" s="68">
        <v>46048</v>
      </c>
      <c r="D2270" s="58" t="s">
        <v>2026</v>
      </c>
      <c r="E2270" s="59" t="s">
        <v>352</v>
      </c>
      <c r="F2270" s="56">
        <v>36</v>
      </c>
      <c r="G2270" s="73">
        <v>772</v>
      </c>
      <c r="H2270" s="74" t="s">
        <v>2027</v>
      </c>
      <c r="I2270" s="59" t="s">
        <v>2028</v>
      </c>
      <c r="J2270" s="59" t="s">
        <v>2029</v>
      </c>
      <c r="K2270" s="69">
        <v>5102</v>
      </c>
      <c r="L2270" s="56">
        <v>205</v>
      </c>
      <c r="M2270" s="59" t="s">
        <v>26</v>
      </c>
      <c r="N2270" s="61">
        <v>236.7</v>
      </c>
      <c r="O2270" s="59" t="s">
        <v>313</v>
      </c>
      <c r="P2270" s="62">
        <v>236.7</v>
      </c>
      <c r="Q2270" s="63">
        <v>20</v>
      </c>
      <c r="R2270" s="62">
        <v>47.34</v>
      </c>
      <c r="S2270" s="61">
        <v>0</v>
      </c>
      <c r="T2270" s="62">
        <v>0</v>
      </c>
    </row>
    <row r="2271" spans="1:20" ht="11.1" customHeight="1" x14ac:dyDescent="0.25">
      <c r="A2271" s="56">
        <v>109418</v>
      </c>
      <c r="B2271" s="72">
        <v>46048</v>
      </c>
      <c r="C2271" s="68">
        <v>46048</v>
      </c>
      <c r="D2271" s="58" t="s">
        <v>2030</v>
      </c>
      <c r="E2271" s="59" t="s">
        <v>352</v>
      </c>
      <c r="F2271" s="56">
        <v>36</v>
      </c>
      <c r="G2271" s="73">
        <v>772</v>
      </c>
      <c r="H2271" s="74" t="s">
        <v>2027</v>
      </c>
      <c r="I2271" s="59" t="s">
        <v>2028</v>
      </c>
      <c r="J2271" s="59" t="s">
        <v>2029</v>
      </c>
      <c r="K2271" s="69">
        <v>5102</v>
      </c>
      <c r="L2271" s="56">
        <v>205</v>
      </c>
      <c r="M2271" s="59" t="s">
        <v>26</v>
      </c>
      <c r="N2271" s="61">
        <v>10.7</v>
      </c>
      <c r="O2271" s="59" t="s">
        <v>313</v>
      </c>
      <c r="P2271" s="62">
        <v>10.7</v>
      </c>
      <c r="Q2271" s="63">
        <v>20</v>
      </c>
      <c r="R2271" s="62">
        <v>2.14</v>
      </c>
      <c r="S2271" s="61">
        <v>0</v>
      </c>
      <c r="T2271" s="62">
        <v>0</v>
      </c>
    </row>
    <row r="2272" spans="1:20" ht="11.1" customHeight="1" x14ac:dyDescent="0.25">
      <c r="A2272" s="56">
        <v>109419</v>
      </c>
      <c r="B2272" s="72">
        <v>46048</v>
      </c>
      <c r="C2272" s="68">
        <v>46048</v>
      </c>
      <c r="D2272" s="58" t="s">
        <v>2030</v>
      </c>
      <c r="E2272" s="59" t="s">
        <v>352</v>
      </c>
      <c r="F2272" s="56">
        <v>36</v>
      </c>
      <c r="G2272" s="73">
        <v>772</v>
      </c>
      <c r="H2272" s="74" t="s">
        <v>2027</v>
      </c>
      <c r="I2272" s="59" t="s">
        <v>2028</v>
      </c>
      <c r="J2272" s="59" t="s">
        <v>2029</v>
      </c>
      <c r="K2272" s="69">
        <v>5403</v>
      </c>
      <c r="L2272" s="56">
        <v>207</v>
      </c>
      <c r="M2272" s="59" t="s">
        <v>26</v>
      </c>
      <c r="N2272" s="61">
        <v>132.15</v>
      </c>
      <c r="O2272" s="59" t="s">
        <v>313</v>
      </c>
      <c r="P2272" s="62">
        <v>123.5</v>
      </c>
      <c r="Q2272" s="63">
        <v>20</v>
      </c>
      <c r="R2272" s="62">
        <v>24.7</v>
      </c>
      <c r="S2272" s="61">
        <v>0</v>
      </c>
      <c r="T2272" s="62">
        <v>8.65</v>
      </c>
    </row>
    <row r="2273" spans="1:20" ht="11.1" customHeight="1" x14ac:dyDescent="0.25">
      <c r="O2273" s="59" t="s">
        <v>436</v>
      </c>
      <c r="P2273" s="62">
        <v>166.73</v>
      </c>
      <c r="Q2273" s="63">
        <v>20</v>
      </c>
      <c r="R2273" s="62">
        <v>8.65</v>
      </c>
      <c r="S2273" s="61">
        <v>0</v>
      </c>
      <c r="T2273" s="62">
        <v>0</v>
      </c>
    </row>
    <row r="2274" spans="1:20" ht="11.85" customHeight="1" x14ac:dyDescent="0.25">
      <c r="A2274" s="71" t="s">
        <v>620</v>
      </c>
      <c r="B2274" s="71"/>
      <c r="C2274" s="71"/>
      <c r="D2274" s="71"/>
      <c r="E2274" s="71"/>
      <c r="F2274" s="71"/>
      <c r="G2274" s="71"/>
      <c r="H2274" s="71"/>
    </row>
    <row r="2275" spans="1:20" ht="11.1" customHeight="1" x14ac:dyDescent="0.25">
      <c r="O2275" s="59" t="s">
        <v>313</v>
      </c>
      <c r="P2275" s="62">
        <v>370.9</v>
      </c>
      <c r="R2275" s="62">
        <v>74.180000000000007</v>
      </c>
      <c r="S2275" s="61">
        <v>0</v>
      </c>
      <c r="T2275" s="62">
        <v>8.65</v>
      </c>
    </row>
    <row r="2276" spans="1:20" ht="11.1" customHeight="1" x14ac:dyDescent="0.25">
      <c r="O2276" s="59" t="s">
        <v>436</v>
      </c>
      <c r="P2276" s="62">
        <v>166.73</v>
      </c>
      <c r="R2276" s="62">
        <v>8.65</v>
      </c>
      <c r="S2276" s="61">
        <v>0</v>
      </c>
      <c r="T2276" s="62">
        <v>0</v>
      </c>
    </row>
    <row r="2277" spans="1:20" ht="11.1" customHeight="1" x14ac:dyDescent="0.25">
      <c r="A2277" s="56">
        <v>108619</v>
      </c>
      <c r="B2277" s="72">
        <v>46030</v>
      </c>
      <c r="C2277" s="68">
        <v>46030</v>
      </c>
      <c r="D2277" s="58" t="s">
        <v>2031</v>
      </c>
      <c r="E2277" s="59" t="s">
        <v>352</v>
      </c>
      <c r="F2277" s="56">
        <v>36</v>
      </c>
      <c r="G2277" s="73">
        <v>488</v>
      </c>
      <c r="H2277" s="74" t="s">
        <v>2032</v>
      </c>
      <c r="I2277" s="59" t="s">
        <v>2033</v>
      </c>
      <c r="J2277" s="59" t="s">
        <v>2034</v>
      </c>
      <c r="K2277" s="69">
        <v>5102</v>
      </c>
      <c r="L2277" s="56">
        <v>205</v>
      </c>
      <c r="M2277" s="59" t="s">
        <v>26</v>
      </c>
      <c r="N2277" s="61">
        <v>1255.83</v>
      </c>
      <c r="O2277" s="59" t="s">
        <v>313</v>
      </c>
      <c r="P2277" s="62">
        <v>1255.83</v>
      </c>
      <c r="Q2277" s="63">
        <v>20</v>
      </c>
      <c r="R2277" s="62">
        <v>251.16</v>
      </c>
      <c r="S2277" s="61">
        <v>0</v>
      </c>
      <c r="T2277" s="62">
        <v>0</v>
      </c>
    </row>
    <row r="2278" spans="1:20" ht="11.1" customHeight="1" x14ac:dyDescent="0.25">
      <c r="A2278" s="56">
        <v>108620</v>
      </c>
      <c r="B2278" s="72">
        <v>46030</v>
      </c>
      <c r="C2278" s="68">
        <v>46030</v>
      </c>
      <c r="D2278" s="58" t="s">
        <v>2031</v>
      </c>
      <c r="E2278" s="59" t="s">
        <v>352</v>
      </c>
      <c r="F2278" s="56">
        <v>36</v>
      </c>
      <c r="G2278" s="73">
        <v>488</v>
      </c>
      <c r="H2278" s="74" t="s">
        <v>2032</v>
      </c>
      <c r="I2278" s="59" t="s">
        <v>2033</v>
      </c>
      <c r="J2278" s="59" t="s">
        <v>2034</v>
      </c>
      <c r="K2278" s="69">
        <v>5403</v>
      </c>
      <c r="L2278" s="56">
        <v>207</v>
      </c>
      <c r="M2278" s="59" t="s">
        <v>26</v>
      </c>
      <c r="N2278" s="61">
        <v>747.37</v>
      </c>
      <c r="O2278" s="59" t="s">
        <v>313</v>
      </c>
      <c r="P2278" s="62">
        <v>698.48</v>
      </c>
      <c r="Q2278" s="63">
        <v>20</v>
      </c>
      <c r="R2278" s="62">
        <v>139.69999999999999</v>
      </c>
      <c r="S2278" s="61">
        <v>0</v>
      </c>
      <c r="T2278" s="62">
        <v>48.89</v>
      </c>
    </row>
    <row r="2279" spans="1:20" ht="11.1" customHeight="1" x14ac:dyDescent="0.25">
      <c r="O2279" s="59" t="s">
        <v>436</v>
      </c>
      <c r="P2279" s="62">
        <v>942.95</v>
      </c>
      <c r="Q2279" s="63">
        <v>20</v>
      </c>
      <c r="R2279" s="62">
        <v>48.89</v>
      </c>
      <c r="S2279" s="61">
        <v>0</v>
      </c>
      <c r="T2279" s="62">
        <v>0</v>
      </c>
    </row>
    <row r="2280" spans="1:20" ht="11.85" customHeight="1" x14ac:dyDescent="0.25">
      <c r="A2280" s="71" t="s">
        <v>620</v>
      </c>
      <c r="B2280" s="71"/>
      <c r="C2280" s="71"/>
      <c r="D2280" s="71"/>
      <c r="E2280" s="71"/>
      <c r="F2280" s="71"/>
      <c r="G2280" s="71"/>
      <c r="H2280" s="71"/>
    </row>
    <row r="2281" spans="1:20" ht="11.1" customHeight="1" x14ac:dyDescent="0.25">
      <c r="O2281" s="59" t="s">
        <v>313</v>
      </c>
      <c r="P2281" s="62">
        <v>1954.31</v>
      </c>
      <c r="R2281" s="62">
        <v>390.86</v>
      </c>
      <c r="S2281" s="61">
        <v>0</v>
      </c>
      <c r="T2281" s="62">
        <v>48.89</v>
      </c>
    </row>
    <row r="2282" spans="1:20" ht="11.1" customHeight="1" x14ac:dyDescent="0.25">
      <c r="O2282" s="59" t="s">
        <v>436</v>
      </c>
      <c r="P2282" s="62">
        <v>942.95</v>
      </c>
      <c r="R2282" s="62">
        <v>48.89</v>
      </c>
      <c r="S2282" s="61">
        <v>0</v>
      </c>
      <c r="T2282" s="62">
        <v>0</v>
      </c>
    </row>
    <row r="2283" spans="1:20" ht="11.1" customHeight="1" x14ac:dyDescent="0.25">
      <c r="A2283" s="56">
        <v>108996</v>
      </c>
      <c r="B2283" s="72">
        <v>46037</v>
      </c>
      <c r="C2283" s="68">
        <v>46037</v>
      </c>
      <c r="D2283" s="58" t="s">
        <v>2035</v>
      </c>
      <c r="E2283" s="59" t="s">
        <v>352</v>
      </c>
      <c r="F2283" s="56">
        <v>36</v>
      </c>
      <c r="G2283" s="73">
        <v>358</v>
      </c>
      <c r="H2283" s="74" t="s">
        <v>2036</v>
      </c>
      <c r="I2283" s="59" t="s">
        <v>2037</v>
      </c>
      <c r="J2283" s="59" t="s">
        <v>2038</v>
      </c>
      <c r="K2283" s="69">
        <v>5102</v>
      </c>
      <c r="L2283" s="56">
        <v>205</v>
      </c>
      <c r="M2283" s="59" t="s">
        <v>26</v>
      </c>
      <c r="N2283" s="61">
        <v>266.38</v>
      </c>
      <c r="O2283" s="59" t="s">
        <v>313</v>
      </c>
      <c r="P2283" s="62">
        <v>266.38</v>
      </c>
      <c r="Q2283" s="63">
        <v>20</v>
      </c>
      <c r="R2283" s="62">
        <v>53.27</v>
      </c>
      <c r="S2283" s="61">
        <v>0</v>
      </c>
      <c r="T2283" s="62">
        <v>0</v>
      </c>
    </row>
    <row r="2284" spans="1:20" ht="11.1" customHeight="1" x14ac:dyDescent="0.25">
      <c r="A2284" s="56">
        <v>108997</v>
      </c>
      <c r="B2284" s="72">
        <v>46037</v>
      </c>
      <c r="C2284" s="68">
        <v>46037</v>
      </c>
      <c r="D2284" s="58" t="s">
        <v>2035</v>
      </c>
      <c r="E2284" s="59" t="s">
        <v>352</v>
      </c>
      <c r="F2284" s="56">
        <v>36</v>
      </c>
      <c r="G2284" s="73">
        <v>358</v>
      </c>
      <c r="H2284" s="74" t="s">
        <v>2036</v>
      </c>
      <c r="I2284" s="59" t="s">
        <v>2037</v>
      </c>
      <c r="J2284" s="59" t="s">
        <v>2038</v>
      </c>
      <c r="K2284" s="69">
        <v>5403</v>
      </c>
      <c r="L2284" s="56">
        <v>207</v>
      </c>
      <c r="M2284" s="59" t="s">
        <v>26</v>
      </c>
      <c r="N2284" s="61">
        <v>393.98</v>
      </c>
      <c r="O2284" s="59" t="s">
        <v>313</v>
      </c>
      <c r="P2284" s="62">
        <v>368.2</v>
      </c>
      <c r="Q2284" s="63">
        <v>20</v>
      </c>
      <c r="R2284" s="62">
        <v>73.64</v>
      </c>
      <c r="S2284" s="61">
        <v>0</v>
      </c>
      <c r="T2284" s="62">
        <v>25.78</v>
      </c>
    </row>
    <row r="2285" spans="1:20" ht="11.1" customHeight="1" x14ac:dyDescent="0.25">
      <c r="O2285" s="59" t="s">
        <v>436</v>
      </c>
      <c r="P2285" s="62">
        <v>497.07</v>
      </c>
      <c r="Q2285" s="63">
        <v>20</v>
      </c>
      <c r="R2285" s="62">
        <v>25.78</v>
      </c>
      <c r="S2285" s="61">
        <v>0</v>
      </c>
      <c r="T2285" s="62">
        <v>0</v>
      </c>
    </row>
    <row r="2286" spans="1:20" ht="11.1" customHeight="1" x14ac:dyDescent="0.25">
      <c r="A2286" s="56">
        <v>109317</v>
      </c>
      <c r="B2286" s="72">
        <v>46044</v>
      </c>
      <c r="C2286" s="68">
        <v>46044</v>
      </c>
      <c r="D2286" s="58" t="s">
        <v>2039</v>
      </c>
      <c r="E2286" s="59" t="s">
        <v>352</v>
      </c>
      <c r="F2286" s="56">
        <v>36</v>
      </c>
      <c r="G2286" s="73">
        <v>358</v>
      </c>
      <c r="H2286" s="74" t="s">
        <v>2036</v>
      </c>
      <c r="I2286" s="59" t="s">
        <v>2037</v>
      </c>
      <c r="J2286" s="59" t="s">
        <v>2038</v>
      </c>
      <c r="K2286" s="69">
        <v>5403</v>
      </c>
      <c r="L2286" s="56">
        <v>207</v>
      </c>
      <c r="M2286" s="59" t="s">
        <v>26</v>
      </c>
      <c r="N2286" s="61">
        <v>510.78</v>
      </c>
      <c r="O2286" s="59" t="s">
        <v>313</v>
      </c>
      <c r="P2286" s="62">
        <v>477.36</v>
      </c>
      <c r="Q2286" s="63">
        <v>20</v>
      </c>
      <c r="R2286" s="62">
        <v>95.47</v>
      </c>
      <c r="S2286" s="61">
        <v>0</v>
      </c>
      <c r="T2286" s="62">
        <v>33.42</v>
      </c>
    </row>
    <row r="2287" spans="1:20" ht="11.1" customHeight="1" x14ac:dyDescent="0.25">
      <c r="O2287" s="59" t="s">
        <v>436</v>
      </c>
      <c r="P2287" s="62">
        <v>644.44000000000005</v>
      </c>
      <c r="Q2287" s="63">
        <v>20</v>
      </c>
      <c r="R2287" s="62">
        <v>33.42</v>
      </c>
      <c r="S2287" s="61">
        <v>0</v>
      </c>
      <c r="T2287" s="62">
        <v>0</v>
      </c>
    </row>
    <row r="2288" spans="1:20" ht="11.1" customHeight="1" x14ac:dyDescent="0.25">
      <c r="A2288" s="56">
        <v>109531</v>
      </c>
      <c r="B2288" s="72">
        <v>46050</v>
      </c>
      <c r="C2288" s="68">
        <v>46050</v>
      </c>
      <c r="D2288" s="58" t="s">
        <v>2040</v>
      </c>
      <c r="E2288" s="59" t="s">
        <v>352</v>
      </c>
      <c r="F2288" s="56">
        <v>36</v>
      </c>
      <c r="G2288" s="73">
        <v>358</v>
      </c>
      <c r="H2288" s="74" t="s">
        <v>2036</v>
      </c>
      <c r="I2288" s="59" t="s">
        <v>2037</v>
      </c>
      <c r="J2288" s="59" t="s">
        <v>2038</v>
      </c>
      <c r="K2288" s="69">
        <v>5102</v>
      </c>
      <c r="L2288" s="56">
        <v>205</v>
      </c>
      <c r="M2288" s="59" t="s">
        <v>26</v>
      </c>
      <c r="N2288" s="61">
        <v>72</v>
      </c>
      <c r="O2288" s="59" t="s">
        <v>313</v>
      </c>
      <c r="P2288" s="62">
        <v>72</v>
      </c>
      <c r="Q2288" s="63">
        <v>20</v>
      </c>
      <c r="R2288" s="62">
        <v>14.4</v>
      </c>
      <c r="S2288" s="61">
        <v>0</v>
      </c>
      <c r="T2288" s="62">
        <v>0</v>
      </c>
    </row>
    <row r="2289" spans="1:20" ht="11.1" customHeight="1" x14ac:dyDescent="0.25">
      <c r="A2289" s="56">
        <v>109532</v>
      </c>
      <c r="B2289" s="72">
        <v>46050</v>
      </c>
      <c r="C2289" s="68">
        <v>46050</v>
      </c>
      <c r="D2289" s="58" t="s">
        <v>2040</v>
      </c>
      <c r="E2289" s="59" t="s">
        <v>352</v>
      </c>
      <c r="F2289" s="56">
        <v>36</v>
      </c>
      <c r="G2289" s="73">
        <v>358</v>
      </c>
      <c r="H2289" s="74" t="s">
        <v>2036</v>
      </c>
      <c r="I2289" s="59" t="s">
        <v>2037</v>
      </c>
      <c r="J2289" s="59" t="s">
        <v>2038</v>
      </c>
      <c r="K2289" s="69">
        <v>5403</v>
      </c>
      <c r="L2289" s="56">
        <v>207</v>
      </c>
      <c r="M2289" s="59" t="s">
        <v>26</v>
      </c>
      <c r="N2289" s="61">
        <v>314.42</v>
      </c>
      <c r="O2289" s="59" t="s">
        <v>313</v>
      </c>
      <c r="P2289" s="62">
        <v>293.85000000000002</v>
      </c>
      <c r="Q2289" s="63">
        <v>20</v>
      </c>
      <c r="R2289" s="62">
        <v>58.77</v>
      </c>
      <c r="S2289" s="61">
        <v>0</v>
      </c>
      <c r="T2289" s="62">
        <v>20.57</v>
      </c>
    </row>
    <row r="2290" spans="1:20" ht="11.1" customHeight="1" x14ac:dyDescent="0.25">
      <c r="O2290" s="59" t="s">
        <v>436</v>
      </c>
      <c r="P2290" s="62">
        <v>396.7</v>
      </c>
      <c r="Q2290" s="63">
        <v>20</v>
      </c>
      <c r="R2290" s="62">
        <v>20.57</v>
      </c>
      <c r="S2290" s="61">
        <v>0</v>
      </c>
      <c r="T2290" s="62">
        <v>0</v>
      </c>
    </row>
    <row r="2291" spans="1:20" ht="11.85" customHeight="1" x14ac:dyDescent="0.25">
      <c r="A2291" s="71" t="s">
        <v>620</v>
      </c>
      <c r="B2291" s="71"/>
      <c r="C2291" s="71"/>
      <c r="D2291" s="71"/>
      <c r="E2291" s="71"/>
      <c r="F2291" s="71"/>
      <c r="G2291" s="71"/>
      <c r="H2291" s="71"/>
    </row>
    <row r="2292" spans="1:20" ht="11.1" customHeight="1" x14ac:dyDescent="0.25">
      <c r="O2292" s="59" t="s">
        <v>313</v>
      </c>
      <c r="P2292" s="62">
        <v>1477.79</v>
      </c>
      <c r="R2292" s="62">
        <v>295.55</v>
      </c>
      <c r="S2292" s="61">
        <v>0</v>
      </c>
      <c r="T2292" s="62">
        <v>79.77</v>
      </c>
    </row>
    <row r="2293" spans="1:20" ht="11.1" customHeight="1" x14ac:dyDescent="0.25">
      <c r="O2293" s="59" t="s">
        <v>436</v>
      </c>
      <c r="P2293" s="62">
        <v>1538.21</v>
      </c>
      <c r="R2293" s="62">
        <v>79.77</v>
      </c>
      <c r="S2293" s="61">
        <v>0</v>
      </c>
      <c r="T2293" s="62">
        <v>0</v>
      </c>
    </row>
    <row r="2294" spans="1:20" ht="11.1" customHeight="1" x14ac:dyDescent="0.25">
      <c r="A2294" s="56">
        <v>109204</v>
      </c>
      <c r="B2294" s="72">
        <v>46043</v>
      </c>
      <c r="C2294" s="68">
        <v>46043</v>
      </c>
      <c r="D2294" s="58" t="s">
        <v>2041</v>
      </c>
      <c r="E2294" s="59" t="s">
        <v>352</v>
      </c>
      <c r="F2294" s="56">
        <v>36</v>
      </c>
      <c r="G2294" s="73">
        <v>924</v>
      </c>
      <c r="H2294" s="74" t="s">
        <v>2042</v>
      </c>
      <c r="I2294" s="59" t="s">
        <v>2043</v>
      </c>
      <c r="J2294" s="59" t="s">
        <v>2044</v>
      </c>
      <c r="K2294" s="69">
        <v>5102</v>
      </c>
      <c r="L2294" s="56">
        <v>205</v>
      </c>
      <c r="M2294" s="59" t="s">
        <v>26</v>
      </c>
      <c r="N2294" s="61">
        <v>655.78</v>
      </c>
      <c r="O2294" s="59" t="s">
        <v>313</v>
      </c>
      <c r="P2294" s="62">
        <v>655.78</v>
      </c>
      <c r="Q2294" s="63">
        <v>20</v>
      </c>
      <c r="R2294" s="62">
        <v>131.16</v>
      </c>
      <c r="S2294" s="61">
        <v>0</v>
      </c>
      <c r="T2294" s="62">
        <v>0</v>
      </c>
    </row>
    <row r="2295" spans="1:20" ht="11.1" customHeight="1" x14ac:dyDescent="0.25">
      <c r="A2295" s="56">
        <v>109495</v>
      </c>
      <c r="B2295" s="72">
        <v>46049</v>
      </c>
      <c r="C2295" s="68">
        <v>46049</v>
      </c>
      <c r="D2295" s="58" t="s">
        <v>2045</v>
      </c>
      <c r="E2295" s="59" t="s">
        <v>352</v>
      </c>
      <c r="F2295" s="56">
        <v>36</v>
      </c>
      <c r="G2295" s="73">
        <v>924</v>
      </c>
      <c r="H2295" s="74" t="s">
        <v>2042</v>
      </c>
      <c r="I2295" s="59" t="s">
        <v>2043</v>
      </c>
      <c r="J2295" s="59" t="s">
        <v>2044</v>
      </c>
      <c r="K2295" s="69">
        <v>5102</v>
      </c>
      <c r="L2295" s="56">
        <v>205</v>
      </c>
      <c r="M2295" s="59" t="s">
        <v>26</v>
      </c>
      <c r="N2295" s="61">
        <v>579.12</v>
      </c>
      <c r="O2295" s="59" t="s">
        <v>313</v>
      </c>
      <c r="P2295" s="62">
        <v>579.12</v>
      </c>
      <c r="Q2295" s="63">
        <v>20</v>
      </c>
      <c r="R2295" s="62">
        <v>115.82</v>
      </c>
      <c r="S2295" s="61">
        <v>0</v>
      </c>
      <c r="T2295" s="62">
        <v>0</v>
      </c>
    </row>
    <row r="2296" spans="1:20" ht="11.85" customHeight="1" x14ac:dyDescent="0.25">
      <c r="A2296" s="71" t="s">
        <v>620</v>
      </c>
      <c r="B2296" s="71"/>
      <c r="C2296" s="71"/>
      <c r="D2296" s="71"/>
      <c r="E2296" s="71"/>
      <c r="F2296" s="71"/>
      <c r="G2296" s="71"/>
      <c r="H2296" s="71"/>
    </row>
    <row r="2297" spans="1:20" ht="11.1" customHeight="1" x14ac:dyDescent="0.25">
      <c r="O2297" s="59" t="s">
        <v>313</v>
      </c>
      <c r="P2297" s="62">
        <v>1234.9000000000001</v>
      </c>
      <c r="R2297" s="62">
        <v>246.98</v>
      </c>
      <c r="S2297" s="61">
        <v>0</v>
      </c>
      <c r="T2297" s="62">
        <v>0</v>
      </c>
    </row>
    <row r="2298" spans="1:20" ht="11.1" customHeight="1" x14ac:dyDescent="0.25">
      <c r="A2298" s="56">
        <v>108581</v>
      </c>
      <c r="B2298" s="72">
        <v>46029</v>
      </c>
      <c r="C2298" s="68">
        <v>46029</v>
      </c>
      <c r="D2298" s="58" t="s">
        <v>2046</v>
      </c>
      <c r="E2298" s="59" t="s">
        <v>352</v>
      </c>
      <c r="F2298" s="56">
        <v>36</v>
      </c>
      <c r="G2298" s="73">
        <v>751</v>
      </c>
      <c r="H2298" s="74" t="s">
        <v>2047</v>
      </c>
      <c r="I2298" s="59" t="s">
        <v>2048</v>
      </c>
      <c r="J2298" s="59" t="s">
        <v>2049</v>
      </c>
      <c r="K2298" s="69">
        <v>5102</v>
      </c>
      <c r="L2298" s="56">
        <v>205</v>
      </c>
      <c r="M2298" s="59" t="s">
        <v>26</v>
      </c>
      <c r="N2298" s="61">
        <v>562.36</v>
      </c>
      <c r="O2298" s="59" t="s">
        <v>313</v>
      </c>
      <c r="P2298" s="62">
        <v>562.36</v>
      </c>
      <c r="Q2298" s="63">
        <v>20</v>
      </c>
      <c r="R2298" s="62">
        <v>112.47</v>
      </c>
      <c r="S2298" s="61">
        <v>0</v>
      </c>
      <c r="T2298" s="62">
        <v>0</v>
      </c>
    </row>
    <row r="2299" spans="1:20" ht="11.1" customHeight="1" x14ac:dyDescent="0.25">
      <c r="A2299" s="56">
        <v>108582</v>
      </c>
      <c r="B2299" s="72">
        <v>46029</v>
      </c>
      <c r="C2299" s="68">
        <v>46029</v>
      </c>
      <c r="D2299" s="58" t="s">
        <v>2046</v>
      </c>
      <c r="E2299" s="59" t="s">
        <v>352</v>
      </c>
      <c r="F2299" s="56">
        <v>36</v>
      </c>
      <c r="G2299" s="73">
        <v>751</v>
      </c>
      <c r="H2299" s="74" t="s">
        <v>2047</v>
      </c>
      <c r="I2299" s="59" t="s">
        <v>2048</v>
      </c>
      <c r="J2299" s="59" t="s">
        <v>2049</v>
      </c>
      <c r="K2299" s="69">
        <v>5405</v>
      </c>
      <c r="L2299" s="56">
        <v>206</v>
      </c>
      <c r="M2299" s="59" t="s">
        <v>26</v>
      </c>
      <c r="N2299" s="61">
        <v>48.01</v>
      </c>
      <c r="O2299" s="59" t="s">
        <v>313</v>
      </c>
      <c r="P2299" s="62">
        <v>0</v>
      </c>
      <c r="Q2299" s="63">
        <v>0</v>
      </c>
      <c r="R2299" s="62">
        <v>0</v>
      </c>
      <c r="S2299" s="61">
        <v>0</v>
      </c>
      <c r="T2299" s="62">
        <v>48.01</v>
      </c>
    </row>
    <row r="2300" spans="1:20" ht="11.1" customHeight="1" x14ac:dyDescent="0.25">
      <c r="A2300" s="56">
        <v>108583</v>
      </c>
      <c r="B2300" s="72">
        <v>46029</v>
      </c>
      <c r="C2300" s="68">
        <v>46029</v>
      </c>
      <c r="D2300" s="58" t="s">
        <v>2046</v>
      </c>
      <c r="E2300" s="59" t="s">
        <v>352</v>
      </c>
      <c r="F2300" s="56">
        <v>36</v>
      </c>
      <c r="G2300" s="73">
        <v>751</v>
      </c>
      <c r="H2300" s="74" t="s">
        <v>2047</v>
      </c>
      <c r="I2300" s="59" t="s">
        <v>2048</v>
      </c>
      <c r="J2300" s="59" t="s">
        <v>2049</v>
      </c>
      <c r="K2300" s="69">
        <v>5403</v>
      </c>
      <c r="L2300" s="56">
        <v>207</v>
      </c>
      <c r="M2300" s="59" t="s">
        <v>26</v>
      </c>
      <c r="N2300" s="61">
        <v>276.68</v>
      </c>
      <c r="O2300" s="59" t="s">
        <v>313</v>
      </c>
      <c r="P2300" s="62">
        <v>258.57</v>
      </c>
      <c r="Q2300" s="63">
        <v>20</v>
      </c>
      <c r="R2300" s="62">
        <v>51.7</v>
      </c>
      <c r="S2300" s="61">
        <v>0</v>
      </c>
      <c r="T2300" s="62">
        <v>18.11</v>
      </c>
    </row>
    <row r="2301" spans="1:20" ht="11.1" customHeight="1" x14ac:dyDescent="0.25">
      <c r="O2301" s="59" t="s">
        <v>436</v>
      </c>
      <c r="P2301" s="62">
        <v>349.06</v>
      </c>
      <c r="Q2301" s="63">
        <v>20</v>
      </c>
      <c r="R2301" s="62">
        <v>18.11</v>
      </c>
      <c r="S2301" s="61">
        <v>0</v>
      </c>
      <c r="T2301" s="62">
        <v>0</v>
      </c>
    </row>
    <row r="2302" spans="1:20" ht="11.1" customHeight="1" x14ac:dyDescent="0.25">
      <c r="A2302" s="56">
        <v>108966</v>
      </c>
      <c r="B2302" s="72">
        <v>46037</v>
      </c>
      <c r="C2302" s="68">
        <v>46037</v>
      </c>
      <c r="D2302" s="58" t="s">
        <v>2050</v>
      </c>
      <c r="E2302" s="59" t="s">
        <v>352</v>
      </c>
      <c r="F2302" s="56">
        <v>36</v>
      </c>
      <c r="G2302" s="73">
        <v>751</v>
      </c>
      <c r="H2302" s="74" t="s">
        <v>2047</v>
      </c>
      <c r="I2302" s="59" t="s">
        <v>2048</v>
      </c>
      <c r="J2302" s="59" t="s">
        <v>2049</v>
      </c>
      <c r="K2302" s="69">
        <v>5102</v>
      </c>
      <c r="L2302" s="56">
        <v>205</v>
      </c>
      <c r="M2302" s="59" t="s">
        <v>26</v>
      </c>
      <c r="N2302" s="61">
        <v>222.34</v>
      </c>
      <c r="O2302" s="59" t="s">
        <v>313</v>
      </c>
      <c r="P2302" s="62">
        <v>222.34</v>
      </c>
      <c r="Q2302" s="63">
        <v>20</v>
      </c>
      <c r="R2302" s="62">
        <v>44.47</v>
      </c>
      <c r="S2302" s="61">
        <v>0</v>
      </c>
      <c r="T2302" s="62">
        <v>0</v>
      </c>
    </row>
    <row r="2303" spans="1:20" ht="11.1" customHeight="1" x14ac:dyDescent="0.25">
      <c r="A2303" s="56">
        <v>109043</v>
      </c>
      <c r="B2303" s="72">
        <v>46038</v>
      </c>
      <c r="C2303" s="68">
        <v>46038</v>
      </c>
      <c r="D2303" s="58" t="s">
        <v>2051</v>
      </c>
      <c r="E2303" s="59" t="s">
        <v>352</v>
      </c>
      <c r="F2303" s="56">
        <v>36</v>
      </c>
      <c r="G2303" s="73">
        <v>751</v>
      </c>
      <c r="H2303" s="74" t="s">
        <v>2047</v>
      </c>
      <c r="I2303" s="59" t="s">
        <v>2048</v>
      </c>
      <c r="J2303" s="59" t="s">
        <v>2049</v>
      </c>
      <c r="K2303" s="69">
        <v>5102</v>
      </c>
      <c r="L2303" s="56">
        <v>205</v>
      </c>
      <c r="M2303" s="59" t="s">
        <v>26</v>
      </c>
      <c r="N2303" s="61">
        <v>118.24</v>
      </c>
      <c r="O2303" s="59" t="s">
        <v>313</v>
      </c>
      <c r="P2303" s="62">
        <v>118.24</v>
      </c>
      <c r="Q2303" s="63">
        <v>20</v>
      </c>
      <c r="R2303" s="62">
        <v>23.65</v>
      </c>
      <c r="S2303" s="61">
        <v>0</v>
      </c>
      <c r="T2303" s="62">
        <v>0</v>
      </c>
    </row>
    <row r="2304" spans="1:20" ht="11.1" customHeight="1" x14ac:dyDescent="0.25">
      <c r="A2304" s="56">
        <v>109044</v>
      </c>
      <c r="B2304" s="72">
        <v>46038</v>
      </c>
      <c r="C2304" s="68">
        <v>46038</v>
      </c>
      <c r="D2304" s="58" t="s">
        <v>2051</v>
      </c>
      <c r="E2304" s="59" t="s">
        <v>352</v>
      </c>
      <c r="F2304" s="56">
        <v>36</v>
      </c>
      <c r="G2304" s="73">
        <v>751</v>
      </c>
      <c r="H2304" s="74" t="s">
        <v>2047</v>
      </c>
      <c r="I2304" s="59" t="s">
        <v>2048</v>
      </c>
      <c r="J2304" s="59" t="s">
        <v>2049</v>
      </c>
      <c r="K2304" s="69">
        <v>5403</v>
      </c>
      <c r="L2304" s="56">
        <v>207</v>
      </c>
      <c r="M2304" s="59" t="s">
        <v>26</v>
      </c>
      <c r="N2304" s="61">
        <v>189.71</v>
      </c>
      <c r="O2304" s="59" t="s">
        <v>313</v>
      </c>
      <c r="P2304" s="62">
        <v>177.3</v>
      </c>
      <c r="Q2304" s="63">
        <v>20</v>
      </c>
      <c r="R2304" s="62">
        <v>35.46</v>
      </c>
      <c r="S2304" s="61">
        <v>0</v>
      </c>
      <c r="T2304" s="62">
        <v>12.41</v>
      </c>
    </row>
    <row r="2305" spans="1:20" ht="11.1" customHeight="1" x14ac:dyDescent="0.25">
      <c r="O2305" s="59" t="s">
        <v>436</v>
      </c>
      <c r="P2305" s="62">
        <v>239.35</v>
      </c>
      <c r="Q2305" s="63">
        <v>20</v>
      </c>
      <c r="R2305" s="62">
        <v>12.41</v>
      </c>
      <c r="S2305" s="61">
        <v>0</v>
      </c>
      <c r="T2305" s="62">
        <v>0</v>
      </c>
    </row>
    <row r="2306" spans="1:20" ht="11.1" customHeight="1" x14ac:dyDescent="0.25">
      <c r="A2306" s="56">
        <v>109045</v>
      </c>
      <c r="B2306" s="72">
        <v>46038</v>
      </c>
      <c r="C2306" s="68">
        <v>46038</v>
      </c>
      <c r="D2306" s="58" t="s">
        <v>2052</v>
      </c>
      <c r="E2306" s="59" t="s">
        <v>352</v>
      </c>
      <c r="F2306" s="56">
        <v>36</v>
      </c>
      <c r="G2306" s="73">
        <v>751</v>
      </c>
      <c r="H2306" s="74" t="s">
        <v>2047</v>
      </c>
      <c r="I2306" s="59" t="s">
        <v>2048</v>
      </c>
      <c r="J2306" s="59" t="s">
        <v>2049</v>
      </c>
      <c r="K2306" s="69">
        <v>5102</v>
      </c>
      <c r="L2306" s="56">
        <v>205</v>
      </c>
      <c r="M2306" s="59" t="s">
        <v>26</v>
      </c>
      <c r="N2306" s="61">
        <v>56.89</v>
      </c>
      <c r="O2306" s="59" t="s">
        <v>313</v>
      </c>
      <c r="P2306" s="62">
        <v>56.89</v>
      </c>
      <c r="Q2306" s="63">
        <v>20</v>
      </c>
      <c r="R2306" s="62">
        <v>11.38</v>
      </c>
      <c r="S2306" s="61">
        <v>0</v>
      </c>
      <c r="T2306" s="62">
        <v>0</v>
      </c>
    </row>
    <row r="2307" spans="1:20" ht="11.1" customHeight="1" x14ac:dyDescent="0.25">
      <c r="A2307" s="56">
        <v>109165</v>
      </c>
      <c r="B2307" s="72">
        <v>46042</v>
      </c>
      <c r="C2307" s="68">
        <v>46042</v>
      </c>
      <c r="D2307" s="58" t="s">
        <v>2053</v>
      </c>
      <c r="E2307" s="59" t="s">
        <v>352</v>
      </c>
      <c r="F2307" s="56">
        <v>36</v>
      </c>
      <c r="G2307" s="73">
        <v>751</v>
      </c>
      <c r="H2307" s="74" t="s">
        <v>2047</v>
      </c>
      <c r="I2307" s="59" t="s">
        <v>2048</v>
      </c>
      <c r="J2307" s="59" t="s">
        <v>2049</v>
      </c>
      <c r="K2307" s="69">
        <v>5102</v>
      </c>
      <c r="L2307" s="56">
        <v>205</v>
      </c>
      <c r="M2307" s="59" t="s">
        <v>26</v>
      </c>
      <c r="N2307" s="61">
        <v>99.48</v>
      </c>
      <c r="O2307" s="59" t="s">
        <v>313</v>
      </c>
      <c r="P2307" s="62">
        <v>99.48</v>
      </c>
      <c r="Q2307" s="63">
        <v>20</v>
      </c>
      <c r="R2307" s="62">
        <v>19.899999999999999</v>
      </c>
      <c r="S2307" s="61">
        <v>0</v>
      </c>
      <c r="T2307" s="62">
        <v>0</v>
      </c>
    </row>
    <row r="2308" spans="1:20" ht="11.1" customHeight="1" x14ac:dyDescent="0.25">
      <c r="A2308" s="56">
        <v>109166</v>
      </c>
      <c r="B2308" s="72">
        <v>46042</v>
      </c>
      <c r="C2308" s="68">
        <v>46042</v>
      </c>
      <c r="D2308" s="58" t="s">
        <v>2053</v>
      </c>
      <c r="E2308" s="59" t="s">
        <v>352</v>
      </c>
      <c r="F2308" s="56">
        <v>36</v>
      </c>
      <c r="G2308" s="73">
        <v>751</v>
      </c>
      <c r="H2308" s="74" t="s">
        <v>2047</v>
      </c>
      <c r="I2308" s="59" t="s">
        <v>2048</v>
      </c>
      <c r="J2308" s="59" t="s">
        <v>2049</v>
      </c>
      <c r="K2308" s="69">
        <v>5403</v>
      </c>
      <c r="L2308" s="56">
        <v>207</v>
      </c>
      <c r="M2308" s="59" t="s">
        <v>26</v>
      </c>
      <c r="N2308" s="61">
        <v>243.08</v>
      </c>
      <c r="O2308" s="59" t="s">
        <v>313</v>
      </c>
      <c r="P2308" s="62">
        <v>227.18</v>
      </c>
      <c r="Q2308" s="63">
        <v>20</v>
      </c>
      <c r="R2308" s="62">
        <v>45.44</v>
      </c>
      <c r="S2308" s="61">
        <v>0</v>
      </c>
      <c r="T2308" s="62">
        <v>15.9</v>
      </c>
    </row>
    <row r="2309" spans="1:20" ht="11.1" customHeight="1" x14ac:dyDescent="0.25">
      <c r="O2309" s="59" t="s">
        <v>436</v>
      </c>
      <c r="P2309" s="62">
        <v>306.69</v>
      </c>
      <c r="Q2309" s="63">
        <v>20</v>
      </c>
      <c r="R2309" s="62">
        <v>15.9</v>
      </c>
      <c r="S2309" s="61">
        <v>0</v>
      </c>
      <c r="T2309" s="62">
        <v>0</v>
      </c>
    </row>
    <row r="2310" spans="1:20" ht="11.1" customHeight="1" x14ac:dyDescent="0.25">
      <c r="A2310" s="56">
        <v>109167</v>
      </c>
      <c r="B2310" s="72">
        <v>46042</v>
      </c>
      <c r="C2310" s="68">
        <v>46042</v>
      </c>
      <c r="D2310" s="58" t="s">
        <v>2054</v>
      </c>
      <c r="E2310" s="59" t="s">
        <v>352</v>
      </c>
      <c r="F2310" s="56">
        <v>36</v>
      </c>
      <c r="G2310" s="73">
        <v>751</v>
      </c>
      <c r="H2310" s="74" t="s">
        <v>2047</v>
      </c>
      <c r="I2310" s="59" t="s">
        <v>2048</v>
      </c>
      <c r="J2310" s="59" t="s">
        <v>2049</v>
      </c>
      <c r="K2310" s="69">
        <v>5102</v>
      </c>
      <c r="L2310" s="56">
        <v>205</v>
      </c>
      <c r="M2310" s="59" t="s">
        <v>26</v>
      </c>
      <c r="N2310" s="61">
        <v>5.91</v>
      </c>
      <c r="O2310" s="59" t="s">
        <v>313</v>
      </c>
      <c r="P2310" s="62">
        <v>5.91</v>
      </c>
      <c r="Q2310" s="63">
        <v>20</v>
      </c>
      <c r="R2310" s="62">
        <v>1.18</v>
      </c>
      <c r="S2310" s="61">
        <v>0</v>
      </c>
      <c r="T2310" s="62">
        <v>0</v>
      </c>
    </row>
    <row r="2311" spans="1:20" ht="11.1" customHeight="1" x14ac:dyDescent="0.25">
      <c r="A2311" s="56">
        <v>109372</v>
      </c>
      <c r="B2311" s="72">
        <v>46045</v>
      </c>
      <c r="C2311" s="68">
        <v>46045</v>
      </c>
      <c r="D2311" s="58" t="s">
        <v>2055</v>
      </c>
      <c r="E2311" s="59" t="s">
        <v>352</v>
      </c>
      <c r="F2311" s="56">
        <v>36</v>
      </c>
      <c r="G2311" s="73">
        <v>751</v>
      </c>
      <c r="H2311" s="74" t="s">
        <v>2047</v>
      </c>
      <c r="I2311" s="59" t="s">
        <v>2048</v>
      </c>
      <c r="J2311" s="59" t="s">
        <v>2049</v>
      </c>
      <c r="K2311" s="69">
        <v>5102</v>
      </c>
      <c r="L2311" s="56">
        <v>205</v>
      </c>
      <c r="M2311" s="59" t="s">
        <v>26</v>
      </c>
      <c r="N2311" s="61">
        <v>149.49</v>
      </c>
      <c r="O2311" s="59" t="s">
        <v>313</v>
      </c>
      <c r="P2311" s="62">
        <v>149.49</v>
      </c>
      <c r="Q2311" s="63">
        <v>20</v>
      </c>
      <c r="R2311" s="62">
        <v>29.9</v>
      </c>
      <c r="S2311" s="61">
        <v>0</v>
      </c>
      <c r="T2311" s="62">
        <v>0</v>
      </c>
    </row>
    <row r="2312" spans="1:20" ht="11.1" customHeight="1" x14ac:dyDescent="0.25">
      <c r="A2312" s="56">
        <v>109373</v>
      </c>
      <c r="B2312" s="72">
        <v>46045</v>
      </c>
      <c r="C2312" s="68">
        <v>46045</v>
      </c>
      <c r="D2312" s="58" t="s">
        <v>2056</v>
      </c>
      <c r="E2312" s="59" t="s">
        <v>352</v>
      </c>
      <c r="F2312" s="56">
        <v>36</v>
      </c>
      <c r="G2312" s="73">
        <v>751</v>
      </c>
      <c r="H2312" s="74" t="s">
        <v>2047</v>
      </c>
      <c r="I2312" s="59" t="s">
        <v>2048</v>
      </c>
      <c r="J2312" s="59" t="s">
        <v>2049</v>
      </c>
      <c r="K2312" s="69">
        <v>5102</v>
      </c>
      <c r="L2312" s="56">
        <v>205</v>
      </c>
      <c r="M2312" s="59" t="s">
        <v>26</v>
      </c>
      <c r="N2312" s="61">
        <v>367.08</v>
      </c>
      <c r="O2312" s="59" t="s">
        <v>313</v>
      </c>
      <c r="P2312" s="62">
        <v>367.08</v>
      </c>
      <c r="Q2312" s="63">
        <v>20</v>
      </c>
      <c r="R2312" s="62">
        <v>73.42</v>
      </c>
      <c r="S2312" s="61">
        <v>0</v>
      </c>
      <c r="T2312" s="62">
        <v>0</v>
      </c>
    </row>
    <row r="2313" spans="1:20" ht="11.1" customHeight="1" x14ac:dyDescent="0.25">
      <c r="A2313" s="56">
        <v>109374</v>
      </c>
      <c r="B2313" s="72">
        <v>46045</v>
      </c>
      <c r="C2313" s="68">
        <v>46045</v>
      </c>
      <c r="D2313" s="58" t="s">
        <v>2056</v>
      </c>
      <c r="E2313" s="59" t="s">
        <v>352</v>
      </c>
      <c r="F2313" s="56">
        <v>36</v>
      </c>
      <c r="G2313" s="73">
        <v>751</v>
      </c>
      <c r="H2313" s="74" t="s">
        <v>2047</v>
      </c>
      <c r="I2313" s="59" t="s">
        <v>2048</v>
      </c>
      <c r="J2313" s="59" t="s">
        <v>2049</v>
      </c>
      <c r="K2313" s="69">
        <v>5403</v>
      </c>
      <c r="L2313" s="56">
        <v>207</v>
      </c>
      <c r="M2313" s="59" t="s">
        <v>26</v>
      </c>
      <c r="N2313" s="61">
        <v>110.42</v>
      </c>
      <c r="O2313" s="59" t="s">
        <v>313</v>
      </c>
      <c r="P2313" s="62">
        <v>103.2</v>
      </c>
      <c r="Q2313" s="63">
        <v>20</v>
      </c>
      <c r="R2313" s="62">
        <v>20.64</v>
      </c>
      <c r="S2313" s="61">
        <v>0</v>
      </c>
      <c r="T2313" s="62">
        <v>7.22</v>
      </c>
    </row>
    <row r="2314" spans="1:20" ht="11.1" customHeight="1" x14ac:dyDescent="0.25">
      <c r="O2314" s="59" t="s">
        <v>436</v>
      </c>
      <c r="P2314" s="62">
        <v>139.32</v>
      </c>
      <c r="Q2314" s="63">
        <v>20</v>
      </c>
      <c r="R2314" s="62">
        <v>7.22</v>
      </c>
      <c r="S2314" s="61">
        <v>0</v>
      </c>
      <c r="T2314" s="62">
        <v>0</v>
      </c>
    </row>
    <row r="2315" spans="1:20" ht="11.1" customHeight="1" x14ac:dyDescent="0.25">
      <c r="A2315" s="56">
        <v>109493</v>
      </c>
      <c r="B2315" s="72">
        <v>46049</v>
      </c>
      <c r="C2315" s="68">
        <v>46049</v>
      </c>
      <c r="D2315" s="58" t="s">
        <v>2057</v>
      </c>
      <c r="E2315" s="59" t="s">
        <v>352</v>
      </c>
      <c r="F2315" s="56">
        <v>36</v>
      </c>
      <c r="G2315" s="73">
        <v>751</v>
      </c>
      <c r="H2315" s="74" t="s">
        <v>2047</v>
      </c>
      <c r="I2315" s="59" t="s">
        <v>2048</v>
      </c>
      <c r="J2315" s="59" t="s">
        <v>2049</v>
      </c>
      <c r="K2315" s="69">
        <v>5102</v>
      </c>
      <c r="L2315" s="56">
        <v>205</v>
      </c>
      <c r="M2315" s="59" t="s">
        <v>26</v>
      </c>
      <c r="N2315" s="61">
        <v>234.62</v>
      </c>
      <c r="O2315" s="59" t="s">
        <v>313</v>
      </c>
      <c r="P2315" s="62">
        <v>234.62</v>
      </c>
      <c r="Q2315" s="63">
        <v>20</v>
      </c>
      <c r="R2315" s="62">
        <v>46.92</v>
      </c>
      <c r="S2315" s="61">
        <v>0</v>
      </c>
      <c r="T2315" s="62">
        <v>0</v>
      </c>
    </row>
    <row r="2316" spans="1:20" ht="11.1" customHeight="1" x14ac:dyDescent="0.25">
      <c r="A2316" s="56">
        <v>109494</v>
      </c>
      <c r="B2316" s="72">
        <v>46049</v>
      </c>
      <c r="C2316" s="68">
        <v>46049</v>
      </c>
      <c r="D2316" s="58" t="s">
        <v>2057</v>
      </c>
      <c r="E2316" s="59" t="s">
        <v>352</v>
      </c>
      <c r="F2316" s="56">
        <v>36</v>
      </c>
      <c r="G2316" s="73">
        <v>751</v>
      </c>
      <c r="H2316" s="74" t="s">
        <v>2047</v>
      </c>
      <c r="I2316" s="59" t="s">
        <v>2048</v>
      </c>
      <c r="J2316" s="59" t="s">
        <v>2049</v>
      </c>
      <c r="K2316" s="69">
        <v>5403</v>
      </c>
      <c r="L2316" s="56">
        <v>207</v>
      </c>
      <c r="M2316" s="59" t="s">
        <v>26</v>
      </c>
      <c r="N2316" s="61">
        <v>187.87</v>
      </c>
      <c r="O2316" s="59" t="s">
        <v>313</v>
      </c>
      <c r="P2316" s="62">
        <v>175.58</v>
      </c>
      <c r="Q2316" s="63">
        <v>20</v>
      </c>
      <c r="R2316" s="62">
        <v>35.119999999999997</v>
      </c>
      <c r="S2316" s="61">
        <v>0</v>
      </c>
      <c r="T2316" s="62">
        <v>12.29</v>
      </c>
    </row>
    <row r="2317" spans="1:20" ht="11.1" customHeight="1" x14ac:dyDescent="0.25">
      <c r="O2317" s="59" t="s">
        <v>436</v>
      </c>
      <c r="P2317" s="62">
        <v>237.03</v>
      </c>
      <c r="Q2317" s="63">
        <v>20</v>
      </c>
      <c r="R2317" s="62">
        <v>12.29</v>
      </c>
      <c r="S2317" s="61">
        <v>0</v>
      </c>
      <c r="T2317" s="62">
        <v>0</v>
      </c>
    </row>
    <row r="2318" spans="1:20" ht="11.1" customHeight="1" x14ac:dyDescent="0.25">
      <c r="A2318" s="56">
        <v>109612</v>
      </c>
      <c r="B2318" s="72">
        <v>46051</v>
      </c>
      <c r="C2318" s="68">
        <v>46051</v>
      </c>
      <c r="D2318" s="58" t="s">
        <v>2058</v>
      </c>
      <c r="E2318" s="59" t="s">
        <v>352</v>
      </c>
      <c r="F2318" s="56">
        <v>36</v>
      </c>
      <c r="G2318" s="73">
        <v>751</v>
      </c>
      <c r="H2318" s="74" t="s">
        <v>2047</v>
      </c>
      <c r="I2318" s="59" t="s">
        <v>2048</v>
      </c>
      <c r="J2318" s="59" t="s">
        <v>2049</v>
      </c>
      <c r="K2318" s="69">
        <v>5102</v>
      </c>
      <c r="L2318" s="56">
        <v>205</v>
      </c>
      <c r="M2318" s="59" t="s">
        <v>26</v>
      </c>
      <c r="N2318" s="61">
        <v>295.42</v>
      </c>
      <c r="O2318" s="59" t="s">
        <v>313</v>
      </c>
      <c r="P2318" s="62">
        <v>295.42</v>
      </c>
      <c r="Q2318" s="63">
        <v>20</v>
      </c>
      <c r="R2318" s="62">
        <v>59.09</v>
      </c>
      <c r="S2318" s="61">
        <v>0</v>
      </c>
      <c r="T2318" s="62">
        <v>0</v>
      </c>
    </row>
    <row r="2319" spans="1:20" ht="11.85" customHeight="1" x14ac:dyDescent="0.25">
      <c r="A2319" s="71" t="s">
        <v>620</v>
      </c>
      <c r="B2319" s="71"/>
      <c r="C2319" s="71"/>
      <c r="D2319" s="71"/>
      <c r="E2319" s="71"/>
      <c r="F2319" s="71"/>
      <c r="G2319" s="71"/>
      <c r="H2319" s="71"/>
    </row>
    <row r="2320" spans="1:20" ht="11.1" customHeight="1" x14ac:dyDescent="0.25">
      <c r="O2320" s="59" t="s">
        <v>313</v>
      </c>
      <c r="P2320" s="62">
        <v>3053.66</v>
      </c>
      <c r="R2320" s="62">
        <v>610.74</v>
      </c>
      <c r="S2320" s="61">
        <v>0</v>
      </c>
      <c r="T2320" s="62">
        <v>113.94</v>
      </c>
    </row>
    <row r="2321" spans="1:20" ht="11.1" customHeight="1" x14ac:dyDescent="0.25">
      <c r="O2321" s="59" t="s">
        <v>436</v>
      </c>
      <c r="P2321" s="62">
        <v>1271.45</v>
      </c>
      <c r="R2321" s="62">
        <v>65.930000000000007</v>
      </c>
      <c r="S2321" s="61">
        <v>0</v>
      </c>
      <c r="T2321" s="62">
        <v>0</v>
      </c>
    </row>
    <row r="2322" spans="1:20" ht="11.1" customHeight="1" x14ac:dyDescent="0.25">
      <c r="A2322" s="56">
        <v>108428</v>
      </c>
      <c r="B2322" s="72">
        <v>46024</v>
      </c>
      <c r="C2322" s="68">
        <v>46024</v>
      </c>
      <c r="D2322" s="58" t="s">
        <v>2059</v>
      </c>
      <c r="E2322" s="59" t="s">
        <v>352</v>
      </c>
      <c r="F2322" s="56">
        <v>36</v>
      </c>
      <c r="G2322" s="73">
        <v>863</v>
      </c>
      <c r="H2322" s="74" t="s">
        <v>2060</v>
      </c>
      <c r="I2322" s="59" t="s">
        <v>2061</v>
      </c>
      <c r="J2322" s="59" t="s">
        <v>2062</v>
      </c>
      <c r="K2322" s="69">
        <v>6403</v>
      </c>
      <c r="L2322" s="56">
        <v>207</v>
      </c>
      <c r="M2322" s="59" t="s">
        <v>50</v>
      </c>
      <c r="N2322" s="61">
        <v>601.44000000000005</v>
      </c>
      <c r="O2322" s="59" t="s">
        <v>313</v>
      </c>
      <c r="P2322" s="62">
        <v>601.44000000000005</v>
      </c>
      <c r="Q2322" s="63">
        <v>12</v>
      </c>
      <c r="R2322" s="62">
        <v>72.17</v>
      </c>
      <c r="S2322" s="61">
        <v>0</v>
      </c>
      <c r="T2322" s="62">
        <v>0</v>
      </c>
    </row>
    <row r="2323" spans="1:20" ht="11.85" customHeight="1" x14ac:dyDescent="0.25">
      <c r="A2323" s="71" t="s">
        <v>620</v>
      </c>
      <c r="B2323" s="71"/>
      <c r="C2323" s="71"/>
      <c r="D2323" s="71"/>
      <c r="E2323" s="71"/>
      <c r="F2323" s="71"/>
      <c r="G2323" s="71"/>
      <c r="H2323" s="71"/>
    </row>
    <row r="2324" spans="1:20" ht="11.1" customHeight="1" x14ac:dyDescent="0.25">
      <c r="O2324" s="59" t="s">
        <v>313</v>
      </c>
      <c r="P2324" s="62">
        <v>601.44000000000005</v>
      </c>
      <c r="R2324" s="62">
        <v>72.17</v>
      </c>
      <c r="S2324" s="61">
        <v>0</v>
      </c>
      <c r="T2324" s="62">
        <v>0</v>
      </c>
    </row>
    <row r="2325" spans="1:20" ht="11.1" customHeight="1" x14ac:dyDescent="0.25">
      <c r="A2325" s="56">
        <v>109202</v>
      </c>
      <c r="B2325" s="72">
        <v>46043</v>
      </c>
      <c r="C2325" s="68">
        <v>46043</v>
      </c>
      <c r="D2325" s="58" t="s">
        <v>2063</v>
      </c>
      <c r="E2325" s="59" t="s">
        <v>352</v>
      </c>
      <c r="F2325" s="56">
        <v>36</v>
      </c>
      <c r="G2325" s="73">
        <v>171</v>
      </c>
      <c r="H2325" s="74" t="s">
        <v>2064</v>
      </c>
      <c r="I2325" s="59" t="s">
        <v>2065</v>
      </c>
      <c r="J2325" s="59" t="s">
        <v>2066</v>
      </c>
      <c r="K2325" s="69">
        <v>5102</v>
      </c>
      <c r="L2325" s="56">
        <v>205</v>
      </c>
      <c r="M2325" s="59" t="s">
        <v>26</v>
      </c>
      <c r="N2325" s="61">
        <v>270.19</v>
      </c>
      <c r="O2325" s="59" t="s">
        <v>313</v>
      </c>
      <c r="P2325" s="62">
        <v>270.19</v>
      </c>
      <c r="Q2325" s="63">
        <v>20</v>
      </c>
      <c r="R2325" s="62">
        <v>54.04</v>
      </c>
      <c r="S2325" s="61">
        <v>0</v>
      </c>
      <c r="T2325" s="62">
        <v>0</v>
      </c>
    </row>
    <row r="2326" spans="1:20" ht="11.1" customHeight="1" x14ac:dyDescent="0.25">
      <c r="A2326" s="56">
        <v>109281</v>
      </c>
      <c r="B2326" s="72">
        <v>46044</v>
      </c>
      <c r="C2326" s="68">
        <v>46044</v>
      </c>
      <c r="D2326" s="58" t="s">
        <v>2067</v>
      </c>
      <c r="E2326" s="59" t="s">
        <v>352</v>
      </c>
      <c r="F2326" s="56">
        <v>36</v>
      </c>
      <c r="G2326" s="73">
        <v>171</v>
      </c>
      <c r="H2326" s="74" t="s">
        <v>2064</v>
      </c>
      <c r="I2326" s="59" t="s">
        <v>2065</v>
      </c>
      <c r="J2326" s="59" t="s">
        <v>2066</v>
      </c>
      <c r="K2326" s="69">
        <v>5102</v>
      </c>
      <c r="L2326" s="56">
        <v>205</v>
      </c>
      <c r="M2326" s="59" t="s">
        <v>26</v>
      </c>
      <c r="N2326" s="61">
        <v>177.33</v>
      </c>
      <c r="O2326" s="59" t="s">
        <v>313</v>
      </c>
      <c r="P2326" s="62">
        <v>177.33</v>
      </c>
      <c r="Q2326" s="63">
        <v>20</v>
      </c>
      <c r="R2326" s="62">
        <v>35.46</v>
      </c>
      <c r="S2326" s="61">
        <v>0</v>
      </c>
      <c r="T2326" s="62">
        <v>0</v>
      </c>
    </row>
    <row r="2327" spans="1:20" ht="11.1" customHeight="1" x14ac:dyDescent="0.25">
      <c r="A2327" s="56">
        <v>109282</v>
      </c>
      <c r="B2327" s="72">
        <v>46044</v>
      </c>
      <c r="C2327" s="68">
        <v>46044</v>
      </c>
      <c r="D2327" s="58" t="s">
        <v>2067</v>
      </c>
      <c r="E2327" s="59" t="s">
        <v>352</v>
      </c>
      <c r="F2327" s="56">
        <v>36</v>
      </c>
      <c r="G2327" s="73">
        <v>171</v>
      </c>
      <c r="H2327" s="74" t="s">
        <v>2064</v>
      </c>
      <c r="I2327" s="59" t="s">
        <v>2065</v>
      </c>
      <c r="J2327" s="59" t="s">
        <v>2066</v>
      </c>
      <c r="K2327" s="69">
        <v>5405</v>
      </c>
      <c r="L2327" s="56">
        <v>206</v>
      </c>
      <c r="M2327" s="59" t="s">
        <v>26</v>
      </c>
      <c r="N2327" s="61">
        <v>213.83</v>
      </c>
      <c r="O2327" s="59" t="s">
        <v>313</v>
      </c>
      <c r="P2327" s="62">
        <v>0</v>
      </c>
      <c r="Q2327" s="63">
        <v>0</v>
      </c>
      <c r="R2327" s="62">
        <v>0</v>
      </c>
      <c r="S2327" s="61">
        <v>0</v>
      </c>
      <c r="T2327" s="62">
        <v>213.83</v>
      </c>
    </row>
    <row r="2328" spans="1:20" ht="11.1" customHeight="1" x14ac:dyDescent="0.25">
      <c r="A2328" s="56">
        <v>109283</v>
      </c>
      <c r="B2328" s="72">
        <v>46044</v>
      </c>
      <c r="C2328" s="68">
        <v>46044</v>
      </c>
      <c r="D2328" s="58" t="s">
        <v>2067</v>
      </c>
      <c r="E2328" s="59" t="s">
        <v>352</v>
      </c>
      <c r="F2328" s="56">
        <v>36</v>
      </c>
      <c r="G2328" s="73">
        <v>171</v>
      </c>
      <c r="H2328" s="74" t="s">
        <v>2064</v>
      </c>
      <c r="I2328" s="59" t="s">
        <v>2065</v>
      </c>
      <c r="J2328" s="59" t="s">
        <v>2066</v>
      </c>
      <c r="K2328" s="69">
        <v>5403</v>
      </c>
      <c r="L2328" s="56">
        <v>207</v>
      </c>
      <c r="M2328" s="59" t="s">
        <v>26</v>
      </c>
      <c r="N2328" s="61">
        <v>603.45000000000005</v>
      </c>
      <c r="O2328" s="59" t="s">
        <v>313</v>
      </c>
      <c r="P2328" s="62">
        <v>563.98</v>
      </c>
      <c r="Q2328" s="63">
        <v>20</v>
      </c>
      <c r="R2328" s="62">
        <v>112.8</v>
      </c>
      <c r="S2328" s="61">
        <v>0</v>
      </c>
      <c r="T2328" s="62">
        <v>39.47</v>
      </c>
    </row>
    <row r="2329" spans="1:20" ht="11.1" customHeight="1" x14ac:dyDescent="0.25">
      <c r="O2329" s="59" t="s">
        <v>436</v>
      </c>
      <c r="P2329" s="62">
        <v>761.38</v>
      </c>
      <c r="Q2329" s="63">
        <v>20</v>
      </c>
      <c r="R2329" s="62">
        <v>39.47</v>
      </c>
      <c r="S2329" s="61">
        <v>0</v>
      </c>
      <c r="T2329" s="62">
        <v>0</v>
      </c>
    </row>
    <row r="2330" spans="1:20" ht="11.1" customHeight="1" x14ac:dyDescent="0.25">
      <c r="A2330" s="56">
        <v>109678</v>
      </c>
      <c r="B2330" s="72">
        <v>46052</v>
      </c>
      <c r="C2330" s="68">
        <v>46052</v>
      </c>
      <c r="D2330" s="58" t="s">
        <v>2068</v>
      </c>
      <c r="E2330" s="59" t="s">
        <v>352</v>
      </c>
      <c r="F2330" s="56">
        <v>36</v>
      </c>
      <c r="G2330" s="73">
        <v>171</v>
      </c>
      <c r="H2330" s="74" t="s">
        <v>2064</v>
      </c>
      <c r="I2330" s="59" t="s">
        <v>2065</v>
      </c>
      <c r="J2330" s="59" t="s">
        <v>2066</v>
      </c>
      <c r="K2330" s="69">
        <v>5102</v>
      </c>
      <c r="L2330" s="56">
        <v>205</v>
      </c>
      <c r="M2330" s="59" t="s">
        <v>26</v>
      </c>
      <c r="N2330" s="61">
        <v>204.05</v>
      </c>
      <c r="O2330" s="59" t="s">
        <v>313</v>
      </c>
      <c r="P2330" s="62">
        <v>204.05</v>
      </c>
      <c r="Q2330" s="63">
        <v>20</v>
      </c>
      <c r="R2330" s="62">
        <v>40.81</v>
      </c>
      <c r="S2330" s="61">
        <v>0</v>
      </c>
      <c r="T2330" s="62">
        <v>0</v>
      </c>
    </row>
    <row r="2331" spans="1:20" ht="11.1" customHeight="1" x14ac:dyDescent="0.25">
      <c r="A2331" s="56">
        <v>109679</v>
      </c>
      <c r="B2331" s="72">
        <v>46052</v>
      </c>
      <c r="C2331" s="68">
        <v>46052</v>
      </c>
      <c r="D2331" s="58" t="s">
        <v>2068</v>
      </c>
      <c r="E2331" s="59" t="s">
        <v>352</v>
      </c>
      <c r="F2331" s="56">
        <v>36</v>
      </c>
      <c r="G2331" s="73">
        <v>171</v>
      </c>
      <c r="H2331" s="74" t="s">
        <v>2064</v>
      </c>
      <c r="I2331" s="59" t="s">
        <v>2065</v>
      </c>
      <c r="J2331" s="59" t="s">
        <v>2066</v>
      </c>
      <c r="K2331" s="69">
        <v>5403</v>
      </c>
      <c r="L2331" s="56">
        <v>207</v>
      </c>
      <c r="M2331" s="59" t="s">
        <v>26</v>
      </c>
      <c r="N2331" s="61">
        <v>17296.43</v>
      </c>
      <c r="O2331" s="59" t="s">
        <v>313</v>
      </c>
      <c r="P2331" s="62">
        <v>17296.43</v>
      </c>
      <c r="Q2331" s="63">
        <v>20</v>
      </c>
      <c r="R2331" s="62">
        <v>3459.29</v>
      </c>
      <c r="S2331" s="61">
        <v>0</v>
      </c>
      <c r="T2331" s="62">
        <v>0</v>
      </c>
    </row>
    <row r="2332" spans="1:20" ht="11.85" customHeight="1" x14ac:dyDescent="0.25">
      <c r="A2332" s="71" t="s">
        <v>620</v>
      </c>
      <c r="B2332" s="71"/>
      <c r="C2332" s="71"/>
      <c r="D2332" s="71"/>
      <c r="E2332" s="71"/>
      <c r="F2332" s="71"/>
      <c r="G2332" s="71"/>
      <c r="H2332" s="71"/>
    </row>
    <row r="2333" spans="1:20" ht="11.1" customHeight="1" x14ac:dyDescent="0.25">
      <c r="O2333" s="59" t="s">
        <v>313</v>
      </c>
      <c r="P2333" s="62">
        <v>18511.98</v>
      </c>
      <c r="R2333" s="62">
        <v>3702.4</v>
      </c>
      <c r="S2333" s="61">
        <v>0</v>
      </c>
      <c r="T2333" s="62">
        <v>253.3</v>
      </c>
    </row>
    <row r="2334" spans="1:20" ht="11.1" customHeight="1" x14ac:dyDescent="0.25">
      <c r="O2334" s="59" t="s">
        <v>436</v>
      </c>
      <c r="P2334" s="62">
        <v>761.38</v>
      </c>
      <c r="R2334" s="62">
        <v>39.47</v>
      </c>
      <c r="S2334" s="61">
        <v>0</v>
      </c>
      <c r="T2334" s="62">
        <v>0</v>
      </c>
    </row>
    <row r="2335" spans="1:20" ht="11.1" customHeight="1" x14ac:dyDescent="0.25">
      <c r="A2335" s="56">
        <v>108885</v>
      </c>
      <c r="B2335" s="72">
        <v>46035</v>
      </c>
      <c r="C2335" s="68">
        <v>46035</v>
      </c>
      <c r="D2335" s="58" t="s">
        <v>2069</v>
      </c>
      <c r="E2335" s="59" t="s">
        <v>352</v>
      </c>
      <c r="F2335" s="56">
        <v>36</v>
      </c>
      <c r="G2335" s="73">
        <v>917</v>
      </c>
      <c r="H2335" s="74" t="s">
        <v>2070</v>
      </c>
      <c r="I2335" s="59" t="s">
        <v>2071</v>
      </c>
      <c r="J2335" s="59" t="s">
        <v>2072</v>
      </c>
      <c r="K2335" s="69">
        <v>6202</v>
      </c>
      <c r="L2335" s="56">
        <v>216</v>
      </c>
      <c r="M2335" s="59" t="s">
        <v>49</v>
      </c>
      <c r="N2335" s="61">
        <v>63.4</v>
      </c>
      <c r="O2335" s="59" t="s">
        <v>313</v>
      </c>
      <c r="P2335" s="62">
        <v>63.4</v>
      </c>
      <c r="Q2335" s="63">
        <v>7</v>
      </c>
      <c r="R2335" s="62">
        <v>4.4400000000000004</v>
      </c>
      <c r="S2335" s="61">
        <v>0</v>
      </c>
      <c r="T2335" s="62">
        <v>0</v>
      </c>
    </row>
    <row r="2336" spans="1:20" ht="11.85" customHeight="1" x14ac:dyDescent="0.25">
      <c r="A2336" s="71" t="s">
        <v>620</v>
      </c>
      <c r="B2336" s="71"/>
      <c r="C2336" s="71"/>
      <c r="D2336" s="71"/>
      <c r="E2336" s="71"/>
      <c r="F2336" s="71"/>
      <c r="G2336" s="71"/>
      <c r="H2336" s="71"/>
    </row>
    <row r="2337" spans="1:20" ht="11.1" customHeight="1" x14ac:dyDescent="0.25">
      <c r="O2337" s="59" t="s">
        <v>313</v>
      </c>
      <c r="P2337" s="62">
        <v>63.4</v>
      </c>
      <c r="R2337" s="62">
        <v>4.4400000000000004</v>
      </c>
      <c r="S2337" s="61">
        <v>0</v>
      </c>
      <c r="T2337" s="62">
        <v>0</v>
      </c>
    </row>
    <row r="2338" spans="1:20" ht="11.1" customHeight="1" x14ac:dyDescent="0.25">
      <c r="A2338" s="56">
        <v>108471</v>
      </c>
      <c r="B2338" s="72">
        <v>46027</v>
      </c>
      <c r="C2338" s="68">
        <v>46027</v>
      </c>
      <c r="D2338" s="58" t="s">
        <v>2073</v>
      </c>
      <c r="E2338" s="59" t="s">
        <v>352</v>
      </c>
      <c r="F2338" s="56">
        <v>36</v>
      </c>
      <c r="G2338" s="73">
        <v>142</v>
      </c>
      <c r="H2338" s="74" t="s">
        <v>584</v>
      </c>
      <c r="I2338" s="59" t="s">
        <v>2074</v>
      </c>
      <c r="J2338" s="59" t="s">
        <v>2075</v>
      </c>
      <c r="K2338" s="69">
        <v>5403</v>
      </c>
      <c r="L2338" s="56">
        <v>207</v>
      </c>
      <c r="M2338" s="59" t="s">
        <v>26</v>
      </c>
      <c r="N2338" s="61">
        <v>416.7</v>
      </c>
      <c r="O2338" s="59" t="s">
        <v>313</v>
      </c>
      <c r="P2338" s="62">
        <v>416.7</v>
      </c>
      <c r="Q2338" s="63">
        <v>20</v>
      </c>
      <c r="R2338" s="62">
        <v>83.34</v>
      </c>
      <c r="S2338" s="61">
        <v>0</v>
      </c>
      <c r="T2338" s="62">
        <v>0</v>
      </c>
    </row>
    <row r="2339" spans="1:20" ht="11.85" customHeight="1" x14ac:dyDescent="0.25">
      <c r="A2339" s="71" t="s">
        <v>620</v>
      </c>
      <c r="B2339" s="71"/>
      <c r="C2339" s="71"/>
      <c r="D2339" s="71"/>
      <c r="E2339" s="71"/>
      <c r="F2339" s="71"/>
      <c r="G2339" s="71"/>
      <c r="H2339" s="71"/>
    </row>
    <row r="2340" spans="1:20" ht="11.1" customHeight="1" x14ac:dyDescent="0.25">
      <c r="O2340" s="59" t="s">
        <v>313</v>
      </c>
      <c r="P2340" s="62">
        <v>416.7</v>
      </c>
      <c r="R2340" s="62">
        <v>83.34</v>
      </c>
      <c r="S2340" s="61">
        <v>0</v>
      </c>
      <c r="T2340" s="62">
        <v>0</v>
      </c>
    </row>
    <row r="2341" spans="1:20" ht="11.1" customHeight="1" x14ac:dyDescent="0.25">
      <c r="A2341" s="56">
        <v>109626</v>
      </c>
      <c r="B2341" s="72">
        <v>46051</v>
      </c>
      <c r="C2341" s="68">
        <v>46051</v>
      </c>
      <c r="D2341" s="58" t="s">
        <v>2076</v>
      </c>
      <c r="E2341" s="59" t="s">
        <v>352</v>
      </c>
      <c r="F2341" s="56">
        <v>36</v>
      </c>
      <c r="G2341" s="73">
        <v>582</v>
      </c>
      <c r="H2341" s="74" t="s">
        <v>2077</v>
      </c>
      <c r="I2341" s="59" t="s">
        <v>2078</v>
      </c>
      <c r="J2341" s="59" t="s">
        <v>2079</v>
      </c>
      <c r="K2341" s="69">
        <v>5403</v>
      </c>
      <c r="L2341" s="56">
        <v>207</v>
      </c>
      <c r="M2341" s="59" t="s">
        <v>26</v>
      </c>
      <c r="N2341" s="61">
        <v>209.61</v>
      </c>
      <c r="O2341" s="59" t="s">
        <v>313</v>
      </c>
      <c r="P2341" s="62">
        <v>195.9</v>
      </c>
      <c r="Q2341" s="63">
        <v>20</v>
      </c>
      <c r="R2341" s="62">
        <v>39.18</v>
      </c>
      <c r="S2341" s="61">
        <v>0</v>
      </c>
      <c r="T2341" s="62">
        <v>13.71</v>
      </c>
    </row>
    <row r="2342" spans="1:20" ht="11.1" customHeight="1" x14ac:dyDescent="0.25">
      <c r="O2342" s="59" t="s">
        <v>436</v>
      </c>
      <c r="P2342" s="62">
        <v>264.47000000000003</v>
      </c>
      <c r="Q2342" s="63">
        <v>20</v>
      </c>
      <c r="R2342" s="62">
        <v>13.71</v>
      </c>
      <c r="S2342" s="61">
        <v>0</v>
      </c>
      <c r="T2342" s="62">
        <v>0</v>
      </c>
    </row>
    <row r="2343" spans="1:20" ht="11.85" customHeight="1" x14ac:dyDescent="0.25">
      <c r="A2343" s="71" t="s">
        <v>620</v>
      </c>
      <c r="B2343" s="71"/>
      <c r="C2343" s="71"/>
      <c r="D2343" s="71"/>
      <c r="E2343" s="71"/>
      <c r="F2343" s="71"/>
      <c r="G2343" s="71"/>
      <c r="H2343" s="71"/>
    </row>
    <row r="2344" spans="1:20" ht="11.1" customHeight="1" x14ac:dyDescent="0.25">
      <c r="O2344" s="59" t="s">
        <v>313</v>
      </c>
      <c r="P2344" s="62">
        <v>195.9</v>
      </c>
      <c r="R2344" s="62">
        <v>39.18</v>
      </c>
      <c r="S2344" s="61">
        <v>0</v>
      </c>
      <c r="T2344" s="62">
        <v>13.71</v>
      </c>
    </row>
    <row r="2345" spans="1:20" ht="11.1" customHeight="1" x14ac:dyDescent="0.25">
      <c r="O2345" s="59" t="s">
        <v>436</v>
      </c>
      <c r="P2345" s="62">
        <v>264.47000000000003</v>
      </c>
      <c r="R2345" s="62">
        <v>13.71</v>
      </c>
      <c r="S2345" s="61">
        <v>0</v>
      </c>
      <c r="T2345" s="62">
        <v>0</v>
      </c>
    </row>
    <row r="2346" spans="1:20" ht="11.1" customHeight="1" x14ac:dyDescent="0.25">
      <c r="A2346" s="56">
        <v>108386</v>
      </c>
      <c r="B2346" s="72">
        <v>46024</v>
      </c>
      <c r="C2346" s="68">
        <v>46024</v>
      </c>
      <c r="D2346" s="58" t="s">
        <v>2080</v>
      </c>
      <c r="E2346" s="59" t="s">
        <v>352</v>
      </c>
      <c r="F2346" s="56">
        <v>36</v>
      </c>
      <c r="G2346" s="73">
        <v>9</v>
      </c>
      <c r="H2346" s="74" t="s">
        <v>2081</v>
      </c>
      <c r="I2346" s="59" t="s">
        <v>2082</v>
      </c>
      <c r="J2346" s="59" t="s">
        <v>2083</v>
      </c>
      <c r="K2346" s="69">
        <v>6102</v>
      </c>
      <c r="L2346" s="56">
        <v>238</v>
      </c>
      <c r="M2346" s="59" t="s">
        <v>34</v>
      </c>
      <c r="N2346" s="61">
        <v>176.92</v>
      </c>
      <c r="O2346" s="59" t="s">
        <v>313</v>
      </c>
      <c r="P2346" s="62">
        <v>176.92</v>
      </c>
      <c r="Q2346" s="63">
        <v>12</v>
      </c>
      <c r="R2346" s="62">
        <v>21.23</v>
      </c>
      <c r="S2346" s="61">
        <v>0</v>
      </c>
      <c r="T2346" s="62">
        <v>0</v>
      </c>
    </row>
    <row r="2347" spans="1:20" ht="11.1" customHeight="1" x14ac:dyDescent="0.25">
      <c r="A2347" s="56">
        <v>108387</v>
      </c>
      <c r="B2347" s="72">
        <v>46024</v>
      </c>
      <c r="C2347" s="68">
        <v>46024</v>
      </c>
      <c r="D2347" s="58" t="s">
        <v>2084</v>
      </c>
      <c r="E2347" s="59" t="s">
        <v>352</v>
      </c>
      <c r="F2347" s="56">
        <v>36</v>
      </c>
      <c r="G2347" s="73">
        <v>9</v>
      </c>
      <c r="H2347" s="74" t="s">
        <v>2081</v>
      </c>
      <c r="I2347" s="59" t="s">
        <v>2082</v>
      </c>
      <c r="J2347" s="59" t="s">
        <v>2083</v>
      </c>
      <c r="K2347" s="69">
        <v>6102</v>
      </c>
      <c r="L2347" s="56">
        <v>238</v>
      </c>
      <c r="M2347" s="59" t="s">
        <v>34</v>
      </c>
      <c r="N2347" s="61">
        <v>105.75</v>
      </c>
      <c r="O2347" s="59" t="s">
        <v>313</v>
      </c>
      <c r="P2347" s="62">
        <v>105.75</v>
      </c>
      <c r="Q2347" s="63">
        <v>12</v>
      </c>
      <c r="R2347" s="62">
        <v>12.69</v>
      </c>
      <c r="S2347" s="61">
        <v>0</v>
      </c>
      <c r="T2347" s="62">
        <v>0</v>
      </c>
    </row>
    <row r="2348" spans="1:20" ht="11.1" customHeight="1" x14ac:dyDescent="0.25">
      <c r="A2348" s="56">
        <v>108475</v>
      </c>
      <c r="B2348" s="72">
        <v>46027</v>
      </c>
      <c r="C2348" s="68">
        <v>46027</v>
      </c>
      <c r="D2348" s="58" t="s">
        <v>2085</v>
      </c>
      <c r="E2348" s="59" t="s">
        <v>352</v>
      </c>
      <c r="F2348" s="56">
        <v>36</v>
      </c>
      <c r="G2348" s="73">
        <v>9</v>
      </c>
      <c r="H2348" s="74" t="s">
        <v>2081</v>
      </c>
      <c r="I2348" s="59" t="s">
        <v>2082</v>
      </c>
      <c r="J2348" s="59" t="s">
        <v>2083</v>
      </c>
      <c r="K2348" s="69">
        <v>6403</v>
      </c>
      <c r="L2348" s="56">
        <v>207</v>
      </c>
      <c r="M2348" s="59" t="s">
        <v>34</v>
      </c>
      <c r="N2348" s="61">
        <v>269.04000000000002</v>
      </c>
      <c r="O2348" s="59" t="s">
        <v>313</v>
      </c>
      <c r="P2348" s="62">
        <v>251.44</v>
      </c>
      <c r="Q2348" s="63">
        <v>12</v>
      </c>
      <c r="R2348" s="62">
        <v>30.17</v>
      </c>
      <c r="S2348" s="61">
        <v>0</v>
      </c>
      <c r="T2348" s="62">
        <v>17.600000000000001</v>
      </c>
    </row>
    <row r="2349" spans="1:20" ht="11.1" customHeight="1" x14ac:dyDescent="0.25">
      <c r="O2349" s="59" t="s">
        <v>436</v>
      </c>
      <c r="P2349" s="62">
        <v>251.44</v>
      </c>
      <c r="Q2349" s="63">
        <v>19</v>
      </c>
      <c r="R2349" s="62">
        <v>17.600000000000001</v>
      </c>
      <c r="S2349" s="61">
        <v>0</v>
      </c>
      <c r="T2349" s="62">
        <v>0</v>
      </c>
    </row>
    <row r="2350" spans="1:20" ht="11.1" customHeight="1" x14ac:dyDescent="0.25">
      <c r="A2350" s="56">
        <v>108476</v>
      </c>
      <c r="B2350" s="72">
        <v>46027</v>
      </c>
      <c r="C2350" s="68">
        <v>46027</v>
      </c>
      <c r="D2350" s="58" t="s">
        <v>2085</v>
      </c>
      <c r="E2350" s="59" t="s">
        <v>352</v>
      </c>
      <c r="F2350" s="56">
        <v>36</v>
      </c>
      <c r="G2350" s="73">
        <v>9</v>
      </c>
      <c r="H2350" s="74" t="s">
        <v>2081</v>
      </c>
      <c r="I2350" s="59" t="s">
        <v>2082</v>
      </c>
      <c r="J2350" s="59" t="s">
        <v>2083</v>
      </c>
      <c r="K2350" s="69">
        <v>6102</v>
      </c>
      <c r="L2350" s="56">
        <v>238</v>
      </c>
      <c r="M2350" s="59" t="s">
        <v>34</v>
      </c>
      <c r="N2350" s="61">
        <v>287.88</v>
      </c>
      <c r="O2350" s="59" t="s">
        <v>313</v>
      </c>
      <c r="P2350" s="62">
        <v>287.88</v>
      </c>
      <c r="Q2350" s="63">
        <v>12</v>
      </c>
      <c r="R2350" s="62">
        <v>34.549999999999997</v>
      </c>
      <c r="S2350" s="61">
        <v>0</v>
      </c>
      <c r="T2350" s="62">
        <v>0</v>
      </c>
    </row>
    <row r="2351" spans="1:20" ht="11.1" customHeight="1" x14ac:dyDescent="0.25">
      <c r="A2351" s="56">
        <v>108477</v>
      </c>
      <c r="B2351" s="72">
        <v>46027</v>
      </c>
      <c r="C2351" s="68">
        <v>46027</v>
      </c>
      <c r="D2351" s="58" t="s">
        <v>2086</v>
      </c>
      <c r="E2351" s="59" t="s">
        <v>352</v>
      </c>
      <c r="F2351" s="56">
        <v>36</v>
      </c>
      <c r="G2351" s="73">
        <v>9</v>
      </c>
      <c r="H2351" s="74" t="s">
        <v>2081</v>
      </c>
      <c r="I2351" s="59" t="s">
        <v>2082</v>
      </c>
      <c r="J2351" s="59" t="s">
        <v>2083</v>
      </c>
      <c r="K2351" s="69">
        <v>6403</v>
      </c>
      <c r="L2351" s="56">
        <v>207</v>
      </c>
      <c r="M2351" s="59" t="s">
        <v>34</v>
      </c>
      <c r="N2351" s="61">
        <v>2576.8000000000002</v>
      </c>
      <c r="O2351" s="59" t="s">
        <v>313</v>
      </c>
      <c r="P2351" s="62">
        <v>2408.2199999999998</v>
      </c>
      <c r="Q2351" s="63">
        <v>12</v>
      </c>
      <c r="R2351" s="62">
        <v>288.98</v>
      </c>
      <c r="S2351" s="61">
        <v>0</v>
      </c>
      <c r="T2351" s="62">
        <v>168.58</v>
      </c>
    </row>
    <row r="2352" spans="1:20" ht="11.1" customHeight="1" x14ac:dyDescent="0.25">
      <c r="O2352" s="59" t="s">
        <v>436</v>
      </c>
      <c r="P2352" s="62">
        <v>2408.2199999999998</v>
      </c>
      <c r="Q2352" s="63">
        <v>19</v>
      </c>
      <c r="R2352" s="62">
        <v>168.58</v>
      </c>
      <c r="S2352" s="61">
        <v>0</v>
      </c>
      <c r="T2352" s="62">
        <v>0</v>
      </c>
    </row>
    <row r="2353" spans="1:20" ht="11.1" customHeight="1" x14ac:dyDescent="0.25">
      <c r="A2353" s="56">
        <v>108478</v>
      </c>
      <c r="B2353" s="72">
        <v>46027</v>
      </c>
      <c r="C2353" s="68">
        <v>46027</v>
      </c>
      <c r="D2353" s="58" t="s">
        <v>2086</v>
      </c>
      <c r="E2353" s="59" t="s">
        <v>352</v>
      </c>
      <c r="F2353" s="56">
        <v>36</v>
      </c>
      <c r="G2353" s="73">
        <v>9</v>
      </c>
      <c r="H2353" s="74" t="s">
        <v>2081</v>
      </c>
      <c r="I2353" s="59" t="s">
        <v>2082</v>
      </c>
      <c r="J2353" s="59" t="s">
        <v>2083</v>
      </c>
      <c r="K2353" s="69">
        <v>6102</v>
      </c>
      <c r="L2353" s="56">
        <v>238</v>
      </c>
      <c r="M2353" s="59" t="s">
        <v>34</v>
      </c>
      <c r="N2353" s="61">
        <v>7594.62</v>
      </c>
      <c r="O2353" s="59" t="s">
        <v>313</v>
      </c>
      <c r="P2353" s="62">
        <v>7384.26</v>
      </c>
      <c r="Q2353" s="63">
        <v>12</v>
      </c>
      <c r="R2353" s="62">
        <v>886.1</v>
      </c>
      <c r="S2353" s="61">
        <v>0</v>
      </c>
      <c r="T2353" s="62">
        <v>0</v>
      </c>
    </row>
    <row r="2354" spans="1:20" ht="11.1" customHeight="1" x14ac:dyDescent="0.25">
      <c r="O2354" s="59" t="s">
        <v>313</v>
      </c>
      <c r="P2354" s="62">
        <v>210.36</v>
      </c>
      <c r="Q2354" s="63">
        <v>19</v>
      </c>
      <c r="R2354" s="62">
        <v>39.97</v>
      </c>
      <c r="S2354" s="61">
        <v>0</v>
      </c>
      <c r="T2354" s="62">
        <v>0</v>
      </c>
    </row>
    <row r="2355" spans="1:20" ht="11.1" customHeight="1" x14ac:dyDescent="0.25">
      <c r="A2355" s="56">
        <v>108692</v>
      </c>
      <c r="B2355" s="72">
        <v>46031</v>
      </c>
      <c r="C2355" s="68">
        <v>46031</v>
      </c>
      <c r="D2355" s="58" t="s">
        <v>2087</v>
      </c>
      <c r="E2355" s="59" t="s">
        <v>352</v>
      </c>
      <c r="F2355" s="56">
        <v>36</v>
      </c>
      <c r="G2355" s="73">
        <v>9</v>
      </c>
      <c r="H2355" s="74" t="s">
        <v>2081</v>
      </c>
      <c r="I2355" s="59" t="s">
        <v>2082</v>
      </c>
      <c r="J2355" s="59" t="s">
        <v>2083</v>
      </c>
      <c r="K2355" s="69">
        <v>6403</v>
      </c>
      <c r="L2355" s="56">
        <v>207</v>
      </c>
      <c r="M2355" s="59" t="s">
        <v>34</v>
      </c>
      <c r="N2355" s="61">
        <v>390.54</v>
      </c>
      <c r="O2355" s="59" t="s">
        <v>313</v>
      </c>
      <c r="P2355" s="62">
        <v>364.98</v>
      </c>
      <c r="Q2355" s="63">
        <v>12</v>
      </c>
      <c r="R2355" s="62">
        <v>43.8</v>
      </c>
      <c r="S2355" s="61">
        <v>0</v>
      </c>
      <c r="T2355" s="62">
        <v>25.56</v>
      </c>
    </row>
    <row r="2356" spans="1:20" ht="11.1" customHeight="1" x14ac:dyDescent="0.25">
      <c r="O2356" s="59" t="s">
        <v>436</v>
      </c>
      <c r="P2356" s="62">
        <v>364.98</v>
      </c>
      <c r="Q2356" s="63">
        <v>19</v>
      </c>
      <c r="R2356" s="62">
        <v>25.56</v>
      </c>
      <c r="S2356" s="61">
        <v>0</v>
      </c>
      <c r="T2356" s="62">
        <v>0</v>
      </c>
    </row>
    <row r="2357" spans="1:20" ht="11.1" customHeight="1" x14ac:dyDescent="0.25">
      <c r="A2357" s="56">
        <v>108696</v>
      </c>
      <c r="B2357" s="72">
        <v>46031</v>
      </c>
      <c r="C2357" s="68">
        <v>46031</v>
      </c>
      <c r="D2357" s="58" t="s">
        <v>2088</v>
      </c>
      <c r="E2357" s="59" t="s">
        <v>352</v>
      </c>
      <c r="F2357" s="56">
        <v>36</v>
      </c>
      <c r="G2357" s="73">
        <v>9</v>
      </c>
      <c r="H2357" s="74" t="s">
        <v>2081</v>
      </c>
      <c r="I2357" s="59" t="s">
        <v>2082</v>
      </c>
      <c r="J2357" s="59" t="s">
        <v>2083</v>
      </c>
      <c r="K2357" s="69">
        <v>6102</v>
      </c>
      <c r="L2357" s="56">
        <v>238</v>
      </c>
      <c r="M2357" s="59" t="s">
        <v>34</v>
      </c>
      <c r="N2357" s="61">
        <v>118.08</v>
      </c>
      <c r="O2357" s="59" t="s">
        <v>313</v>
      </c>
      <c r="P2357" s="62">
        <v>118.08</v>
      </c>
      <c r="Q2357" s="63">
        <v>12</v>
      </c>
      <c r="R2357" s="62">
        <v>14.17</v>
      </c>
      <c r="S2357" s="61">
        <v>0</v>
      </c>
      <c r="T2357" s="62">
        <v>0</v>
      </c>
    </row>
    <row r="2358" spans="1:20" ht="11.1" customHeight="1" x14ac:dyDescent="0.25">
      <c r="A2358" s="56">
        <v>108697</v>
      </c>
      <c r="B2358" s="72">
        <v>46031</v>
      </c>
      <c r="C2358" s="68">
        <v>46031</v>
      </c>
      <c r="D2358" s="58" t="s">
        <v>2089</v>
      </c>
      <c r="E2358" s="59" t="s">
        <v>352</v>
      </c>
      <c r="F2358" s="56">
        <v>36</v>
      </c>
      <c r="G2358" s="73">
        <v>9</v>
      </c>
      <c r="H2358" s="74" t="s">
        <v>2081</v>
      </c>
      <c r="I2358" s="59" t="s">
        <v>2082</v>
      </c>
      <c r="J2358" s="59" t="s">
        <v>2083</v>
      </c>
      <c r="K2358" s="69">
        <v>6403</v>
      </c>
      <c r="L2358" s="56">
        <v>207</v>
      </c>
      <c r="M2358" s="59" t="s">
        <v>34</v>
      </c>
      <c r="N2358" s="61">
        <v>247.75</v>
      </c>
      <c r="O2358" s="59" t="s">
        <v>313</v>
      </c>
      <c r="P2358" s="62">
        <v>231.54</v>
      </c>
      <c r="Q2358" s="63">
        <v>12</v>
      </c>
      <c r="R2358" s="62">
        <v>27.78</v>
      </c>
      <c r="S2358" s="61">
        <v>0</v>
      </c>
      <c r="T2358" s="62">
        <v>16.21</v>
      </c>
    </row>
    <row r="2359" spans="1:20" ht="11.1" customHeight="1" x14ac:dyDescent="0.25">
      <c r="O2359" s="59" t="s">
        <v>436</v>
      </c>
      <c r="P2359" s="62">
        <v>231.54</v>
      </c>
      <c r="Q2359" s="63">
        <v>19</v>
      </c>
      <c r="R2359" s="62">
        <v>16.21</v>
      </c>
      <c r="S2359" s="61">
        <v>0</v>
      </c>
      <c r="T2359" s="62">
        <v>0</v>
      </c>
    </row>
    <row r="2360" spans="1:20" ht="11.1" customHeight="1" x14ac:dyDescent="0.25">
      <c r="A2360" s="56">
        <v>108698</v>
      </c>
      <c r="B2360" s="72">
        <v>46031</v>
      </c>
      <c r="C2360" s="68">
        <v>46031</v>
      </c>
      <c r="D2360" s="58" t="s">
        <v>2089</v>
      </c>
      <c r="E2360" s="59" t="s">
        <v>352</v>
      </c>
      <c r="F2360" s="56">
        <v>36</v>
      </c>
      <c r="G2360" s="73">
        <v>9</v>
      </c>
      <c r="H2360" s="74" t="s">
        <v>2081</v>
      </c>
      <c r="I2360" s="59" t="s">
        <v>2082</v>
      </c>
      <c r="J2360" s="59" t="s">
        <v>2083</v>
      </c>
      <c r="K2360" s="69">
        <v>6102</v>
      </c>
      <c r="L2360" s="56">
        <v>238</v>
      </c>
      <c r="M2360" s="59" t="s">
        <v>34</v>
      </c>
      <c r="N2360" s="61">
        <v>131.63999999999999</v>
      </c>
      <c r="O2360" s="59" t="s">
        <v>313</v>
      </c>
      <c r="P2360" s="62">
        <v>131.63999999999999</v>
      </c>
      <c r="Q2360" s="63">
        <v>12</v>
      </c>
      <c r="R2360" s="62">
        <v>15.8</v>
      </c>
      <c r="S2360" s="61">
        <v>0</v>
      </c>
      <c r="T2360" s="62">
        <v>0</v>
      </c>
    </row>
    <row r="2361" spans="1:20" ht="11.1" customHeight="1" x14ac:dyDescent="0.25">
      <c r="A2361" s="56">
        <v>108742</v>
      </c>
      <c r="B2361" s="72">
        <v>46031</v>
      </c>
      <c r="C2361" s="68">
        <v>46031</v>
      </c>
      <c r="D2361" s="58" t="s">
        <v>2090</v>
      </c>
      <c r="E2361" s="59" t="s">
        <v>352</v>
      </c>
      <c r="F2361" s="56">
        <v>36</v>
      </c>
      <c r="G2361" s="73">
        <v>9</v>
      </c>
      <c r="H2361" s="74" t="s">
        <v>2081</v>
      </c>
      <c r="I2361" s="59" t="s">
        <v>2082</v>
      </c>
      <c r="J2361" s="59" t="s">
        <v>2083</v>
      </c>
      <c r="K2361" s="69">
        <v>6403</v>
      </c>
      <c r="L2361" s="56">
        <v>207</v>
      </c>
      <c r="M2361" s="59" t="s">
        <v>34</v>
      </c>
      <c r="N2361" s="61">
        <v>524.9</v>
      </c>
      <c r="O2361" s="59" t="s">
        <v>313</v>
      </c>
      <c r="P2361" s="62">
        <v>490.56</v>
      </c>
      <c r="Q2361" s="63">
        <v>12</v>
      </c>
      <c r="R2361" s="62">
        <v>58.87</v>
      </c>
      <c r="S2361" s="61">
        <v>0</v>
      </c>
      <c r="T2361" s="62">
        <v>34.340000000000003</v>
      </c>
    </row>
    <row r="2362" spans="1:20" ht="11.1" customHeight="1" x14ac:dyDescent="0.25">
      <c r="O2362" s="59" t="s">
        <v>436</v>
      </c>
      <c r="P2362" s="62">
        <v>490.56</v>
      </c>
      <c r="Q2362" s="63">
        <v>19</v>
      </c>
      <c r="R2362" s="62">
        <v>34.340000000000003</v>
      </c>
      <c r="S2362" s="61">
        <v>0</v>
      </c>
      <c r="T2362" s="62">
        <v>0</v>
      </c>
    </row>
    <row r="2363" spans="1:20" ht="11.1" customHeight="1" x14ac:dyDescent="0.25">
      <c r="A2363" s="56">
        <v>108743</v>
      </c>
      <c r="B2363" s="72">
        <v>46031</v>
      </c>
      <c r="C2363" s="68">
        <v>46031</v>
      </c>
      <c r="D2363" s="58" t="s">
        <v>2091</v>
      </c>
      <c r="E2363" s="59" t="s">
        <v>352</v>
      </c>
      <c r="F2363" s="56">
        <v>36</v>
      </c>
      <c r="G2363" s="73">
        <v>9</v>
      </c>
      <c r="H2363" s="74" t="s">
        <v>2081</v>
      </c>
      <c r="I2363" s="59" t="s">
        <v>2082</v>
      </c>
      <c r="J2363" s="59" t="s">
        <v>2083</v>
      </c>
      <c r="K2363" s="69">
        <v>6403</v>
      </c>
      <c r="L2363" s="56">
        <v>207</v>
      </c>
      <c r="M2363" s="59" t="s">
        <v>34</v>
      </c>
      <c r="N2363" s="61">
        <v>3443.29</v>
      </c>
      <c r="O2363" s="59" t="s">
        <v>313</v>
      </c>
      <c r="P2363" s="62">
        <v>3218.03</v>
      </c>
      <c r="Q2363" s="63">
        <v>12</v>
      </c>
      <c r="R2363" s="62">
        <v>386.16</v>
      </c>
      <c r="S2363" s="61">
        <v>0</v>
      </c>
      <c r="T2363" s="62">
        <v>225.26</v>
      </c>
    </row>
    <row r="2364" spans="1:20" ht="11.1" customHeight="1" x14ac:dyDescent="0.25">
      <c r="O2364" s="59" t="s">
        <v>436</v>
      </c>
      <c r="P2364" s="62">
        <v>3218.03</v>
      </c>
      <c r="Q2364" s="63">
        <v>19</v>
      </c>
      <c r="R2364" s="62">
        <v>225.26</v>
      </c>
      <c r="S2364" s="61">
        <v>0</v>
      </c>
      <c r="T2364" s="62">
        <v>0</v>
      </c>
    </row>
    <row r="2365" spans="1:20" ht="11.1" customHeight="1" x14ac:dyDescent="0.25">
      <c r="A2365" s="56">
        <v>108744</v>
      </c>
      <c r="B2365" s="72">
        <v>46031</v>
      </c>
      <c r="C2365" s="68">
        <v>46031</v>
      </c>
      <c r="D2365" s="58" t="s">
        <v>2091</v>
      </c>
      <c r="E2365" s="59" t="s">
        <v>352</v>
      </c>
      <c r="F2365" s="56">
        <v>36</v>
      </c>
      <c r="G2365" s="73">
        <v>9</v>
      </c>
      <c r="H2365" s="74" t="s">
        <v>2081</v>
      </c>
      <c r="I2365" s="59" t="s">
        <v>2082</v>
      </c>
      <c r="J2365" s="59" t="s">
        <v>2083</v>
      </c>
      <c r="K2365" s="69">
        <v>6102</v>
      </c>
      <c r="L2365" s="56">
        <v>238</v>
      </c>
      <c r="M2365" s="59" t="s">
        <v>34</v>
      </c>
      <c r="N2365" s="61">
        <v>5505.51</v>
      </c>
      <c r="O2365" s="59" t="s">
        <v>313</v>
      </c>
      <c r="P2365" s="62">
        <v>5505.51</v>
      </c>
      <c r="Q2365" s="63">
        <v>12</v>
      </c>
      <c r="R2365" s="62">
        <v>660.65</v>
      </c>
      <c r="S2365" s="61">
        <v>0</v>
      </c>
      <c r="T2365" s="62">
        <v>0</v>
      </c>
    </row>
    <row r="2366" spans="1:20" ht="11.1" customHeight="1" x14ac:dyDescent="0.25">
      <c r="A2366" s="56">
        <v>108745</v>
      </c>
      <c r="B2366" s="72">
        <v>46031</v>
      </c>
      <c r="C2366" s="68">
        <v>46031</v>
      </c>
      <c r="D2366" s="58" t="s">
        <v>2091</v>
      </c>
      <c r="E2366" s="59" t="s">
        <v>352</v>
      </c>
      <c r="F2366" s="56">
        <v>36</v>
      </c>
      <c r="G2366" s="73">
        <v>9</v>
      </c>
      <c r="H2366" s="74" t="s">
        <v>2081</v>
      </c>
      <c r="I2366" s="59" t="s">
        <v>2082</v>
      </c>
      <c r="J2366" s="59" t="s">
        <v>2083</v>
      </c>
      <c r="K2366" s="69">
        <v>6404</v>
      </c>
      <c r="L2366" s="56">
        <v>710</v>
      </c>
      <c r="M2366" s="59" t="s">
        <v>34</v>
      </c>
      <c r="N2366" s="61">
        <v>141.54</v>
      </c>
      <c r="O2366" s="59" t="s">
        <v>313</v>
      </c>
      <c r="P2366" s="62">
        <v>0</v>
      </c>
      <c r="Q2366" s="63">
        <v>12</v>
      </c>
      <c r="R2366" s="62">
        <v>0</v>
      </c>
      <c r="S2366" s="61">
        <v>0</v>
      </c>
      <c r="T2366" s="62">
        <v>141.54</v>
      </c>
    </row>
    <row r="2367" spans="1:20" ht="11.1" customHeight="1" x14ac:dyDescent="0.25">
      <c r="O2367" s="59" t="s">
        <v>436</v>
      </c>
      <c r="P2367" s="62">
        <v>132.28</v>
      </c>
      <c r="Q2367" s="63">
        <v>19</v>
      </c>
      <c r="R2367" s="62">
        <v>9.26</v>
      </c>
      <c r="S2367" s="61">
        <v>0</v>
      </c>
      <c r="T2367" s="62">
        <v>0</v>
      </c>
    </row>
    <row r="2368" spans="1:20" ht="11.1" customHeight="1" x14ac:dyDescent="0.25">
      <c r="A2368" s="56">
        <v>108768</v>
      </c>
      <c r="B2368" s="72">
        <v>46034</v>
      </c>
      <c r="C2368" s="68">
        <v>46034</v>
      </c>
      <c r="D2368" s="58" t="s">
        <v>2092</v>
      </c>
      <c r="E2368" s="59" t="s">
        <v>352</v>
      </c>
      <c r="F2368" s="56">
        <v>36</v>
      </c>
      <c r="G2368" s="73">
        <v>9</v>
      </c>
      <c r="H2368" s="74" t="s">
        <v>2081</v>
      </c>
      <c r="I2368" s="59" t="s">
        <v>2082</v>
      </c>
      <c r="J2368" s="59" t="s">
        <v>2083</v>
      </c>
      <c r="K2368" s="69">
        <v>6403</v>
      </c>
      <c r="L2368" s="56">
        <v>207</v>
      </c>
      <c r="M2368" s="59" t="s">
        <v>34</v>
      </c>
      <c r="N2368" s="61">
        <v>231.51</v>
      </c>
      <c r="O2368" s="59" t="s">
        <v>313</v>
      </c>
      <c r="P2368" s="62">
        <v>216.36</v>
      </c>
      <c r="Q2368" s="63">
        <v>12</v>
      </c>
      <c r="R2368" s="62">
        <v>25.96</v>
      </c>
      <c r="S2368" s="61">
        <v>0</v>
      </c>
      <c r="T2368" s="62">
        <v>15.15</v>
      </c>
    </row>
    <row r="2369" spans="1:20" ht="11.1" customHeight="1" x14ac:dyDescent="0.25">
      <c r="O2369" s="59" t="s">
        <v>436</v>
      </c>
      <c r="P2369" s="62">
        <v>216.36</v>
      </c>
      <c r="Q2369" s="63">
        <v>19</v>
      </c>
      <c r="R2369" s="62">
        <v>15.15</v>
      </c>
      <c r="S2369" s="61">
        <v>0</v>
      </c>
      <c r="T2369" s="62">
        <v>0</v>
      </c>
    </row>
    <row r="2370" spans="1:20" ht="11.1" customHeight="1" x14ac:dyDescent="0.25">
      <c r="A2370" s="56">
        <v>109066</v>
      </c>
      <c r="B2370" s="72">
        <v>46038</v>
      </c>
      <c r="C2370" s="68">
        <v>46038</v>
      </c>
      <c r="D2370" s="58" t="s">
        <v>2093</v>
      </c>
      <c r="E2370" s="59" t="s">
        <v>352</v>
      </c>
      <c r="F2370" s="56">
        <v>36</v>
      </c>
      <c r="G2370" s="73">
        <v>9</v>
      </c>
      <c r="H2370" s="74" t="s">
        <v>2081</v>
      </c>
      <c r="I2370" s="59" t="s">
        <v>2082</v>
      </c>
      <c r="J2370" s="59" t="s">
        <v>2083</v>
      </c>
      <c r="K2370" s="69">
        <v>6403</v>
      </c>
      <c r="L2370" s="56">
        <v>207</v>
      </c>
      <c r="M2370" s="59" t="s">
        <v>34</v>
      </c>
      <c r="N2370" s="61">
        <v>3388.59</v>
      </c>
      <c r="O2370" s="59" t="s">
        <v>313</v>
      </c>
      <c r="P2370" s="62">
        <v>3166.91</v>
      </c>
      <c r="Q2370" s="63">
        <v>12</v>
      </c>
      <c r="R2370" s="62">
        <v>380.06</v>
      </c>
      <c r="S2370" s="61">
        <v>0</v>
      </c>
      <c r="T2370" s="62">
        <v>221.68</v>
      </c>
    </row>
    <row r="2371" spans="1:20" ht="11.1" customHeight="1" x14ac:dyDescent="0.25">
      <c r="O2371" s="59" t="s">
        <v>436</v>
      </c>
      <c r="P2371" s="62">
        <v>3166.91</v>
      </c>
      <c r="Q2371" s="63">
        <v>19</v>
      </c>
      <c r="R2371" s="62">
        <v>221.68</v>
      </c>
      <c r="S2371" s="61">
        <v>0</v>
      </c>
      <c r="T2371" s="62">
        <v>0</v>
      </c>
    </row>
    <row r="2372" spans="1:20" ht="11.1" customHeight="1" x14ac:dyDescent="0.25">
      <c r="A2372" s="56">
        <v>109067</v>
      </c>
      <c r="B2372" s="72">
        <v>46038</v>
      </c>
      <c r="C2372" s="68">
        <v>46038</v>
      </c>
      <c r="D2372" s="58" t="s">
        <v>2093</v>
      </c>
      <c r="E2372" s="59" t="s">
        <v>352</v>
      </c>
      <c r="F2372" s="56">
        <v>36</v>
      </c>
      <c r="G2372" s="73">
        <v>9</v>
      </c>
      <c r="H2372" s="74" t="s">
        <v>2081</v>
      </c>
      <c r="I2372" s="59" t="s">
        <v>2082</v>
      </c>
      <c r="J2372" s="59" t="s">
        <v>2083</v>
      </c>
      <c r="K2372" s="69">
        <v>6102</v>
      </c>
      <c r="L2372" s="56">
        <v>238</v>
      </c>
      <c r="M2372" s="59" t="s">
        <v>34</v>
      </c>
      <c r="N2372" s="61">
        <v>7406.88</v>
      </c>
      <c r="O2372" s="59" t="s">
        <v>313</v>
      </c>
      <c r="P2372" s="62">
        <v>7406.88</v>
      </c>
      <c r="Q2372" s="63">
        <v>12</v>
      </c>
      <c r="R2372" s="62">
        <v>888.81</v>
      </c>
      <c r="S2372" s="61">
        <v>0</v>
      </c>
      <c r="T2372" s="62">
        <v>0</v>
      </c>
    </row>
    <row r="2373" spans="1:20" ht="11.1" customHeight="1" x14ac:dyDescent="0.25">
      <c r="A2373" s="56">
        <v>109068</v>
      </c>
      <c r="B2373" s="72">
        <v>46038</v>
      </c>
      <c r="C2373" s="68">
        <v>46038</v>
      </c>
      <c r="D2373" s="58" t="s">
        <v>2093</v>
      </c>
      <c r="E2373" s="59" t="s">
        <v>352</v>
      </c>
      <c r="F2373" s="56">
        <v>36</v>
      </c>
      <c r="G2373" s="73">
        <v>9</v>
      </c>
      <c r="H2373" s="74" t="s">
        <v>2081</v>
      </c>
      <c r="I2373" s="59" t="s">
        <v>2082</v>
      </c>
      <c r="J2373" s="59" t="s">
        <v>2083</v>
      </c>
      <c r="K2373" s="69">
        <v>6404</v>
      </c>
      <c r="L2373" s="56">
        <v>710</v>
      </c>
      <c r="M2373" s="59" t="s">
        <v>34</v>
      </c>
      <c r="N2373" s="61">
        <v>31.7</v>
      </c>
      <c r="O2373" s="59" t="s">
        <v>313</v>
      </c>
      <c r="P2373" s="62">
        <v>0</v>
      </c>
      <c r="Q2373" s="63">
        <v>12</v>
      </c>
      <c r="R2373" s="62">
        <v>0</v>
      </c>
      <c r="S2373" s="61">
        <v>0</v>
      </c>
      <c r="T2373" s="62">
        <v>31.7</v>
      </c>
    </row>
    <row r="2374" spans="1:20" ht="11.1" customHeight="1" x14ac:dyDescent="0.25">
      <c r="O2374" s="59" t="s">
        <v>436</v>
      </c>
      <c r="P2374" s="62">
        <v>29.63</v>
      </c>
      <c r="Q2374" s="63">
        <v>19</v>
      </c>
      <c r="R2374" s="62">
        <v>2.0699999999999998</v>
      </c>
      <c r="S2374" s="61">
        <v>0</v>
      </c>
      <c r="T2374" s="62">
        <v>0</v>
      </c>
    </row>
    <row r="2375" spans="1:20" ht="11.1" customHeight="1" x14ac:dyDescent="0.25">
      <c r="A2375" s="56">
        <v>109135</v>
      </c>
      <c r="B2375" s="72">
        <v>46042</v>
      </c>
      <c r="C2375" s="68">
        <v>46042</v>
      </c>
      <c r="D2375" s="58" t="s">
        <v>2094</v>
      </c>
      <c r="E2375" s="59" t="s">
        <v>352</v>
      </c>
      <c r="F2375" s="56">
        <v>36</v>
      </c>
      <c r="G2375" s="73">
        <v>9</v>
      </c>
      <c r="H2375" s="74" t="s">
        <v>2081</v>
      </c>
      <c r="I2375" s="59" t="s">
        <v>2082</v>
      </c>
      <c r="J2375" s="59" t="s">
        <v>2083</v>
      </c>
      <c r="K2375" s="69">
        <v>6102</v>
      </c>
      <c r="L2375" s="56">
        <v>238</v>
      </c>
      <c r="M2375" s="59" t="s">
        <v>34</v>
      </c>
      <c r="N2375" s="61">
        <v>300.16000000000003</v>
      </c>
      <c r="O2375" s="59" t="s">
        <v>313</v>
      </c>
      <c r="P2375" s="62">
        <v>300.16000000000003</v>
      </c>
      <c r="Q2375" s="63">
        <v>12</v>
      </c>
      <c r="R2375" s="62">
        <v>36.020000000000003</v>
      </c>
      <c r="S2375" s="61">
        <v>0</v>
      </c>
      <c r="T2375" s="62">
        <v>0</v>
      </c>
    </row>
    <row r="2376" spans="1:20" ht="11.1" customHeight="1" x14ac:dyDescent="0.25">
      <c r="A2376" s="56">
        <v>109384</v>
      </c>
      <c r="B2376" s="72">
        <v>46045</v>
      </c>
      <c r="C2376" s="68">
        <v>46045</v>
      </c>
      <c r="D2376" s="58" t="s">
        <v>2095</v>
      </c>
      <c r="E2376" s="59" t="s">
        <v>352</v>
      </c>
      <c r="F2376" s="56">
        <v>36</v>
      </c>
      <c r="G2376" s="73">
        <v>9</v>
      </c>
      <c r="H2376" s="74" t="s">
        <v>2081</v>
      </c>
      <c r="I2376" s="59" t="s">
        <v>2082</v>
      </c>
      <c r="J2376" s="59" t="s">
        <v>2083</v>
      </c>
      <c r="K2376" s="69">
        <v>6403</v>
      </c>
      <c r="L2376" s="56">
        <v>207</v>
      </c>
      <c r="M2376" s="59" t="s">
        <v>34</v>
      </c>
      <c r="N2376" s="61">
        <v>9224.4599999999991</v>
      </c>
      <c r="O2376" s="59" t="s">
        <v>313</v>
      </c>
      <c r="P2376" s="62">
        <v>8621.02</v>
      </c>
      <c r="Q2376" s="63">
        <v>12</v>
      </c>
      <c r="R2376" s="62">
        <v>1034.53</v>
      </c>
      <c r="S2376" s="61">
        <v>0</v>
      </c>
      <c r="T2376" s="62">
        <v>603.44000000000005</v>
      </c>
    </row>
    <row r="2377" spans="1:20" ht="11.1" customHeight="1" x14ac:dyDescent="0.25">
      <c r="O2377" s="59" t="s">
        <v>436</v>
      </c>
      <c r="P2377" s="62">
        <v>8621.02</v>
      </c>
      <c r="Q2377" s="63">
        <v>19</v>
      </c>
      <c r="R2377" s="62">
        <v>603.44000000000005</v>
      </c>
      <c r="S2377" s="61">
        <v>0</v>
      </c>
      <c r="T2377" s="62">
        <v>0</v>
      </c>
    </row>
    <row r="2378" spans="1:20" ht="11.1" customHeight="1" x14ac:dyDescent="0.25">
      <c r="A2378" s="56">
        <v>109385</v>
      </c>
      <c r="B2378" s="72">
        <v>46045</v>
      </c>
      <c r="C2378" s="68">
        <v>46045</v>
      </c>
      <c r="D2378" s="58" t="s">
        <v>2095</v>
      </c>
      <c r="E2378" s="59" t="s">
        <v>352</v>
      </c>
      <c r="F2378" s="56">
        <v>36</v>
      </c>
      <c r="G2378" s="73">
        <v>9</v>
      </c>
      <c r="H2378" s="74" t="s">
        <v>2081</v>
      </c>
      <c r="I2378" s="59" t="s">
        <v>2082</v>
      </c>
      <c r="J2378" s="59" t="s">
        <v>2083</v>
      </c>
      <c r="K2378" s="69">
        <v>6102</v>
      </c>
      <c r="L2378" s="56">
        <v>238</v>
      </c>
      <c r="M2378" s="59" t="s">
        <v>34</v>
      </c>
      <c r="N2378" s="61">
        <v>6615.94</v>
      </c>
      <c r="O2378" s="59" t="s">
        <v>313</v>
      </c>
      <c r="P2378" s="62">
        <v>6615.94</v>
      </c>
      <c r="Q2378" s="63">
        <v>12</v>
      </c>
      <c r="R2378" s="62">
        <v>793.91</v>
      </c>
      <c r="S2378" s="61">
        <v>0</v>
      </c>
      <c r="T2378" s="62">
        <v>0</v>
      </c>
    </row>
    <row r="2379" spans="1:20" ht="11.1" customHeight="1" x14ac:dyDescent="0.25">
      <c r="A2379" s="56">
        <v>109386</v>
      </c>
      <c r="B2379" s="72">
        <v>46045</v>
      </c>
      <c r="C2379" s="68">
        <v>46045</v>
      </c>
      <c r="D2379" s="58" t="s">
        <v>2095</v>
      </c>
      <c r="E2379" s="59" t="s">
        <v>352</v>
      </c>
      <c r="F2379" s="56">
        <v>36</v>
      </c>
      <c r="G2379" s="73">
        <v>9</v>
      </c>
      <c r="H2379" s="74" t="s">
        <v>2081</v>
      </c>
      <c r="I2379" s="59" t="s">
        <v>2082</v>
      </c>
      <c r="J2379" s="59" t="s">
        <v>2083</v>
      </c>
      <c r="K2379" s="69">
        <v>6404</v>
      </c>
      <c r="L2379" s="56">
        <v>710</v>
      </c>
      <c r="M2379" s="59" t="s">
        <v>34</v>
      </c>
      <c r="N2379" s="61">
        <v>483.5</v>
      </c>
      <c r="O2379" s="59" t="s">
        <v>313</v>
      </c>
      <c r="P2379" s="62">
        <v>0</v>
      </c>
      <c r="Q2379" s="63">
        <v>12</v>
      </c>
      <c r="R2379" s="62">
        <v>0</v>
      </c>
      <c r="S2379" s="61">
        <v>0</v>
      </c>
      <c r="T2379" s="62">
        <v>483.5</v>
      </c>
    </row>
    <row r="2380" spans="1:20" ht="11.1" customHeight="1" x14ac:dyDescent="0.25">
      <c r="O2380" s="59" t="s">
        <v>436</v>
      </c>
      <c r="P2380" s="62">
        <v>451.86</v>
      </c>
      <c r="Q2380" s="63">
        <v>19</v>
      </c>
      <c r="R2380" s="62">
        <v>31.64</v>
      </c>
      <c r="S2380" s="61">
        <v>0</v>
      </c>
      <c r="T2380" s="62">
        <v>0</v>
      </c>
    </row>
    <row r="2381" spans="1:20" ht="11.1" customHeight="1" x14ac:dyDescent="0.25">
      <c r="A2381" s="56">
        <v>109400</v>
      </c>
      <c r="B2381" s="72">
        <v>46045</v>
      </c>
      <c r="C2381" s="68">
        <v>46045</v>
      </c>
      <c r="D2381" s="58" t="s">
        <v>2096</v>
      </c>
      <c r="E2381" s="59" t="s">
        <v>352</v>
      </c>
      <c r="F2381" s="56">
        <v>36</v>
      </c>
      <c r="G2381" s="73">
        <v>9</v>
      </c>
      <c r="H2381" s="74" t="s">
        <v>2081</v>
      </c>
      <c r="I2381" s="59" t="s">
        <v>2082</v>
      </c>
      <c r="J2381" s="59" t="s">
        <v>2083</v>
      </c>
      <c r="K2381" s="69">
        <v>6102</v>
      </c>
      <c r="L2381" s="56">
        <v>238</v>
      </c>
      <c r="M2381" s="59" t="s">
        <v>34</v>
      </c>
      <c r="N2381" s="61">
        <v>433.52</v>
      </c>
      <c r="O2381" s="59" t="s">
        <v>313</v>
      </c>
      <c r="P2381" s="62">
        <v>433.52</v>
      </c>
      <c r="Q2381" s="63">
        <v>12</v>
      </c>
      <c r="R2381" s="62">
        <v>52.03</v>
      </c>
      <c r="S2381" s="61">
        <v>0</v>
      </c>
      <c r="T2381" s="62">
        <v>0</v>
      </c>
    </row>
    <row r="2382" spans="1:20" ht="11.85" customHeight="1" x14ac:dyDescent="0.25">
      <c r="A2382" s="71" t="s">
        <v>620</v>
      </c>
      <c r="B2382" s="71"/>
      <c r="C2382" s="71"/>
      <c r="D2382" s="71"/>
      <c r="E2382" s="71"/>
      <c r="F2382" s="71"/>
      <c r="G2382" s="71"/>
      <c r="H2382" s="71"/>
    </row>
    <row r="2383" spans="1:20" ht="11.1" customHeight="1" x14ac:dyDescent="0.25">
      <c r="O2383" s="59" t="s">
        <v>313</v>
      </c>
      <c r="P2383" s="62">
        <v>47645.96</v>
      </c>
      <c r="R2383" s="62">
        <v>5732.24</v>
      </c>
      <c r="S2383" s="61">
        <v>0</v>
      </c>
      <c r="T2383" s="62">
        <v>1984.56</v>
      </c>
    </row>
    <row r="2384" spans="1:20" ht="11.1" customHeight="1" x14ac:dyDescent="0.25">
      <c r="O2384" s="59" t="s">
        <v>436</v>
      </c>
      <c r="P2384" s="62">
        <v>19582.830000000002</v>
      </c>
      <c r="R2384" s="62">
        <v>1370.79</v>
      </c>
      <c r="S2384" s="61">
        <v>0</v>
      </c>
      <c r="T2384" s="62">
        <v>0</v>
      </c>
    </row>
    <row r="2385" spans="1:20" ht="11.1" customHeight="1" x14ac:dyDescent="0.25">
      <c r="A2385" s="56">
        <v>109057</v>
      </c>
      <c r="B2385" s="72">
        <v>46038</v>
      </c>
      <c r="C2385" s="68">
        <v>46038</v>
      </c>
      <c r="D2385" s="58" t="s">
        <v>2097</v>
      </c>
      <c r="E2385" s="59" t="s">
        <v>352</v>
      </c>
      <c r="F2385" s="56">
        <v>36</v>
      </c>
      <c r="G2385" s="73">
        <v>53</v>
      </c>
      <c r="H2385" s="74" t="s">
        <v>591</v>
      </c>
      <c r="I2385" s="59" t="s">
        <v>2098</v>
      </c>
      <c r="J2385" s="59" t="s">
        <v>2099</v>
      </c>
      <c r="K2385" s="69">
        <v>5102</v>
      </c>
      <c r="L2385" s="56">
        <v>205</v>
      </c>
      <c r="M2385" s="59" t="s">
        <v>26</v>
      </c>
      <c r="N2385" s="61">
        <v>572.41999999999996</v>
      </c>
      <c r="O2385" s="59" t="s">
        <v>313</v>
      </c>
      <c r="P2385" s="62">
        <v>572.41999999999996</v>
      </c>
      <c r="Q2385" s="63">
        <v>20</v>
      </c>
      <c r="R2385" s="62">
        <v>114.49</v>
      </c>
      <c r="S2385" s="61">
        <v>0</v>
      </c>
      <c r="T2385" s="62">
        <v>0</v>
      </c>
    </row>
    <row r="2386" spans="1:20" ht="11.1" customHeight="1" x14ac:dyDescent="0.25">
      <c r="A2386" s="56">
        <v>109404</v>
      </c>
      <c r="B2386" s="72">
        <v>46045</v>
      </c>
      <c r="C2386" s="68">
        <v>46045</v>
      </c>
      <c r="D2386" s="58" t="s">
        <v>2100</v>
      </c>
      <c r="E2386" s="59" t="s">
        <v>352</v>
      </c>
      <c r="F2386" s="56">
        <v>36</v>
      </c>
      <c r="G2386" s="73">
        <v>53</v>
      </c>
      <c r="H2386" s="74" t="s">
        <v>591</v>
      </c>
      <c r="I2386" s="59" t="s">
        <v>2098</v>
      </c>
      <c r="J2386" s="59" t="s">
        <v>2099</v>
      </c>
      <c r="K2386" s="69">
        <v>5102</v>
      </c>
      <c r="L2386" s="56">
        <v>205</v>
      </c>
      <c r="M2386" s="59" t="s">
        <v>26</v>
      </c>
      <c r="N2386" s="61">
        <v>226.72</v>
      </c>
      <c r="O2386" s="59" t="s">
        <v>313</v>
      </c>
      <c r="P2386" s="62">
        <v>226.72</v>
      </c>
      <c r="Q2386" s="63">
        <v>20</v>
      </c>
      <c r="R2386" s="62">
        <v>45.35</v>
      </c>
      <c r="S2386" s="61">
        <v>0</v>
      </c>
      <c r="T2386" s="62">
        <v>0</v>
      </c>
    </row>
    <row r="2387" spans="1:20" ht="11.1" customHeight="1" x14ac:dyDescent="0.25">
      <c r="A2387" s="56">
        <v>109405</v>
      </c>
      <c r="B2387" s="72">
        <v>46045</v>
      </c>
      <c r="C2387" s="68">
        <v>46045</v>
      </c>
      <c r="D2387" s="58" t="s">
        <v>2100</v>
      </c>
      <c r="E2387" s="59" t="s">
        <v>352</v>
      </c>
      <c r="F2387" s="56">
        <v>36</v>
      </c>
      <c r="G2387" s="73">
        <v>53</v>
      </c>
      <c r="H2387" s="74" t="s">
        <v>591</v>
      </c>
      <c r="I2387" s="59" t="s">
        <v>2098</v>
      </c>
      <c r="J2387" s="59" t="s">
        <v>2099</v>
      </c>
      <c r="K2387" s="69">
        <v>5403</v>
      </c>
      <c r="L2387" s="56">
        <v>207</v>
      </c>
      <c r="M2387" s="59" t="s">
        <v>26</v>
      </c>
      <c r="N2387" s="61">
        <v>267.14</v>
      </c>
      <c r="O2387" s="59" t="s">
        <v>313</v>
      </c>
      <c r="P2387" s="62">
        <v>249.66</v>
      </c>
      <c r="Q2387" s="63">
        <v>20</v>
      </c>
      <c r="R2387" s="62">
        <v>49.93</v>
      </c>
      <c r="S2387" s="61">
        <v>0</v>
      </c>
      <c r="T2387" s="62">
        <v>17.48</v>
      </c>
    </row>
    <row r="2388" spans="1:20" ht="11.1" customHeight="1" x14ac:dyDescent="0.25">
      <c r="O2388" s="59" t="s">
        <v>436</v>
      </c>
      <c r="P2388" s="62">
        <v>337.04</v>
      </c>
      <c r="Q2388" s="63">
        <v>20</v>
      </c>
      <c r="R2388" s="62">
        <v>17.48</v>
      </c>
      <c r="S2388" s="61">
        <v>0</v>
      </c>
      <c r="T2388" s="62">
        <v>0</v>
      </c>
    </row>
    <row r="2389" spans="1:20" ht="11.1" customHeight="1" x14ac:dyDescent="0.25">
      <c r="A2389" s="56">
        <v>109454</v>
      </c>
      <c r="B2389" s="72">
        <v>46048</v>
      </c>
      <c r="C2389" s="68">
        <v>46048</v>
      </c>
      <c r="D2389" s="58" t="s">
        <v>2101</v>
      </c>
      <c r="E2389" s="59" t="s">
        <v>352</v>
      </c>
      <c r="F2389" s="56">
        <v>36</v>
      </c>
      <c r="G2389" s="73">
        <v>53</v>
      </c>
      <c r="H2389" s="74" t="s">
        <v>591</v>
      </c>
      <c r="I2389" s="59" t="s">
        <v>2098</v>
      </c>
      <c r="J2389" s="59" t="s">
        <v>2099</v>
      </c>
      <c r="K2389" s="69">
        <v>5102</v>
      </c>
      <c r="L2389" s="56">
        <v>205</v>
      </c>
      <c r="M2389" s="59" t="s">
        <v>26</v>
      </c>
      <c r="N2389" s="61">
        <v>111.6</v>
      </c>
      <c r="O2389" s="59" t="s">
        <v>313</v>
      </c>
      <c r="P2389" s="62">
        <v>111.6</v>
      </c>
      <c r="Q2389" s="63">
        <v>20</v>
      </c>
      <c r="R2389" s="62">
        <v>22.32</v>
      </c>
      <c r="S2389" s="61">
        <v>0</v>
      </c>
      <c r="T2389" s="62">
        <v>0</v>
      </c>
    </row>
    <row r="2390" spans="1:20" ht="11.85" customHeight="1" x14ac:dyDescent="0.25">
      <c r="A2390" s="71" t="s">
        <v>620</v>
      </c>
      <c r="B2390" s="71"/>
      <c r="C2390" s="71"/>
      <c r="D2390" s="71"/>
      <c r="E2390" s="71"/>
      <c r="F2390" s="71"/>
      <c r="G2390" s="71"/>
      <c r="H2390" s="71"/>
    </row>
    <row r="2391" spans="1:20" ht="11.1" customHeight="1" x14ac:dyDescent="0.25">
      <c r="O2391" s="59" t="s">
        <v>313</v>
      </c>
      <c r="P2391" s="62">
        <v>1160.4000000000001</v>
      </c>
      <c r="R2391" s="62">
        <v>232.09</v>
      </c>
      <c r="S2391" s="61">
        <v>0</v>
      </c>
      <c r="T2391" s="62">
        <v>17.48</v>
      </c>
    </row>
    <row r="2392" spans="1:20" ht="11.1" customHeight="1" x14ac:dyDescent="0.25">
      <c r="O2392" s="59" t="s">
        <v>436</v>
      </c>
      <c r="P2392" s="62">
        <v>337.04</v>
      </c>
      <c r="R2392" s="62">
        <v>17.48</v>
      </c>
      <c r="S2392" s="61">
        <v>0</v>
      </c>
      <c r="T2392" s="62">
        <v>0</v>
      </c>
    </row>
    <row r="2393" spans="1:20" ht="11.1" customHeight="1" x14ac:dyDescent="0.25">
      <c r="A2393" s="56">
        <v>109381</v>
      </c>
      <c r="B2393" s="72">
        <v>46045</v>
      </c>
      <c r="C2393" s="68">
        <v>46045</v>
      </c>
      <c r="D2393" s="58" t="s">
        <v>2102</v>
      </c>
      <c r="E2393" s="59" t="s">
        <v>352</v>
      </c>
      <c r="F2393" s="56">
        <v>36</v>
      </c>
      <c r="G2393" s="73">
        <v>308</v>
      </c>
      <c r="H2393" s="74" t="s">
        <v>2103</v>
      </c>
      <c r="I2393" s="59" t="s">
        <v>2104</v>
      </c>
      <c r="J2393" s="59" t="s">
        <v>2105</v>
      </c>
      <c r="K2393" s="69">
        <v>6403</v>
      </c>
      <c r="L2393" s="56">
        <v>207</v>
      </c>
      <c r="M2393" s="59" t="s">
        <v>34</v>
      </c>
      <c r="N2393" s="61">
        <v>742.56</v>
      </c>
      <c r="O2393" s="59" t="s">
        <v>313</v>
      </c>
      <c r="P2393" s="62">
        <v>644.6</v>
      </c>
      <c r="Q2393" s="63">
        <v>12</v>
      </c>
      <c r="R2393" s="62">
        <v>77.349999999999994</v>
      </c>
      <c r="S2393" s="61">
        <v>0</v>
      </c>
      <c r="T2393" s="62">
        <v>97.96</v>
      </c>
    </row>
    <row r="2394" spans="1:20" ht="11.1" customHeight="1" x14ac:dyDescent="0.25">
      <c r="O2394" s="59" t="s">
        <v>436</v>
      </c>
      <c r="P2394" s="62">
        <v>922.68</v>
      </c>
      <c r="Q2394" s="63">
        <v>19</v>
      </c>
      <c r="R2394" s="62">
        <v>97.96</v>
      </c>
      <c r="S2394" s="61">
        <v>0</v>
      </c>
      <c r="T2394" s="62">
        <v>0</v>
      </c>
    </row>
    <row r="2395" spans="1:20" ht="11.1" customHeight="1" x14ac:dyDescent="0.25">
      <c r="A2395" s="56">
        <v>109382</v>
      </c>
      <c r="B2395" s="72">
        <v>46045</v>
      </c>
      <c r="C2395" s="68">
        <v>46045</v>
      </c>
      <c r="D2395" s="58" t="s">
        <v>2102</v>
      </c>
      <c r="E2395" s="59" t="s">
        <v>352</v>
      </c>
      <c r="F2395" s="56">
        <v>36</v>
      </c>
      <c r="G2395" s="73">
        <v>308</v>
      </c>
      <c r="H2395" s="74" t="s">
        <v>2103</v>
      </c>
      <c r="I2395" s="59" t="s">
        <v>2104</v>
      </c>
      <c r="J2395" s="59" t="s">
        <v>2105</v>
      </c>
      <c r="K2395" s="69">
        <v>6102</v>
      </c>
      <c r="L2395" s="56">
        <v>238</v>
      </c>
      <c r="M2395" s="59" t="s">
        <v>34</v>
      </c>
      <c r="N2395" s="61">
        <v>427.39</v>
      </c>
      <c r="O2395" s="59" t="s">
        <v>313</v>
      </c>
      <c r="P2395" s="62">
        <v>427.39</v>
      </c>
      <c r="Q2395" s="63">
        <v>12</v>
      </c>
      <c r="R2395" s="62">
        <v>51.29</v>
      </c>
      <c r="S2395" s="61">
        <v>0</v>
      </c>
      <c r="T2395" s="62">
        <v>0</v>
      </c>
    </row>
    <row r="2396" spans="1:20" ht="11.85" customHeight="1" x14ac:dyDescent="0.25">
      <c r="A2396" s="71" t="s">
        <v>620</v>
      </c>
      <c r="B2396" s="71"/>
      <c r="C2396" s="71"/>
      <c r="D2396" s="71"/>
      <c r="E2396" s="71"/>
      <c r="F2396" s="71"/>
      <c r="G2396" s="71"/>
      <c r="H2396" s="71"/>
    </row>
    <row r="2397" spans="1:20" ht="11.1" customHeight="1" x14ac:dyDescent="0.25">
      <c r="O2397" s="59" t="s">
        <v>313</v>
      </c>
      <c r="P2397" s="62">
        <v>1071.99</v>
      </c>
      <c r="R2397" s="62">
        <v>128.63999999999999</v>
      </c>
      <c r="S2397" s="61">
        <v>0</v>
      </c>
      <c r="T2397" s="62">
        <v>97.96</v>
      </c>
    </row>
    <row r="2398" spans="1:20" ht="11.1" customHeight="1" x14ac:dyDescent="0.25">
      <c r="O2398" s="59" t="s">
        <v>436</v>
      </c>
      <c r="P2398" s="62">
        <v>922.68</v>
      </c>
      <c r="R2398" s="62">
        <v>97.96</v>
      </c>
      <c r="S2398" s="61">
        <v>0</v>
      </c>
      <c r="T2398" s="62">
        <v>0</v>
      </c>
    </row>
    <row r="2399" spans="1:20" ht="11.1" customHeight="1" x14ac:dyDescent="0.25">
      <c r="A2399" s="56">
        <v>108639</v>
      </c>
      <c r="B2399" s="72">
        <v>46030</v>
      </c>
      <c r="C2399" s="68">
        <v>46030</v>
      </c>
      <c r="D2399" s="58" t="s">
        <v>2106</v>
      </c>
      <c r="E2399" s="59" t="s">
        <v>352</v>
      </c>
      <c r="F2399" s="56">
        <v>36</v>
      </c>
      <c r="G2399" s="73">
        <v>39</v>
      </c>
      <c r="H2399" s="74" t="s">
        <v>2107</v>
      </c>
      <c r="I2399" s="59" t="s">
        <v>2108</v>
      </c>
      <c r="J2399" s="59" t="s">
        <v>2109</v>
      </c>
      <c r="K2399" s="69">
        <v>5102</v>
      </c>
      <c r="L2399" s="56">
        <v>205</v>
      </c>
      <c r="M2399" s="59" t="s">
        <v>26</v>
      </c>
      <c r="N2399" s="61">
        <v>127.5</v>
      </c>
      <c r="O2399" s="59" t="s">
        <v>313</v>
      </c>
      <c r="P2399" s="62">
        <v>127.5</v>
      </c>
      <c r="Q2399" s="63">
        <v>20</v>
      </c>
      <c r="R2399" s="62">
        <v>25.5</v>
      </c>
      <c r="S2399" s="61">
        <v>0</v>
      </c>
      <c r="T2399" s="62">
        <v>0</v>
      </c>
    </row>
    <row r="2400" spans="1:20" ht="11.1" customHeight="1" x14ac:dyDescent="0.25">
      <c r="A2400" s="56">
        <v>108775</v>
      </c>
      <c r="B2400" s="72">
        <v>46034</v>
      </c>
      <c r="C2400" s="68">
        <v>46034</v>
      </c>
      <c r="D2400" s="58" t="s">
        <v>2110</v>
      </c>
      <c r="E2400" s="59" t="s">
        <v>352</v>
      </c>
      <c r="F2400" s="56">
        <v>36</v>
      </c>
      <c r="G2400" s="73">
        <v>39</v>
      </c>
      <c r="H2400" s="74" t="s">
        <v>2107</v>
      </c>
      <c r="I2400" s="59" t="s">
        <v>2108</v>
      </c>
      <c r="J2400" s="59" t="s">
        <v>2109</v>
      </c>
      <c r="K2400" s="69">
        <v>5102</v>
      </c>
      <c r="L2400" s="56">
        <v>205</v>
      </c>
      <c r="M2400" s="59" t="s">
        <v>26</v>
      </c>
      <c r="N2400" s="61">
        <v>45.4</v>
      </c>
      <c r="O2400" s="59" t="s">
        <v>313</v>
      </c>
      <c r="P2400" s="62">
        <v>45.4</v>
      </c>
      <c r="Q2400" s="63">
        <v>20</v>
      </c>
      <c r="R2400" s="62">
        <v>9.08</v>
      </c>
      <c r="S2400" s="61">
        <v>0</v>
      </c>
      <c r="T2400" s="62">
        <v>0</v>
      </c>
    </row>
    <row r="2401" spans="1:20" ht="11.1" customHeight="1" x14ac:dyDescent="0.25">
      <c r="A2401" s="56">
        <v>108921</v>
      </c>
      <c r="B2401" s="72">
        <v>46036</v>
      </c>
      <c r="C2401" s="68">
        <v>46036</v>
      </c>
      <c r="D2401" s="58" t="s">
        <v>2111</v>
      </c>
      <c r="E2401" s="59" t="s">
        <v>352</v>
      </c>
      <c r="F2401" s="56">
        <v>36</v>
      </c>
      <c r="G2401" s="73">
        <v>39</v>
      </c>
      <c r="H2401" s="74" t="s">
        <v>2107</v>
      </c>
      <c r="I2401" s="59" t="s">
        <v>2108</v>
      </c>
      <c r="J2401" s="59" t="s">
        <v>2109</v>
      </c>
      <c r="K2401" s="69">
        <v>5102</v>
      </c>
      <c r="L2401" s="56">
        <v>205</v>
      </c>
      <c r="M2401" s="59" t="s">
        <v>26</v>
      </c>
      <c r="N2401" s="61">
        <v>119.82</v>
      </c>
      <c r="O2401" s="59" t="s">
        <v>313</v>
      </c>
      <c r="P2401" s="62">
        <v>119.82</v>
      </c>
      <c r="Q2401" s="63">
        <v>20</v>
      </c>
      <c r="R2401" s="62">
        <v>23.96</v>
      </c>
      <c r="S2401" s="61">
        <v>0</v>
      </c>
      <c r="T2401" s="62">
        <v>0</v>
      </c>
    </row>
    <row r="2402" spans="1:20" ht="11.1" customHeight="1" x14ac:dyDescent="0.25">
      <c r="A2402" s="56">
        <v>109114</v>
      </c>
      <c r="B2402" s="72">
        <v>46041</v>
      </c>
      <c r="C2402" s="68">
        <v>46041</v>
      </c>
      <c r="D2402" s="58" t="s">
        <v>2112</v>
      </c>
      <c r="E2402" s="59" t="s">
        <v>352</v>
      </c>
      <c r="F2402" s="56">
        <v>36</v>
      </c>
      <c r="G2402" s="73">
        <v>39</v>
      </c>
      <c r="H2402" s="74" t="s">
        <v>2107</v>
      </c>
      <c r="I2402" s="59" t="s">
        <v>2108</v>
      </c>
      <c r="J2402" s="59" t="s">
        <v>2109</v>
      </c>
      <c r="K2402" s="69">
        <v>5102</v>
      </c>
      <c r="L2402" s="56">
        <v>205</v>
      </c>
      <c r="M2402" s="59" t="s">
        <v>26</v>
      </c>
      <c r="N2402" s="61">
        <v>53.74</v>
      </c>
      <c r="O2402" s="59" t="s">
        <v>313</v>
      </c>
      <c r="P2402" s="62">
        <v>53.74</v>
      </c>
      <c r="Q2402" s="63">
        <v>20</v>
      </c>
      <c r="R2402" s="62">
        <v>10.75</v>
      </c>
      <c r="S2402" s="61">
        <v>0</v>
      </c>
      <c r="T2402" s="62">
        <v>0</v>
      </c>
    </row>
    <row r="2403" spans="1:20" ht="11.1" customHeight="1" x14ac:dyDescent="0.25">
      <c r="A2403" s="56">
        <v>109599</v>
      </c>
      <c r="B2403" s="72">
        <v>46051</v>
      </c>
      <c r="C2403" s="68">
        <v>46051</v>
      </c>
      <c r="D2403" s="58" t="s">
        <v>2113</v>
      </c>
      <c r="E2403" s="59" t="s">
        <v>352</v>
      </c>
      <c r="F2403" s="56">
        <v>36</v>
      </c>
      <c r="G2403" s="73">
        <v>39</v>
      </c>
      <c r="H2403" s="74" t="s">
        <v>2107</v>
      </c>
      <c r="I2403" s="59" t="s">
        <v>2108</v>
      </c>
      <c r="J2403" s="59" t="s">
        <v>2109</v>
      </c>
      <c r="K2403" s="69">
        <v>5102</v>
      </c>
      <c r="L2403" s="56">
        <v>205</v>
      </c>
      <c r="M2403" s="59" t="s">
        <v>26</v>
      </c>
      <c r="N2403" s="61">
        <v>45.4</v>
      </c>
      <c r="O2403" s="59" t="s">
        <v>313</v>
      </c>
      <c r="P2403" s="62">
        <v>45.4</v>
      </c>
      <c r="Q2403" s="63">
        <v>20</v>
      </c>
      <c r="R2403" s="62">
        <v>9.08</v>
      </c>
      <c r="S2403" s="61">
        <v>0</v>
      </c>
      <c r="T2403" s="62">
        <v>0</v>
      </c>
    </row>
    <row r="2404" spans="1:20" ht="11.85" customHeight="1" x14ac:dyDescent="0.25">
      <c r="A2404" s="71" t="s">
        <v>620</v>
      </c>
      <c r="B2404" s="71"/>
      <c r="C2404" s="71"/>
      <c r="D2404" s="71"/>
      <c r="E2404" s="71"/>
      <c r="F2404" s="71"/>
      <c r="G2404" s="71"/>
      <c r="H2404" s="71"/>
    </row>
    <row r="2405" spans="1:20" ht="11.1" customHeight="1" x14ac:dyDescent="0.25">
      <c r="O2405" s="59" t="s">
        <v>313</v>
      </c>
      <c r="P2405" s="62">
        <v>391.86</v>
      </c>
      <c r="R2405" s="62">
        <v>78.37</v>
      </c>
      <c r="S2405" s="61">
        <v>0</v>
      </c>
      <c r="T2405" s="62">
        <v>0</v>
      </c>
    </row>
    <row r="2406" spans="1:20" ht="11.1" customHeight="1" x14ac:dyDescent="0.25">
      <c r="A2406" s="56">
        <v>108393</v>
      </c>
      <c r="B2406" s="72">
        <v>46024</v>
      </c>
      <c r="C2406" s="68">
        <v>46024</v>
      </c>
      <c r="D2406" s="58" t="s">
        <v>2114</v>
      </c>
      <c r="E2406" s="59" t="s">
        <v>352</v>
      </c>
      <c r="F2406" s="56">
        <v>36</v>
      </c>
      <c r="G2406" s="73">
        <v>113</v>
      </c>
      <c r="H2406" s="74" t="s">
        <v>2115</v>
      </c>
      <c r="I2406" s="59" t="s">
        <v>2116</v>
      </c>
      <c r="J2406" s="59" t="s">
        <v>2117</v>
      </c>
      <c r="K2406" s="69">
        <v>5102</v>
      </c>
      <c r="L2406" s="56">
        <v>205</v>
      </c>
      <c r="M2406" s="59" t="s">
        <v>26</v>
      </c>
      <c r="N2406" s="61">
        <v>18191.3</v>
      </c>
      <c r="O2406" s="59" t="s">
        <v>313</v>
      </c>
      <c r="P2406" s="62">
        <v>18191.3</v>
      </c>
      <c r="Q2406" s="63">
        <v>20</v>
      </c>
      <c r="R2406" s="62">
        <v>3638.28</v>
      </c>
      <c r="S2406" s="61">
        <v>0</v>
      </c>
      <c r="T2406" s="62">
        <v>0</v>
      </c>
    </row>
    <row r="2407" spans="1:20" ht="11.1" customHeight="1" x14ac:dyDescent="0.25">
      <c r="A2407" s="56">
        <v>108394</v>
      </c>
      <c r="B2407" s="72">
        <v>46024</v>
      </c>
      <c r="C2407" s="68">
        <v>46024</v>
      </c>
      <c r="D2407" s="58" t="s">
        <v>2114</v>
      </c>
      <c r="E2407" s="59" t="s">
        <v>352</v>
      </c>
      <c r="F2407" s="56">
        <v>36</v>
      </c>
      <c r="G2407" s="73">
        <v>113</v>
      </c>
      <c r="H2407" s="74" t="s">
        <v>2115</v>
      </c>
      <c r="I2407" s="59" t="s">
        <v>2116</v>
      </c>
      <c r="J2407" s="59" t="s">
        <v>2117</v>
      </c>
      <c r="K2407" s="69">
        <v>5405</v>
      </c>
      <c r="L2407" s="56">
        <v>206</v>
      </c>
      <c r="M2407" s="59" t="s">
        <v>26</v>
      </c>
      <c r="N2407" s="61">
        <v>298.56</v>
      </c>
      <c r="O2407" s="59" t="s">
        <v>313</v>
      </c>
      <c r="P2407" s="62">
        <v>0</v>
      </c>
      <c r="Q2407" s="63">
        <v>0</v>
      </c>
      <c r="R2407" s="62">
        <v>0</v>
      </c>
      <c r="S2407" s="61">
        <v>0</v>
      </c>
      <c r="T2407" s="62">
        <v>298.56</v>
      </c>
    </row>
    <row r="2408" spans="1:20" ht="11.1" customHeight="1" x14ac:dyDescent="0.25">
      <c r="A2408" s="56">
        <v>108395</v>
      </c>
      <c r="B2408" s="72">
        <v>46024</v>
      </c>
      <c r="C2408" s="68">
        <v>46024</v>
      </c>
      <c r="D2408" s="58" t="s">
        <v>2114</v>
      </c>
      <c r="E2408" s="59" t="s">
        <v>352</v>
      </c>
      <c r="F2408" s="56">
        <v>36</v>
      </c>
      <c r="G2408" s="73">
        <v>113</v>
      </c>
      <c r="H2408" s="74" t="s">
        <v>2115</v>
      </c>
      <c r="I2408" s="59" t="s">
        <v>2116</v>
      </c>
      <c r="J2408" s="59" t="s">
        <v>2117</v>
      </c>
      <c r="K2408" s="69">
        <v>5403</v>
      </c>
      <c r="L2408" s="56">
        <v>207</v>
      </c>
      <c r="M2408" s="59" t="s">
        <v>26</v>
      </c>
      <c r="N2408" s="61">
        <v>13867.21</v>
      </c>
      <c r="O2408" s="59" t="s">
        <v>313</v>
      </c>
      <c r="P2408" s="62">
        <v>12959.98</v>
      </c>
      <c r="Q2408" s="63">
        <v>20</v>
      </c>
      <c r="R2408" s="62">
        <v>2591.9699999999998</v>
      </c>
      <c r="S2408" s="61">
        <v>0</v>
      </c>
      <c r="T2408" s="62">
        <v>907.23</v>
      </c>
    </row>
    <row r="2409" spans="1:20" ht="11.1" customHeight="1" x14ac:dyDescent="0.25">
      <c r="O2409" s="59" t="s">
        <v>436</v>
      </c>
      <c r="P2409" s="62">
        <v>17495.96</v>
      </c>
      <c r="Q2409" s="63">
        <v>20</v>
      </c>
      <c r="R2409" s="62">
        <v>907.23</v>
      </c>
      <c r="S2409" s="61">
        <v>0</v>
      </c>
      <c r="T2409" s="62">
        <v>0</v>
      </c>
    </row>
    <row r="2410" spans="1:20" ht="11.1" customHeight="1" x14ac:dyDescent="0.25">
      <c r="A2410" s="56">
        <v>109711</v>
      </c>
      <c r="B2410" s="72">
        <v>46041</v>
      </c>
      <c r="C2410" s="68">
        <v>46041</v>
      </c>
      <c r="D2410" s="58" t="s">
        <v>2118</v>
      </c>
      <c r="E2410" s="59" t="s">
        <v>352</v>
      </c>
      <c r="F2410" s="56">
        <v>36</v>
      </c>
      <c r="G2410" s="73">
        <v>113</v>
      </c>
      <c r="H2410" s="74" t="s">
        <v>2115</v>
      </c>
      <c r="I2410" s="59" t="s">
        <v>2116</v>
      </c>
      <c r="J2410" s="59" t="s">
        <v>2117</v>
      </c>
      <c r="K2410" s="69">
        <v>5102</v>
      </c>
      <c r="L2410" s="56">
        <v>205</v>
      </c>
      <c r="M2410" s="59" t="s">
        <v>26</v>
      </c>
      <c r="N2410" s="61">
        <v>0</v>
      </c>
      <c r="O2410" s="59" t="s">
        <v>313</v>
      </c>
      <c r="P2410" s="62">
        <v>0</v>
      </c>
      <c r="Q2410" s="63">
        <v>0</v>
      </c>
      <c r="R2410" s="62">
        <v>0</v>
      </c>
      <c r="S2410" s="61">
        <v>0</v>
      </c>
      <c r="T2410" s="62">
        <v>0</v>
      </c>
    </row>
    <row r="2411" spans="1:20" ht="11.1" customHeight="1" x14ac:dyDescent="0.25">
      <c r="A2411" s="56">
        <v>109712</v>
      </c>
      <c r="B2411" s="72">
        <v>46041</v>
      </c>
      <c r="C2411" s="68">
        <v>46041</v>
      </c>
      <c r="D2411" s="58" t="s">
        <v>2118</v>
      </c>
      <c r="E2411" s="59" t="s">
        <v>352</v>
      </c>
      <c r="F2411" s="56">
        <v>36</v>
      </c>
      <c r="G2411" s="73">
        <v>113</v>
      </c>
      <c r="H2411" s="74" t="s">
        <v>2115</v>
      </c>
      <c r="I2411" s="59" t="s">
        <v>2116</v>
      </c>
      <c r="J2411" s="59" t="s">
        <v>2117</v>
      </c>
      <c r="K2411" s="69">
        <v>5403</v>
      </c>
      <c r="L2411" s="56">
        <v>207</v>
      </c>
      <c r="M2411" s="59" t="s">
        <v>26</v>
      </c>
      <c r="N2411" s="61">
        <v>0</v>
      </c>
      <c r="O2411" s="59" t="s">
        <v>313</v>
      </c>
      <c r="P2411" s="62">
        <v>0</v>
      </c>
      <c r="Q2411" s="63">
        <v>0</v>
      </c>
      <c r="R2411" s="62">
        <v>0</v>
      </c>
      <c r="S2411" s="61">
        <v>0</v>
      </c>
      <c r="T2411" s="62">
        <v>0</v>
      </c>
    </row>
    <row r="2412" spans="1:20" ht="11.1" customHeight="1" x14ac:dyDescent="0.25">
      <c r="O2412" s="59" t="s">
        <v>436</v>
      </c>
      <c r="P2412" s="62">
        <v>0</v>
      </c>
      <c r="Q2412" s="63">
        <v>0</v>
      </c>
      <c r="R2412" s="62">
        <v>0</v>
      </c>
      <c r="S2412" s="61">
        <v>0</v>
      </c>
      <c r="T2412" s="62">
        <v>0</v>
      </c>
    </row>
    <row r="2413" spans="1:20" ht="11.85" customHeight="1" x14ac:dyDescent="0.25">
      <c r="A2413" s="71" t="s">
        <v>620</v>
      </c>
      <c r="B2413" s="71"/>
      <c r="C2413" s="71"/>
      <c r="D2413" s="71"/>
      <c r="E2413" s="71"/>
      <c r="F2413" s="71"/>
      <c r="G2413" s="71"/>
      <c r="H2413" s="71"/>
    </row>
    <row r="2414" spans="1:20" ht="11.1" customHeight="1" x14ac:dyDescent="0.25">
      <c r="O2414" s="59" t="s">
        <v>313</v>
      </c>
      <c r="P2414" s="62">
        <v>31151.279999999999</v>
      </c>
      <c r="R2414" s="62">
        <v>6230.25</v>
      </c>
      <c r="S2414" s="61">
        <v>0</v>
      </c>
      <c r="T2414" s="62">
        <v>1205.79</v>
      </c>
    </row>
    <row r="2415" spans="1:20" ht="11.1" customHeight="1" x14ac:dyDescent="0.25">
      <c r="O2415" s="59" t="s">
        <v>436</v>
      </c>
      <c r="P2415" s="62">
        <v>17495.96</v>
      </c>
      <c r="R2415" s="62">
        <v>907.23</v>
      </c>
      <c r="S2415" s="61">
        <v>0</v>
      </c>
      <c r="T2415" s="62">
        <v>0</v>
      </c>
    </row>
    <row r="2416" spans="1:20" ht="11.1" customHeight="1" x14ac:dyDescent="0.25">
      <c r="A2416" s="56">
        <v>109102</v>
      </c>
      <c r="B2416" s="72">
        <v>46041</v>
      </c>
      <c r="C2416" s="68">
        <v>46041</v>
      </c>
      <c r="D2416" s="58" t="s">
        <v>2119</v>
      </c>
      <c r="E2416" s="59" t="s">
        <v>352</v>
      </c>
      <c r="F2416" s="56">
        <v>36</v>
      </c>
      <c r="G2416" s="73">
        <v>922</v>
      </c>
      <c r="H2416" s="74" t="s">
        <v>2120</v>
      </c>
      <c r="I2416" s="59" t="s">
        <v>2121</v>
      </c>
      <c r="J2416" s="59" t="s">
        <v>2122</v>
      </c>
      <c r="K2416" s="69">
        <v>5102</v>
      </c>
      <c r="L2416" s="56">
        <v>205</v>
      </c>
      <c r="M2416" s="59" t="s">
        <v>26</v>
      </c>
      <c r="N2416" s="61">
        <v>1205.28</v>
      </c>
      <c r="O2416" s="59" t="s">
        <v>313</v>
      </c>
      <c r="P2416" s="62">
        <v>1205.28</v>
      </c>
      <c r="Q2416" s="63">
        <v>20</v>
      </c>
      <c r="R2416" s="62">
        <v>241.06</v>
      </c>
      <c r="S2416" s="61">
        <v>0</v>
      </c>
      <c r="T2416" s="62">
        <v>0</v>
      </c>
    </row>
    <row r="2417" spans="1:20" ht="11.85" customHeight="1" x14ac:dyDescent="0.25">
      <c r="A2417" s="71" t="s">
        <v>620</v>
      </c>
      <c r="B2417" s="71"/>
      <c r="C2417" s="71"/>
      <c r="D2417" s="71"/>
      <c r="E2417" s="71"/>
      <c r="F2417" s="71"/>
      <c r="G2417" s="71"/>
      <c r="H2417" s="71"/>
    </row>
    <row r="2418" spans="1:20" ht="11.1" customHeight="1" x14ac:dyDescent="0.25">
      <c r="O2418" s="59" t="s">
        <v>313</v>
      </c>
      <c r="P2418" s="62">
        <v>1205.28</v>
      </c>
      <c r="R2418" s="62">
        <v>241.06</v>
      </c>
      <c r="S2418" s="61">
        <v>0</v>
      </c>
      <c r="T2418" s="62">
        <v>0</v>
      </c>
    </row>
    <row r="2419" spans="1:20" ht="11.1" customHeight="1" x14ac:dyDescent="0.25">
      <c r="A2419" s="56">
        <v>108548</v>
      </c>
      <c r="B2419" s="72">
        <v>46028</v>
      </c>
      <c r="C2419" s="68">
        <v>46028</v>
      </c>
      <c r="D2419" s="58" t="s">
        <v>2123</v>
      </c>
      <c r="E2419" s="59" t="s">
        <v>352</v>
      </c>
      <c r="F2419" s="56">
        <v>36</v>
      </c>
      <c r="G2419" s="73">
        <v>41</v>
      </c>
      <c r="H2419" s="74" t="s">
        <v>2124</v>
      </c>
      <c r="I2419" s="59" t="s">
        <v>2125</v>
      </c>
      <c r="J2419" s="59" t="s">
        <v>2126</v>
      </c>
      <c r="K2419" s="69">
        <v>5102</v>
      </c>
      <c r="L2419" s="56">
        <v>205</v>
      </c>
      <c r="M2419" s="59" t="s">
        <v>26</v>
      </c>
      <c r="N2419" s="61">
        <v>916.63</v>
      </c>
      <c r="O2419" s="59" t="s">
        <v>313</v>
      </c>
      <c r="P2419" s="62">
        <v>916.63</v>
      </c>
      <c r="Q2419" s="63">
        <v>20</v>
      </c>
      <c r="R2419" s="62">
        <v>183.33</v>
      </c>
      <c r="S2419" s="61">
        <v>0</v>
      </c>
      <c r="T2419" s="62">
        <v>0</v>
      </c>
    </row>
    <row r="2420" spans="1:20" ht="11.1" customHeight="1" x14ac:dyDescent="0.25">
      <c r="A2420" s="56">
        <v>108549</v>
      </c>
      <c r="B2420" s="72">
        <v>46028</v>
      </c>
      <c r="C2420" s="68">
        <v>46028</v>
      </c>
      <c r="D2420" s="58" t="s">
        <v>2123</v>
      </c>
      <c r="E2420" s="59" t="s">
        <v>352</v>
      </c>
      <c r="F2420" s="56">
        <v>36</v>
      </c>
      <c r="G2420" s="73">
        <v>41</v>
      </c>
      <c r="H2420" s="74" t="s">
        <v>2124</v>
      </c>
      <c r="I2420" s="59" t="s">
        <v>2125</v>
      </c>
      <c r="J2420" s="59" t="s">
        <v>2126</v>
      </c>
      <c r="K2420" s="69">
        <v>5403</v>
      </c>
      <c r="L2420" s="56">
        <v>207</v>
      </c>
      <c r="M2420" s="59" t="s">
        <v>26</v>
      </c>
      <c r="N2420" s="61">
        <v>230.41</v>
      </c>
      <c r="O2420" s="59" t="s">
        <v>313</v>
      </c>
      <c r="P2420" s="62">
        <v>215.34</v>
      </c>
      <c r="Q2420" s="63">
        <v>20</v>
      </c>
      <c r="R2420" s="62">
        <v>43.07</v>
      </c>
      <c r="S2420" s="61">
        <v>0</v>
      </c>
      <c r="T2420" s="62">
        <v>15.07</v>
      </c>
    </row>
    <row r="2421" spans="1:20" ht="11.1" customHeight="1" x14ac:dyDescent="0.25">
      <c r="O2421" s="59" t="s">
        <v>436</v>
      </c>
      <c r="P2421" s="62">
        <v>290.70999999999998</v>
      </c>
      <c r="Q2421" s="63">
        <v>20</v>
      </c>
      <c r="R2421" s="62">
        <v>15.07</v>
      </c>
      <c r="S2421" s="61">
        <v>0</v>
      </c>
      <c r="T2421" s="62">
        <v>0</v>
      </c>
    </row>
    <row r="2422" spans="1:20" ht="11.85" customHeight="1" x14ac:dyDescent="0.25">
      <c r="A2422" s="71" t="s">
        <v>620</v>
      </c>
      <c r="B2422" s="71"/>
      <c r="C2422" s="71"/>
      <c r="D2422" s="71"/>
      <c r="E2422" s="71"/>
      <c r="F2422" s="71"/>
      <c r="G2422" s="71"/>
      <c r="H2422" s="71"/>
    </row>
    <row r="2423" spans="1:20" ht="11.1" customHeight="1" x14ac:dyDescent="0.25">
      <c r="O2423" s="59" t="s">
        <v>313</v>
      </c>
      <c r="P2423" s="62">
        <v>1131.97</v>
      </c>
      <c r="R2423" s="62">
        <v>226.4</v>
      </c>
      <c r="S2423" s="61">
        <v>0</v>
      </c>
      <c r="T2423" s="62">
        <v>15.07</v>
      </c>
    </row>
    <row r="2424" spans="1:20" ht="11.1" customHeight="1" x14ac:dyDescent="0.25">
      <c r="O2424" s="59" t="s">
        <v>436</v>
      </c>
      <c r="P2424" s="62">
        <v>290.70999999999998</v>
      </c>
      <c r="R2424" s="62">
        <v>15.07</v>
      </c>
      <c r="S2424" s="61">
        <v>0</v>
      </c>
      <c r="T2424" s="62">
        <v>0</v>
      </c>
    </row>
    <row r="2425" spans="1:20" ht="11.1" customHeight="1" x14ac:dyDescent="0.25">
      <c r="A2425" s="56">
        <v>108489</v>
      </c>
      <c r="B2425" s="72">
        <v>46028</v>
      </c>
      <c r="C2425" s="68">
        <v>46028</v>
      </c>
      <c r="D2425" s="58" t="s">
        <v>2127</v>
      </c>
      <c r="E2425" s="59" t="s">
        <v>352</v>
      </c>
      <c r="F2425" s="56">
        <v>36</v>
      </c>
      <c r="G2425" s="73">
        <v>315</v>
      </c>
      <c r="H2425" s="74" t="s">
        <v>595</v>
      </c>
      <c r="I2425" s="59" t="s">
        <v>2128</v>
      </c>
      <c r="J2425" s="59" t="s">
        <v>2129</v>
      </c>
      <c r="K2425" s="69">
        <v>5102</v>
      </c>
      <c r="L2425" s="56">
        <v>205</v>
      </c>
      <c r="M2425" s="59" t="s">
        <v>26</v>
      </c>
      <c r="N2425" s="61">
        <v>534.66999999999996</v>
      </c>
      <c r="O2425" s="59" t="s">
        <v>313</v>
      </c>
      <c r="P2425" s="62">
        <v>534.66999999999996</v>
      </c>
      <c r="Q2425" s="63">
        <v>20</v>
      </c>
      <c r="R2425" s="62">
        <v>106.94</v>
      </c>
      <c r="S2425" s="61">
        <v>0</v>
      </c>
      <c r="T2425" s="62">
        <v>0</v>
      </c>
    </row>
    <row r="2426" spans="1:20" ht="11.1" customHeight="1" x14ac:dyDescent="0.25">
      <c r="A2426" s="56">
        <v>108490</v>
      </c>
      <c r="B2426" s="72">
        <v>46028</v>
      </c>
      <c r="C2426" s="68">
        <v>46028</v>
      </c>
      <c r="D2426" s="58" t="s">
        <v>2127</v>
      </c>
      <c r="E2426" s="59" t="s">
        <v>352</v>
      </c>
      <c r="F2426" s="56">
        <v>36</v>
      </c>
      <c r="G2426" s="73">
        <v>315</v>
      </c>
      <c r="H2426" s="74" t="s">
        <v>595</v>
      </c>
      <c r="I2426" s="59" t="s">
        <v>2128</v>
      </c>
      <c r="J2426" s="59" t="s">
        <v>2129</v>
      </c>
      <c r="K2426" s="69">
        <v>5403</v>
      </c>
      <c r="L2426" s="56">
        <v>207</v>
      </c>
      <c r="M2426" s="59" t="s">
        <v>26</v>
      </c>
      <c r="N2426" s="61">
        <v>848.3</v>
      </c>
      <c r="O2426" s="59" t="s">
        <v>313</v>
      </c>
      <c r="P2426" s="62">
        <v>792.8</v>
      </c>
      <c r="Q2426" s="63">
        <v>20</v>
      </c>
      <c r="R2426" s="62">
        <v>158.56</v>
      </c>
      <c r="S2426" s="61">
        <v>0</v>
      </c>
      <c r="T2426" s="62">
        <v>55.5</v>
      </c>
    </row>
    <row r="2427" spans="1:20" ht="11.1" customHeight="1" x14ac:dyDescent="0.25">
      <c r="O2427" s="59" t="s">
        <v>436</v>
      </c>
      <c r="P2427" s="62">
        <v>1070.28</v>
      </c>
      <c r="Q2427" s="63">
        <v>20</v>
      </c>
      <c r="R2427" s="62">
        <v>55.5</v>
      </c>
      <c r="S2427" s="61">
        <v>0</v>
      </c>
      <c r="T2427" s="62">
        <v>0</v>
      </c>
    </row>
    <row r="2428" spans="1:20" ht="11.1" customHeight="1" x14ac:dyDescent="0.25">
      <c r="A2428" s="56">
        <v>109018</v>
      </c>
      <c r="B2428" s="72">
        <v>46038</v>
      </c>
      <c r="C2428" s="68">
        <v>46038</v>
      </c>
      <c r="D2428" s="58" t="s">
        <v>2130</v>
      </c>
      <c r="E2428" s="59" t="s">
        <v>352</v>
      </c>
      <c r="F2428" s="56">
        <v>36</v>
      </c>
      <c r="G2428" s="73">
        <v>315</v>
      </c>
      <c r="H2428" s="74" t="s">
        <v>595</v>
      </c>
      <c r="I2428" s="59" t="s">
        <v>2128</v>
      </c>
      <c r="J2428" s="59" t="s">
        <v>2129</v>
      </c>
      <c r="K2428" s="69">
        <v>5102</v>
      </c>
      <c r="L2428" s="56">
        <v>205</v>
      </c>
      <c r="M2428" s="59" t="s">
        <v>26</v>
      </c>
      <c r="N2428" s="61">
        <v>145.56</v>
      </c>
      <c r="O2428" s="59" t="s">
        <v>313</v>
      </c>
      <c r="P2428" s="62">
        <v>145.56</v>
      </c>
      <c r="Q2428" s="63">
        <v>20</v>
      </c>
      <c r="R2428" s="62">
        <v>29.12</v>
      </c>
      <c r="S2428" s="61">
        <v>0</v>
      </c>
      <c r="T2428" s="62">
        <v>0</v>
      </c>
    </row>
    <row r="2429" spans="1:20" ht="11.1" customHeight="1" x14ac:dyDescent="0.25">
      <c r="A2429" s="56">
        <v>109019</v>
      </c>
      <c r="B2429" s="72">
        <v>46038</v>
      </c>
      <c r="C2429" s="68">
        <v>46038</v>
      </c>
      <c r="D2429" s="58" t="s">
        <v>2130</v>
      </c>
      <c r="E2429" s="59" t="s">
        <v>352</v>
      </c>
      <c r="F2429" s="56">
        <v>36</v>
      </c>
      <c r="G2429" s="73">
        <v>315</v>
      </c>
      <c r="H2429" s="74" t="s">
        <v>595</v>
      </c>
      <c r="I2429" s="59" t="s">
        <v>2128</v>
      </c>
      <c r="J2429" s="59" t="s">
        <v>2129</v>
      </c>
      <c r="K2429" s="69">
        <v>5403</v>
      </c>
      <c r="L2429" s="56">
        <v>207</v>
      </c>
      <c r="M2429" s="59" t="s">
        <v>26</v>
      </c>
      <c r="N2429" s="61">
        <v>929.55</v>
      </c>
      <c r="O2429" s="59" t="s">
        <v>313</v>
      </c>
      <c r="P2429" s="62">
        <v>868.72</v>
      </c>
      <c r="Q2429" s="63">
        <v>20</v>
      </c>
      <c r="R2429" s="62">
        <v>173.73</v>
      </c>
      <c r="S2429" s="61">
        <v>0</v>
      </c>
      <c r="T2429" s="62">
        <v>60.83</v>
      </c>
    </row>
    <row r="2430" spans="1:20" ht="11.1" customHeight="1" x14ac:dyDescent="0.25">
      <c r="O2430" s="59" t="s">
        <v>436</v>
      </c>
      <c r="P2430" s="62">
        <v>1172.79</v>
      </c>
      <c r="Q2430" s="63">
        <v>20</v>
      </c>
      <c r="R2430" s="62">
        <v>60.83</v>
      </c>
      <c r="S2430" s="61">
        <v>0</v>
      </c>
      <c r="T2430" s="62">
        <v>0</v>
      </c>
    </row>
    <row r="2431" spans="1:20" ht="11.85" customHeight="1" x14ac:dyDescent="0.25">
      <c r="A2431" s="71" t="s">
        <v>620</v>
      </c>
      <c r="B2431" s="71"/>
      <c r="C2431" s="71"/>
      <c r="D2431" s="71"/>
      <c r="E2431" s="71"/>
      <c r="F2431" s="71"/>
      <c r="G2431" s="71"/>
      <c r="H2431" s="71"/>
    </row>
    <row r="2432" spans="1:20" ht="11.1" customHeight="1" x14ac:dyDescent="0.25">
      <c r="O2432" s="59" t="s">
        <v>313</v>
      </c>
      <c r="P2432" s="62">
        <v>2341.75</v>
      </c>
      <c r="R2432" s="62">
        <v>468.35</v>
      </c>
      <c r="S2432" s="61">
        <v>0</v>
      </c>
      <c r="T2432" s="62">
        <v>116.33</v>
      </c>
    </row>
    <row r="2433" spans="1:20" ht="11.1" customHeight="1" x14ac:dyDescent="0.25">
      <c r="O2433" s="59" t="s">
        <v>436</v>
      </c>
      <c r="P2433" s="62">
        <v>2243.0700000000002</v>
      </c>
      <c r="R2433" s="62">
        <v>116.33</v>
      </c>
      <c r="S2433" s="61">
        <v>0</v>
      </c>
      <c r="T2433" s="62">
        <v>0</v>
      </c>
    </row>
    <row r="2434" spans="1:20" ht="11.1" customHeight="1" x14ac:dyDescent="0.25">
      <c r="A2434" s="56">
        <v>108496</v>
      </c>
      <c r="B2434" s="72">
        <v>46028</v>
      </c>
      <c r="C2434" s="68">
        <v>46028</v>
      </c>
      <c r="D2434" s="58" t="s">
        <v>2131</v>
      </c>
      <c r="E2434" s="59" t="s">
        <v>352</v>
      </c>
      <c r="F2434" s="56">
        <v>36</v>
      </c>
      <c r="G2434" s="73">
        <v>818</v>
      </c>
      <c r="H2434" s="74" t="s">
        <v>2132</v>
      </c>
      <c r="I2434" s="59" t="s">
        <v>2133</v>
      </c>
      <c r="J2434" s="59" t="s">
        <v>2134</v>
      </c>
      <c r="K2434" s="69">
        <v>5403</v>
      </c>
      <c r="L2434" s="56">
        <v>207</v>
      </c>
      <c r="M2434" s="59" t="s">
        <v>26</v>
      </c>
      <c r="N2434" s="61">
        <v>344.31</v>
      </c>
      <c r="O2434" s="59" t="s">
        <v>313</v>
      </c>
      <c r="P2434" s="62">
        <v>321.77999999999997</v>
      </c>
      <c r="Q2434" s="63">
        <v>20</v>
      </c>
      <c r="R2434" s="62">
        <v>64.349999999999994</v>
      </c>
      <c r="S2434" s="61">
        <v>0</v>
      </c>
      <c r="T2434" s="62">
        <v>22.53</v>
      </c>
    </row>
    <row r="2435" spans="1:20" ht="11.1" customHeight="1" x14ac:dyDescent="0.25">
      <c r="O2435" s="59" t="s">
        <v>436</v>
      </c>
      <c r="P2435" s="62">
        <v>434.41</v>
      </c>
      <c r="Q2435" s="63">
        <v>20</v>
      </c>
      <c r="R2435" s="62">
        <v>22.53</v>
      </c>
      <c r="S2435" s="61">
        <v>0</v>
      </c>
      <c r="T2435" s="62">
        <v>0</v>
      </c>
    </row>
    <row r="2436" spans="1:20" ht="11.1" customHeight="1" x14ac:dyDescent="0.25">
      <c r="A2436" s="56">
        <v>108780</v>
      </c>
      <c r="B2436" s="72">
        <v>46034</v>
      </c>
      <c r="C2436" s="68">
        <v>46034</v>
      </c>
      <c r="D2436" s="58" t="s">
        <v>2135</v>
      </c>
      <c r="E2436" s="59" t="s">
        <v>352</v>
      </c>
      <c r="F2436" s="56">
        <v>36</v>
      </c>
      <c r="G2436" s="73">
        <v>818</v>
      </c>
      <c r="H2436" s="74" t="s">
        <v>2132</v>
      </c>
      <c r="I2436" s="59" t="s">
        <v>2133</v>
      </c>
      <c r="J2436" s="59" t="s">
        <v>2134</v>
      </c>
      <c r="K2436" s="69">
        <v>5403</v>
      </c>
      <c r="L2436" s="56">
        <v>207</v>
      </c>
      <c r="M2436" s="59" t="s">
        <v>26</v>
      </c>
      <c r="N2436" s="61">
        <v>494.31</v>
      </c>
      <c r="O2436" s="59" t="s">
        <v>313</v>
      </c>
      <c r="P2436" s="62">
        <v>461.97</v>
      </c>
      <c r="Q2436" s="63">
        <v>20</v>
      </c>
      <c r="R2436" s="62">
        <v>92.39</v>
      </c>
      <c r="S2436" s="61">
        <v>0</v>
      </c>
      <c r="T2436" s="62">
        <v>32.340000000000003</v>
      </c>
    </row>
    <row r="2437" spans="1:20" ht="11.1" customHeight="1" x14ac:dyDescent="0.25">
      <c r="O2437" s="59" t="s">
        <v>436</v>
      </c>
      <c r="P2437" s="62">
        <v>623.66</v>
      </c>
      <c r="Q2437" s="63">
        <v>20</v>
      </c>
      <c r="R2437" s="62">
        <v>32.340000000000003</v>
      </c>
      <c r="S2437" s="61">
        <v>0</v>
      </c>
      <c r="T2437" s="62">
        <v>0</v>
      </c>
    </row>
    <row r="2438" spans="1:20" ht="11.1" customHeight="1" x14ac:dyDescent="0.25">
      <c r="A2438" s="56">
        <v>108845</v>
      </c>
      <c r="B2438" s="72">
        <v>46035</v>
      </c>
      <c r="C2438" s="68">
        <v>46035</v>
      </c>
      <c r="D2438" s="58" t="s">
        <v>2136</v>
      </c>
      <c r="E2438" s="59" t="s">
        <v>352</v>
      </c>
      <c r="F2438" s="56">
        <v>36</v>
      </c>
      <c r="G2438" s="73">
        <v>818</v>
      </c>
      <c r="H2438" s="74" t="s">
        <v>2132</v>
      </c>
      <c r="I2438" s="59" t="s">
        <v>2133</v>
      </c>
      <c r="J2438" s="59" t="s">
        <v>2134</v>
      </c>
      <c r="K2438" s="69">
        <v>5403</v>
      </c>
      <c r="L2438" s="56">
        <v>207</v>
      </c>
      <c r="M2438" s="59" t="s">
        <v>26</v>
      </c>
      <c r="N2438" s="61">
        <v>494.31</v>
      </c>
      <c r="O2438" s="59" t="s">
        <v>313</v>
      </c>
      <c r="P2438" s="62">
        <v>461.97</v>
      </c>
      <c r="Q2438" s="63">
        <v>20</v>
      </c>
      <c r="R2438" s="62">
        <v>92.39</v>
      </c>
      <c r="S2438" s="61">
        <v>0</v>
      </c>
      <c r="T2438" s="62">
        <v>32.340000000000003</v>
      </c>
    </row>
    <row r="2439" spans="1:20" ht="11.1" customHeight="1" x14ac:dyDescent="0.25">
      <c r="O2439" s="59" t="s">
        <v>436</v>
      </c>
      <c r="P2439" s="62">
        <v>623.66</v>
      </c>
      <c r="Q2439" s="63">
        <v>20</v>
      </c>
      <c r="R2439" s="62">
        <v>32.340000000000003</v>
      </c>
      <c r="S2439" s="61">
        <v>0</v>
      </c>
      <c r="T2439" s="62">
        <v>0</v>
      </c>
    </row>
    <row r="2440" spans="1:20" ht="11.1" customHeight="1" x14ac:dyDescent="0.25">
      <c r="A2440" s="56">
        <v>109511</v>
      </c>
      <c r="B2440" s="72">
        <v>46049</v>
      </c>
      <c r="C2440" s="68">
        <v>46049</v>
      </c>
      <c r="D2440" s="58" t="s">
        <v>2137</v>
      </c>
      <c r="E2440" s="59" t="s">
        <v>352</v>
      </c>
      <c r="F2440" s="56">
        <v>36</v>
      </c>
      <c r="G2440" s="73">
        <v>818</v>
      </c>
      <c r="H2440" s="74" t="s">
        <v>2132</v>
      </c>
      <c r="I2440" s="59" t="s">
        <v>2133</v>
      </c>
      <c r="J2440" s="59" t="s">
        <v>2134</v>
      </c>
      <c r="K2440" s="69">
        <v>5102</v>
      </c>
      <c r="L2440" s="56">
        <v>205</v>
      </c>
      <c r="M2440" s="59" t="s">
        <v>26</v>
      </c>
      <c r="N2440" s="61">
        <v>21.24</v>
      </c>
      <c r="O2440" s="59" t="s">
        <v>313</v>
      </c>
      <c r="P2440" s="62">
        <v>21.24</v>
      </c>
      <c r="Q2440" s="63">
        <v>20</v>
      </c>
      <c r="R2440" s="62">
        <v>4.25</v>
      </c>
      <c r="S2440" s="61">
        <v>0</v>
      </c>
      <c r="T2440" s="62">
        <v>0</v>
      </c>
    </row>
    <row r="2441" spans="1:20" ht="11.1" customHeight="1" x14ac:dyDescent="0.25">
      <c r="A2441" s="56">
        <v>109512</v>
      </c>
      <c r="B2441" s="72">
        <v>46049</v>
      </c>
      <c r="C2441" s="68">
        <v>46049</v>
      </c>
      <c r="D2441" s="58" t="s">
        <v>2137</v>
      </c>
      <c r="E2441" s="59" t="s">
        <v>352</v>
      </c>
      <c r="F2441" s="56">
        <v>36</v>
      </c>
      <c r="G2441" s="73">
        <v>818</v>
      </c>
      <c r="H2441" s="74" t="s">
        <v>2132</v>
      </c>
      <c r="I2441" s="59" t="s">
        <v>2133</v>
      </c>
      <c r="J2441" s="59" t="s">
        <v>2134</v>
      </c>
      <c r="K2441" s="69">
        <v>5403</v>
      </c>
      <c r="L2441" s="56">
        <v>207</v>
      </c>
      <c r="M2441" s="59" t="s">
        <v>26</v>
      </c>
      <c r="N2441" s="61">
        <v>492.91</v>
      </c>
      <c r="O2441" s="59" t="s">
        <v>313</v>
      </c>
      <c r="P2441" s="62">
        <v>460.66</v>
      </c>
      <c r="Q2441" s="63">
        <v>20</v>
      </c>
      <c r="R2441" s="62">
        <v>92.13</v>
      </c>
      <c r="S2441" s="61">
        <v>0</v>
      </c>
      <c r="T2441" s="62">
        <v>32.25</v>
      </c>
    </row>
    <row r="2442" spans="1:20" ht="11.1" customHeight="1" x14ac:dyDescent="0.25">
      <c r="O2442" s="59" t="s">
        <v>436</v>
      </c>
      <c r="P2442" s="62">
        <v>621.9</v>
      </c>
      <c r="Q2442" s="63">
        <v>20</v>
      </c>
      <c r="R2442" s="62">
        <v>32.25</v>
      </c>
      <c r="S2442" s="61">
        <v>0</v>
      </c>
      <c r="T2442" s="62">
        <v>0</v>
      </c>
    </row>
    <row r="2443" spans="1:20" ht="11.85" customHeight="1" x14ac:dyDescent="0.25">
      <c r="A2443" s="71" t="s">
        <v>620</v>
      </c>
      <c r="B2443" s="71"/>
      <c r="C2443" s="71"/>
      <c r="D2443" s="71"/>
      <c r="E2443" s="71"/>
      <c r="F2443" s="71"/>
      <c r="G2443" s="71"/>
      <c r="H2443" s="71"/>
    </row>
    <row r="2444" spans="1:20" ht="11.1" customHeight="1" x14ac:dyDescent="0.25">
      <c r="O2444" s="59" t="s">
        <v>313</v>
      </c>
      <c r="P2444" s="62">
        <v>1727.62</v>
      </c>
      <c r="R2444" s="62">
        <v>345.51</v>
      </c>
      <c r="S2444" s="61">
        <v>0</v>
      </c>
      <c r="T2444" s="62">
        <v>119.46</v>
      </c>
    </row>
    <row r="2445" spans="1:20" ht="11.1" customHeight="1" x14ac:dyDescent="0.25">
      <c r="O2445" s="59" t="s">
        <v>436</v>
      </c>
      <c r="P2445" s="62">
        <v>2303.63</v>
      </c>
      <c r="R2445" s="62">
        <v>119.46</v>
      </c>
      <c r="S2445" s="61">
        <v>0</v>
      </c>
      <c r="T2445" s="62">
        <v>0</v>
      </c>
    </row>
    <row r="2446" spans="1:20" ht="11.1" customHeight="1" x14ac:dyDescent="0.25">
      <c r="A2446" s="56">
        <v>108994</v>
      </c>
      <c r="B2446" s="72">
        <v>46037</v>
      </c>
      <c r="C2446" s="68">
        <v>46037</v>
      </c>
      <c r="D2446" s="58" t="s">
        <v>2138</v>
      </c>
      <c r="E2446" s="59" t="s">
        <v>352</v>
      </c>
      <c r="F2446" s="56">
        <v>36</v>
      </c>
      <c r="G2446" s="73">
        <v>635</v>
      </c>
      <c r="H2446" s="74" t="s">
        <v>2139</v>
      </c>
      <c r="I2446" s="59" t="s">
        <v>2140</v>
      </c>
      <c r="J2446" s="59" t="s">
        <v>2141</v>
      </c>
      <c r="K2446" s="69">
        <v>5102</v>
      </c>
      <c r="L2446" s="56">
        <v>205</v>
      </c>
      <c r="M2446" s="59" t="s">
        <v>26</v>
      </c>
      <c r="N2446" s="61">
        <v>5142.2</v>
      </c>
      <c r="O2446" s="59" t="s">
        <v>313</v>
      </c>
      <c r="P2446" s="62">
        <v>5142.2</v>
      </c>
      <c r="Q2446" s="63">
        <v>20</v>
      </c>
      <c r="R2446" s="62">
        <v>1028.44</v>
      </c>
      <c r="S2446" s="61">
        <v>0</v>
      </c>
      <c r="T2446" s="62">
        <v>0</v>
      </c>
    </row>
    <row r="2447" spans="1:20" ht="11.85" customHeight="1" x14ac:dyDescent="0.25">
      <c r="A2447" s="71" t="s">
        <v>620</v>
      </c>
      <c r="B2447" s="71"/>
      <c r="C2447" s="71"/>
      <c r="D2447" s="71"/>
      <c r="E2447" s="71"/>
      <c r="F2447" s="71"/>
      <c r="G2447" s="71"/>
      <c r="H2447" s="71"/>
    </row>
    <row r="2448" spans="1:20" ht="11.1" customHeight="1" x14ac:dyDescent="0.25">
      <c r="O2448" s="59" t="s">
        <v>313</v>
      </c>
      <c r="P2448" s="62">
        <v>5142.2</v>
      </c>
      <c r="R2448" s="62">
        <v>1028.44</v>
      </c>
      <c r="S2448" s="61">
        <v>0</v>
      </c>
      <c r="T2448" s="62">
        <v>0</v>
      </c>
    </row>
    <row r="2449" spans="1:20" ht="11.1" customHeight="1" x14ac:dyDescent="0.25">
      <c r="A2449" s="56">
        <v>109349</v>
      </c>
      <c r="B2449" s="72">
        <v>46045</v>
      </c>
      <c r="C2449" s="68">
        <v>46045</v>
      </c>
      <c r="D2449" s="58" t="s">
        <v>2142</v>
      </c>
      <c r="E2449" s="59" t="s">
        <v>352</v>
      </c>
      <c r="F2449" s="56">
        <v>36</v>
      </c>
      <c r="G2449" s="73">
        <v>330</v>
      </c>
      <c r="H2449" s="74" t="s">
        <v>2143</v>
      </c>
      <c r="I2449" s="59" t="s">
        <v>2144</v>
      </c>
      <c r="J2449" s="59" t="s">
        <v>2145</v>
      </c>
      <c r="K2449" s="69">
        <v>5102</v>
      </c>
      <c r="L2449" s="56">
        <v>205</v>
      </c>
      <c r="M2449" s="59" t="s">
        <v>26</v>
      </c>
      <c r="N2449" s="61">
        <v>129.9</v>
      </c>
      <c r="O2449" s="59" t="s">
        <v>313</v>
      </c>
      <c r="P2449" s="62">
        <v>129.9</v>
      </c>
      <c r="Q2449" s="63">
        <v>20</v>
      </c>
      <c r="R2449" s="62">
        <v>25.98</v>
      </c>
      <c r="S2449" s="61">
        <v>0</v>
      </c>
      <c r="T2449" s="62">
        <v>0</v>
      </c>
    </row>
    <row r="2450" spans="1:20" ht="11.85" customHeight="1" x14ac:dyDescent="0.25">
      <c r="A2450" s="71" t="s">
        <v>620</v>
      </c>
      <c r="B2450" s="71"/>
      <c r="C2450" s="71"/>
      <c r="D2450" s="71"/>
      <c r="E2450" s="71"/>
      <c r="F2450" s="71"/>
      <c r="G2450" s="71"/>
      <c r="H2450" s="71"/>
    </row>
    <row r="2451" spans="1:20" ht="11.1" customHeight="1" x14ac:dyDescent="0.25">
      <c r="O2451" s="59" t="s">
        <v>313</v>
      </c>
      <c r="P2451" s="62">
        <v>129.9</v>
      </c>
      <c r="R2451" s="62">
        <v>25.98</v>
      </c>
      <c r="S2451" s="61">
        <v>0</v>
      </c>
      <c r="T2451" s="62">
        <v>0</v>
      </c>
    </row>
    <row r="2452" spans="1:20" ht="11.1" customHeight="1" x14ac:dyDescent="0.25">
      <c r="A2452" s="56">
        <v>108913</v>
      </c>
      <c r="B2452" s="72">
        <v>46036</v>
      </c>
      <c r="C2452" s="68">
        <v>46036</v>
      </c>
      <c r="D2452" s="58" t="s">
        <v>2146</v>
      </c>
      <c r="E2452" s="59" t="s">
        <v>352</v>
      </c>
      <c r="F2452" s="56">
        <v>36</v>
      </c>
      <c r="G2452" s="73">
        <v>838</v>
      </c>
      <c r="H2452" s="74" t="s">
        <v>2147</v>
      </c>
      <c r="I2452" s="59" t="s">
        <v>2148</v>
      </c>
      <c r="J2452" s="59" t="s">
        <v>2149</v>
      </c>
      <c r="K2452" s="69">
        <v>5102</v>
      </c>
      <c r="L2452" s="56">
        <v>205</v>
      </c>
      <c r="M2452" s="59" t="s">
        <v>26</v>
      </c>
      <c r="N2452" s="61">
        <v>12.38</v>
      </c>
      <c r="O2452" s="59" t="s">
        <v>313</v>
      </c>
      <c r="P2452" s="62">
        <v>12.38</v>
      </c>
      <c r="Q2452" s="63">
        <v>20</v>
      </c>
      <c r="R2452" s="62">
        <v>2.48</v>
      </c>
      <c r="S2452" s="61">
        <v>0</v>
      </c>
      <c r="T2452" s="62">
        <v>0</v>
      </c>
    </row>
    <row r="2453" spans="1:20" ht="11.1" customHeight="1" x14ac:dyDescent="0.25">
      <c r="A2453" s="56">
        <v>108914</v>
      </c>
      <c r="B2453" s="72">
        <v>46036</v>
      </c>
      <c r="C2453" s="68">
        <v>46036</v>
      </c>
      <c r="D2453" s="58" t="s">
        <v>2146</v>
      </c>
      <c r="E2453" s="59" t="s">
        <v>352</v>
      </c>
      <c r="F2453" s="56">
        <v>36</v>
      </c>
      <c r="G2453" s="73">
        <v>838</v>
      </c>
      <c r="H2453" s="74" t="s">
        <v>2147</v>
      </c>
      <c r="I2453" s="59" t="s">
        <v>2148</v>
      </c>
      <c r="J2453" s="59" t="s">
        <v>2149</v>
      </c>
      <c r="K2453" s="69">
        <v>5403</v>
      </c>
      <c r="L2453" s="56">
        <v>207</v>
      </c>
      <c r="M2453" s="59" t="s">
        <v>26</v>
      </c>
      <c r="N2453" s="61">
        <v>59.98</v>
      </c>
      <c r="O2453" s="59" t="s">
        <v>313</v>
      </c>
      <c r="P2453" s="62">
        <v>59.98</v>
      </c>
      <c r="Q2453" s="63">
        <v>20</v>
      </c>
      <c r="R2453" s="62">
        <v>12</v>
      </c>
      <c r="S2453" s="61">
        <v>0</v>
      </c>
      <c r="T2453" s="62">
        <v>0</v>
      </c>
    </row>
    <row r="2454" spans="1:20" ht="11.1" customHeight="1" x14ac:dyDescent="0.25">
      <c r="A2454" s="56">
        <v>109363</v>
      </c>
      <c r="B2454" s="72">
        <v>46045</v>
      </c>
      <c r="C2454" s="68">
        <v>46045</v>
      </c>
      <c r="D2454" s="58" t="s">
        <v>2150</v>
      </c>
      <c r="E2454" s="59" t="s">
        <v>352</v>
      </c>
      <c r="F2454" s="56">
        <v>36</v>
      </c>
      <c r="G2454" s="73">
        <v>838</v>
      </c>
      <c r="H2454" s="74" t="s">
        <v>2147</v>
      </c>
      <c r="I2454" s="59" t="s">
        <v>2148</v>
      </c>
      <c r="J2454" s="59" t="s">
        <v>2149</v>
      </c>
      <c r="K2454" s="69">
        <v>5102</v>
      </c>
      <c r="L2454" s="56">
        <v>205</v>
      </c>
      <c r="M2454" s="59" t="s">
        <v>26</v>
      </c>
      <c r="N2454" s="61">
        <v>10.17</v>
      </c>
      <c r="O2454" s="59" t="s">
        <v>313</v>
      </c>
      <c r="P2454" s="62">
        <v>10.17</v>
      </c>
      <c r="Q2454" s="63">
        <v>20</v>
      </c>
      <c r="R2454" s="62">
        <v>2.0299999999999998</v>
      </c>
      <c r="S2454" s="61">
        <v>0</v>
      </c>
      <c r="T2454" s="62">
        <v>0</v>
      </c>
    </row>
    <row r="2455" spans="1:20" ht="11.85" customHeight="1" x14ac:dyDescent="0.25">
      <c r="A2455" s="71" t="s">
        <v>620</v>
      </c>
      <c r="B2455" s="71"/>
      <c r="C2455" s="71"/>
      <c r="D2455" s="71"/>
      <c r="E2455" s="71"/>
      <c r="F2455" s="71"/>
      <c r="G2455" s="71"/>
      <c r="H2455" s="71"/>
    </row>
    <row r="2456" spans="1:20" ht="11.1" customHeight="1" x14ac:dyDescent="0.25">
      <c r="O2456" s="59" t="s">
        <v>313</v>
      </c>
      <c r="P2456" s="62">
        <v>82.53</v>
      </c>
      <c r="R2456" s="62">
        <v>16.510000000000002</v>
      </c>
      <c r="S2456" s="61">
        <v>0</v>
      </c>
      <c r="T2456" s="62">
        <v>0</v>
      </c>
    </row>
    <row r="2457" spans="1:20" ht="11.1" customHeight="1" x14ac:dyDescent="0.25">
      <c r="A2457" s="56">
        <v>108420</v>
      </c>
      <c r="B2457" s="72">
        <v>46024</v>
      </c>
      <c r="C2457" s="68">
        <v>46024</v>
      </c>
      <c r="D2457" s="58" t="s">
        <v>2151</v>
      </c>
      <c r="E2457" s="59" t="s">
        <v>352</v>
      </c>
      <c r="F2457" s="56">
        <v>36</v>
      </c>
      <c r="G2457" s="73">
        <v>185</v>
      </c>
      <c r="H2457" s="74" t="s">
        <v>597</v>
      </c>
      <c r="I2457" s="59" t="s">
        <v>2152</v>
      </c>
      <c r="J2457" s="59" t="s">
        <v>2153</v>
      </c>
      <c r="K2457" s="69">
        <v>6102</v>
      </c>
      <c r="L2457" s="56">
        <v>238</v>
      </c>
      <c r="M2457" s="59" t="s">
        <v>34</v>
      </c>
      <c r="N2457" s="61">
        <v>2272.7800000000002</v>
      </c>
      <c r="O2457" s="59" t="s">
        <v>313</v>
      </c>
      <c r="P2457" s="62">
        <v>2272.7800000000002</v>
      </c>
      <c r="Q2457" s="63">
        <v>12</v>
      </c>
      <c r="R2457" s="62">
        <v>272.73</v>
      </c>
      <c r="S2457" s="61">
        <v>0</v>
      </c>
      <c r="T2457" s="62">
        <v>0</v>
      </c>
    </row>
    <row r="2458" spans="1:20" ht="11.1" customHeight="1" x14ac:dyDescent="0.25">
      <c r="A2458" s="56">
        <v>108685</v>
      </c>
      <c r="B2458" s="72">
        <v>46031</v>
      </c>
      <c r="C2458" s="68">
        <v>46031</v>
      </c>
      <c r="D2458" s="58" t="s">
        <v>2154</v>
      </c>
      <c r="E2458" s="59" t="s">
        <v>352</v>
      </c>
      <c r="F2458" s="56">
        <v>36</v>
      </c>
      <c r="G2458" s="73">
        <v>185</v>
      </c>
      <c r="H2458" s="74" t="s">
        <v>597</v>
      </c>
      <c r="I2458" s="59" t="s">
        <v>2152</v>
      </c>
      <c r="J2458" s="59" t="s">
        <v>2153</v>
      </c>
      <c r="K2458" s="69">
        <v>6403</v>
      </c>
      <c r="L2458" s="56">
        <v>207</v>
      </c>
      <c r="M2458" s="59" t="s">
        <v>34</v>
      </c>
      <c r="N2458" s="61">
        <v>805.56</v>
      </c>
      <c r="O2458" s="59" t="s">
        <v>313</v>
      </c>
      <c r="P2458" s="62">
        <v>699.3</v>
      </c>
      <c r="Q2458" s="63">
        <v>12</v>
      </c>
      <c r="R2458" s="62">
        <v>83.92</v>
      </c>
      <c r="S2458" s="61">
        <v>0</v>
      </c>
      <c r="T2458" s="62">
        <v>106.26</v>
      </c>
    </row>
    <row r="2459" spans="1:20" ht="11.1" customHeight="1" x14ac:dyDescent="0.25">
      <c r="O2459" s="59" t="s">
        <v>436</v>
      </c>
      <c r="P2459" s="62">
        <v>1000.98</v>
      </c>
      <c r="Q2459" s="63">
        <v>19</v>
      </c>
      <c r="R2459" s="62">
        <v>106.26</v>
      </c>
      <c r="S2459" s="61">
        <v>0</v>
      </c>
      <c r="T2459" s="62">
        <v>0</v>
      </c>
    </row>
    <row r="2460" spans="1:20" ht="11.1" customHeight="1" x14ac:dyDescent="0.25">
      <c r="A2460" s="56">
        <v>108686</v>
      </c>
      <c r="B2460" s="72">
        <v>46031</v>
      </c>
      <c r="C2460" s="68">
        <v>46031</v>
      </c>
      <c r="D2460" s="58" t="s">
        <v>2154</v>
      </c>
      <c r="E2460" s="59" t="s">
        <v>352</v>
      </c>
      <c r="F2460" s="56">
        <v>36</v>
      </c>
      <c r="G2460" s="73">
        <v>185</v>
      </c>
      <c r="H2460" s="74" t="s">
        <v>597</v>
      </c>
      <c r="I2460" s="59" t="s">
        <v>2152</v>
      </c>
      <c r="J2460" s="59" t="s">
        <v>2153</v>
      </c>
      <c r="K2460" s="69">
        <v>6102</v>
      </c>
      <c r="L2460" s="56">
        <v>238</v>
      </c>
      <c r="M2460" s="59" t="s">
        <v>34</v>
      </c>
      <c r="N2460" s="61">
        <v>4289.12</v>
      </c>
      <c r="O2460" s="59" t="s">
        <v>313</v>
      </c>
      <c r="P2460" s="62">
        <v>4289.12</v>
      </c>
      <c r="Q2460" s="63">
        <v>12</v>
      </c>
      <c r="R2460" s="62">
        <v>514.70000000000005</v>
      </c>
      <c r="S2460" s="61">
        <v>0</v>
      </c>
      <c r="T2460" s="62">
        <v>0</v>
      </c>
    </row>
    <row r="2461" spans="1:20" ht="11.1" customHeight="1" x14ac:dyDescent="0.25">
      <c r="A2461" s="56">
        <v>108932</v>
      </c>
      <c r="B2461" s="72">
        <v>46036</v>
      </c>
      <c r="C2461" s="68">
        <v>46036</v>
      </c>
      <c r="D2461" s="58" t="s">
        <v>2155</v>
      </c>
      <c r="E2461" s="59" t="s">
        <v>352</v>
      </c>
      <c r="F2461" s="56">
        <v>36</v>
      </c>
      <c r="G2461" s="73">
        <v>185</v>
      </c>
      <c r="H2461" s="74" t="s">
        <v>597</v>
      </c>
      <c r="I2461" s="59" t="s">
        <v>2152</v>
      </c>
      <c r="J2461" s="59" t="s">
        <v>2153</v>
      </c>
      <c r="K2461" s="69">
        <v>6403</v>
      </c>
      <c r="L2461" s="56">
        <v>207</v>
      </c>
      <c r="M2461" s="59" t="s">
        <v>34</v>
      </c>
      <c r="N2461" s="61">
        <v>1877.05</v>
      </c>
      <c r="O2461" s="59" t="s">
        <v>313</v>
      </c>
      <c r="P2461" s="62">
        <v>1629.44</v>
      </c>
      <c r="Q2461" s="63">
        <v>12</v>
      </c>
      <c r="R2461" s="62">
        <v>195.54</v>
      </c>
      <c r="S2461" s="61">
        <v>0</v>
      </c>
      <c r="T2461" s="62">
        <v>247.61</v>
      </c>
    </row>
    <row r="2462" spans="1:20" ht="11.1" customHeight="1" x14ac:dyDescent="0.25">
      <c r="O2462" s="59" t="s">
        <v>436</v>
      </c>
      <c r="P2462" s="62">
        <v>2332.39</v>
      </c>
      <c r="Q2462" s="63">
        <v>19</v>
      </c>
      <c r="R2462" s="62">
        <v>247.61</v>
      </c>
      <c r="S2462" s="61">
        <v>0</v>
      </c>
      <c r="T2462" s="62">
        <v>0</v>
      </c>
    </row>
    <row r="2463" spans="1:20" ht="11.1" customHeight="1" x14ac:dyDescent="0.25">
      <c r="A2463" s="56">
        <v>108933</v>
      </c>
      <c r="B2463" s="72">
        <v>46036</v>
      </c>
      <c r="C2463" s="68">
        <v>46036</v>
      </c>
      <c r="D2463" s="58" t="s">
        <v>2155</v>
      </c>
      <c r="E2463" s="59" t="s">
        <v>352</v>
      </c>
      <c r="F2463" s="56">
        <v>36</v>
      </c>
      <c r="G2463" s="73">
        <v>185</v>
      </c>
      <c r="H2463" s="74" t="s">
        <v>597</v>
      </c>
      <c r="I2463" s="59" t="s">
        <v>2152</v>
      </c>
      <c r="J2463" s="59" t="s">
        <v>2153</v>
      </c>
      <c r="K2463" s="69">
        <v>6102</v>
      </c>
      <c r="L2463" s="56">
        <v>238</v>
      </c>
      <c r="M2463" s="59" t="s">
        <v>34</v>
      </c>
      <c r="N2463" s="61">
        <v>2723.58</v>
      </c>
      <c r="O2463" s="59" t="s">
        <v>313</v>
      </c>
      <c r="P2463" s="62">
        <v>2723.58</v>
      </c>
      <c r="Q2463" s="63">
        <v>12</v>
      </c>
      <c r="R2463" s="62">
        <v>326.83</v>
      </c>
      <c r="S2463" s="61">
        <v>0</v>
      </c>
      <c r="T2463" s="62">
        <v>0</v>
      </c>
    </row>
    <row r="2464" spans="1:20" ht="11.1" customHeight="1" x14ac:dyDescent="0.25">
      <c r="A2464" s="56">
        <v>109190</v>
      </c>
      <c r="B2464" s="72">
        <v>46043</v>
      </c>
      <c r="C2464" s="68">
        <v>46043</v>
      </c>
      <c r="D2464" s="58" t="s">
        <v>2156</v>
      </c>
      <c r="E2464" s="59" t="s">
        <v>352</v>
      </c>
      <c r="F2464" s="56">
        <v>36</v>
      </c>
      <c r="G2464" s="73">
        <v>185</v>
      </c>
      <c r="H2464" s="74" t="s">
        <v>597</v>
      </c>
      <c r="I2464" s="59" t="s">
        <v>2152</v>
      </c>
      <c r="J2464" s="59" t="s">
        <v>2153</v>
      </c>
      <c r="K2464" s="69">
        <v>6403</v>
      </c>
      <c r="L2464" s="56">
        <v>207</v>
      </c>
      <c r="M2464" s="59" t="s">
        <v>34</v>
      </c>
      <c r="N2464" s="61">
        <v>478.01</v>
      </c>
      <c r="O2464" s="59" t="s">
        <v>313</v>
      </c>
      <c r="P2464" s="62">
        <v>414.95</v>
      </c>
      <c r="Q2464" s="63">
        <v>12</v>
      </c>
      <c r="R2464" s="62">
        <v>49.79</v>
      </c>
      <c r="S2464" s="61">
        <v>0</v>
      </c>
      <c r="T2464" s="62">
        <v>63.06</v>
      </c>
    </row>
    <row r="2465" spans="1:20" ht="11.1" customHeight="1" x14ac:dyDescent="0.25">
      <c r="O2465" s="59" t="s">
        <v>436</v>
      </c>
      <c r="P2465" s="62">
        <v>593.96</v>
      </c>
      <c r="Q2465" s="63">
        <v>19</v>
      </c>
      <c r="R2465" s="62">
        <v>63.06</v>
      </c>
      <c r="S2465" s="61">
        <v>0</v>
      </c>
      <c r="T2465" s="62">
        <v>0</v>
      </c>
    </row>
    <row r="2466" spans="1:20" ht="11.1" customHeight="1" x14ac:dyDescent="0.25">
      <c r="A2466" s="56">
        <v>109191</v>
      </c>
      <c r="B2466" s="72">
        <v>46043</v>
      </c>
      <c r="C2466" s="68">
        <v>46043</v>
      </c>
      <c r="D2466" s="58" t="s">
        <v>2156</v>
      </c>
      <c r="E2466" s="59" t="s">
        <v>352</v>
      </c>
      <c r="F2466" s="56">
        <v>36</v>
      </c>
      <c r="G2466" s="73">
        <v>185</v>
      </c>
      <c r="H2466" s="74" t="s">
        <v>597</v>
      </c>
      <c r="I2466" s="59" t="s">
        <v>2152</v>
      </c>
      <c r="J2466" s="59" t="s">
        <v>2153</v>
      </c>
      <c r="K2466" s="69">
        <v>6102</v>
      </c>
      <c r="L2466" s="56">
        <v>238</v>
      </c>
      <c r="M2466" s="59" t="s">
        <v>34</v>
      </c>
      <c r="N2466" s="61">
        <v>4106.2</v>
      </c>
      <c r="O2466" s="59" t="s">
        <v>313</v>
      </c>
      <c r="P2466" s="62">
        <v>4106.2</v>
      </c>
      <c r="Q2466" s="63">
        <v>12</v>
      </c>
      <c r="R2466" s="62">
        <v>492.74</v>
      </c>
      <c r="S2466" s="61">
        <v>0</v>
      </c>
      <c r="T2466" s="62">
        <v>0</v>
      </c>
    </row>
    <row r="2467" spans="1:20" ht="11.1" customHeight="1" x14ac:dyDescent="0.25">
      <c r="A2467" s="56">
        <v>109588</v>
      </c>
      <c r="B2467" s="72">
        <v>46050</v>
      </c>
      <c r="C2467" s="68">
        <v>46050</v>
      </c>
      <c r="D2467" s="58" t="s">
        <v>2157</v>
      </c>
      <c r="E2467" s="59" t="s">
        <v>352</v>
      </c>
      <c r="F2467" s="56">
        <v>36</v>
      </c>
      <c r="G2467" s="73">
        <v>185</v>
      </c>
      <c r="H2467" s="74" t="s">
        <v>597</v>
      </c>
      <c r="I2467" s="59" t="s">
        <v>2152</v>
      </c>
      <c r="J2467" s="59" t="s">
        <v>2153</v>
      </c>
      <c r="K2467" s="69">
        <v>6403</v>
      </c>
      <c r="L2467" s="56">
        <v>207</v>
      </c>
      <c r="M2467" s="59" t="s">
        <v>34</v>
      </c>
      <c r="N2467" s="61">
        <v>916.06</v>
      </c>
      <c r="O2467" s="59" t="s">
        <v>313</v>
      </c>
      <c r="P2467" s="62">
        <v>795.22</v>
      </c>
      <c r="Q2467" s="63">
        <v>12</v>
      </c>
      <c r="R2467" s="62">
        <v>95.43</v>
      </c>
      <c r="S2467" s="61">
        <v>0</v>
      </c>
      <c r="T2467" s="62">
        <v>120.84</v>
      </c>
    </row>
    <row r="2468" spans="1:20" ht="11.1" customHeight="1" x14ac:dyDescent="0.25">
      <c r="O2468" s="59" t="s">
        <v>436</v>
      </c>
      <c r="P2468" s="62">
        <v>1138.28</v>
      </c>
      <c r="Q2468" s="63">
        <v>19</v>
      </c>
      <c r="R2468" s="62">
        <v>120.84</v>
      </c>
      <c r="S2468" s="61">
        <v>0</v>
      </c>
      <c r="T2468" s="62">
        <v>0</v>
      </c>
    </row>
    <row r="2469" spans="1:20" ht="11.1" customHeight="1" x14ac:dyDescent="0.25">
      <c r="A2469" s="56">
        <v>109589</v>
      </c>
      <c r="B2469" s="72">
        <v>46050</v>
      </c>
      <c r="C2469" s="68">
        <v>46050</v>
      </c>
      <c r="D2469" s="58" t="s">
        <v>2157</v>
      </c>
      <c r="E2469" s="59" t="s">
        <v>352</v>
      </c>
      <c r="F2469" s="56">
        <v>36</v>
      </c>
      <c r="G2469" s="73">
        <v>185</v>
      </c>
      <c r="H2469" s="74" t="s">
        <v>597</v>
      </c>
      <c r="I2469" s="59" t="s">
        <v>2152</v>
      </c>
      <c r="J2469" s="59" t="s">
        <v>2153</v>
      </c>
      <c r="K2469" s="69">
        <v>6102</v>
      </c>
      <c r="L2469" s="56">
        <v>238</v>
      </c>
      <c r="M2469" s="59" t="s">
        <v>34</v>
      </c>
      <c r="N2469" s="61">
        <v>588.44000000000005</v>
      </c>
      <c r="O2469" s="59" t="s">
        <v>313</v>
      </c>
      <c r="P2469" s="62">
        <v>588.44000000000005</v>
      </c>
      <c r="Q2469" s="63">
        <v>12</v>
      </c>
      <c r="R2469" s="62">
        <v>70.62</v>
      </c>
      <c r="S2469" s="61">
        <v>0</v>
      </c>
      <c r="T2469" s="62">
        <v>0</v>
      </c>
    </row>
    <row r="2470" spans="1:20" ht="11.85" customHeight="1" x14ac:dyDescent="0.25">
      <c r="A2470" s="71" t="s">
        <v>620</v>
      </c>
      <c r="B2470" s="71"/>
      <c r="C2470" s="71"/>
      <c r="D2470" s="71"/>
      <c r="E2470" s="71"/>
      <c r="F2470" s="71"/>
      <c r="G2470" s="71"/>
      <c r="H2470" s="71"/>
    </row>
    <row r="2471" spans="1:20" ht="11.1" customHeight="1" x14ac:dyDescent="0.25">
      <c r="O2471" s="59" t="s">
        <v>313</v>
      </c>
      <c r="P2471" s="62">
        <v>17519.03</v>
      </c>
      <c r="R2471" s="62">
        <v>2102.3000000000002</v>
      </c>
      <c r="S2471" s="61">
        <v>0</v>
      </c>
      <c r="T2471" s="62">
        <v>537.77</v>
      </c>
    </row>
    <row r="2472" spans="1:20" ht="11.1" customHeight="1" x14ac:dyDescent="0.25">
      <c r="O2472" s="59" t="s">
        <v>436</v>
      </c>
      <c r="P2472" s="62">
        <v>5065.6099999999997</v>
      </c>
      <c r="R2472" s="62">
        <v>537.77</v>
      </c>
      <c r="S2472" s="61">
        <v>0</v>
      </c>
      <c r="T2472" s="62">
        <v>0</v>
      </c>
    </row>
    <row r="2473" spans="1:20" ht="11.1" customHeight="1" x14ac:dyDescent="0.25">
      <c r="A2473" s="56">
        <v>108519</v>
      </c>
      <c r="B2473" s="72">
        <v>46028</v>
      </c>
      <c r="C2473" s="68">
        <v>46028</v>
      </c>
      <c r="D2473" s="58" t="s">
        <v>2158</v>
      </c>
      <c r="E2473" s="59" t="s">
        <v>352</v>
      </c>
      <c r="F2473" s="56">
        <v>36</v>
      </c>
      <c r="G2473" s="73">
        <v>601</v>
      </c>
      <c r="H2473" s="74" t="s">
        <v>2159</v>
      </c>
      <c r="I2473" s="59" t="s">
        <v>2160</v>
      </c>
      <c r="J2473" s="59" t="s">
        <v>2161</v>
      </c>
      <c r="K2473" s="69">
        <v>5102</v>
      </c>
      <c r="L2473" s="56">
        <v>205</v>
      </c>
      <c r="M2473" s="59" t="s">
        <v>26</v>
      </c>
      <c r="N2473" s="61">
        <v>107.12</v>
      </c>
      <c r="O2473" s="59" t="s">
        <v>313</v>
      </c>
      <c r="P2473" s="62">
        <v>107.12</v>
      </c>
      <c r="Q2473" s="63">
        <v>20</v>
      </c>
      <c r="R2473" s="62">
        <v>21.42</v>
      </c>
      <c r="S2473" s="61">
        <v>0</v>
      </c>
      <c r="T2473" s="62">
        <v>0</v>
      </c>
    </row>
    <row r="2474" spans="1:20" ht="11.1" customHeight="1" x14ac:dyDescent="0.25">
      <c r="A2474" s="56">
        <v>108520</v>
      </c>
      <c r="B2474" s="72">
        <v>46028</v>
      </c>
      <c r="C2474" s="68">
        <v>46028</v>
      </c>
      <c r="D2474" s="58" t="s">
        <v>2158</v>
      </c>
      <c r="E2474" s="59" t="s">
        <v>352</v>
      </c>
      <c r="F2474" s="56">
        <v>36</v>
      </c>
      <c r="G2474" s="73">
        <v>601</v>
      </c>
      <c r="H2474" s="74" t="s">
        <v>2159</v>
      </c>
      <c r="I2474" s="59" t="s">
        <v>2160</v>
      </c>
      <c r="J2474" s="59" t="s">
        <v>2161</v>
      </c>
      <c r="K2474" s="69">
        <v>5403</v>
      </c>
      <c r="L2474" s="56">
        <v>207</v>
      </c>
      <c r="M2474" s="59" t="s">
        <v>26</v>
      </c>
      <c r="N2474" s="61">
        <v>1356.89</v>
      </c>
      <c r="O2474" s="59" t="s">
        <v>313</v>
      </c>
      <c r="P2474" s="62">
        <v>1268.1199999999999</v>
      </c>
      <c r="Q2474" s="63">
        <v>20</v>
      </c>
      <c r="R2474" s="62">
        <v>253.62</v>
      </c>
      <c r="S2474" s="61">
        <v>0</v>
      </c>
      <c r="T2474" s="62">
        <v>88.77</v>
      </c>
    </row>
    <row r="2475" spans="1:20" ht="11.1" customHeight="1" x14ac:dyDescent="0.25">
      <c r="O2475" s="59" t="s">
        <v>436</v>
      </c>
      <c r="P2475" s="62">
        <v>1711.97</v>
      </c>
      <c r="Q2475" s="63">
        <v>20</v>
      </c>
      <c r="R2475" s="62">
        <v>88.77</v>
      </c>
      <c r="S2475" s="61">
        <v>0</v>
      </c>
      <c r="T2475" s="62">
        <v>0</v>
      </c>
    </row>
    <row r="2476" spans="1:20" ht="11.1" customHeight="1" x14ac:dyDescent="0.25">
      <c r="A2476" s="56">
        <v>108521</v>
      </c>
      <c r="B2476" s="72">
        <v>46028</v>
      </c>
      <c r="C2476" s="68">
        <v>46028</v>
      </c>
      <c r="D2476" s="58" t="s">
        <v>2162</v>
      </c>
      <c r="E2476" s="59" t="s">
        <v>352</v>
      </c>
      <c r="F2476" s="56">
        <v>36</v>
      </c>
      <c r="G2476" s="73">
        <v>601</v>
      </c>
      <c r="H2476" s="74" t="s">
        <v>2159</v>
      </c>
      <c r="I2476" s="59" t="s">
        <v>2160</v>
      </c>
      <c r="J2476" s="59" t="s">
        <v>2161</v>
      </c>
      <c r="K2476" s="69">
        <v>5102</v>
      </c>
      <c r="L2476" s="56">
        <v>205</v>
      </c>
      <c r="M2476" s="59" t="s">
        <v>26</v>
      </c>
      <c r="N2476" s="61">
        <v>1632.16</v>
      </c>
      <c r="O2476" s="59" t="s">
        <v>313</v>
      </c>
      <c r="P2476" s="62">
        <v>1632.16</v>
      </c>
      <c r="Q2476" s="63">
        <v>20</v>
      </c>
      <c r="R2476" s="62">
        <v>326.44</v>
      </c>
      <c r="S2476" s="61">
        <v>0</v>
      </c>
      <c r="T2476" s="62">
        <v>0</v>
      </c>
    </row>
    <row r="2477" spans="1:20" ht="11.1" customHeight="1" x14ac:dyDescent="0.25">
      <c r="A2477" s="56">
        <v>108522</v>
      </c>
      <c r="B2477" s="72">
        <v>46028</v>
      </c>
      <c r="C2477" s="68">
        <v>46028</v>
      </c>
      <c r="D2477" s="58" t="s">
        <v>2162</v>
      </c>
      <c r="E2477" s="59" t="s">
        <v>352</v>
      </c>
      <c r="F2477" s="56">
        <v>36</v>
      </c>
      <c r="G2477" s="73">
        <v>601</v>
      </c>
      <c r="H2477" s="74" t="s">
        <v>2159</v>
      </c>
      <c r="I2477" s="59" t="s">
        <v>2160</v>
      </c>
      <c r="J2477" s="59" t="s">
        <v>2161</v>
      </c>
      <c r="K2477" s="69">
        <v>5403</v>
      </c>
      <c r="L2477" s="56">
        <v>207</v>
      </c>
      <c r="M2477" s="59" t="s">
        <v>26</v>
      </c>
      <c r="N2477" s="61">
        <v>1383.98</v>
      </c>
      <c r="O2477" s="59" t="s">
        <v>313</v>
      </c>
      <c r="P2477" s="62">
        <v>1293.44</v>
      </c>
      <c r="Q2477" s="63">
        <v>20</v>
      </c>
      <c r="R2477" s="62">
        <v>258.69</v>
      </c>
      <c r="S2477" s="61">
        <v>0</v>
      </c>
      <c r="T2477" s="62">
        <v>90.54</v>
      </c>
    </row>
    <row r="2478" spans="1:20" ht="11.1" customHeight="1" x14ac:dyDescent="0.25">
      <c r="O2478" s="59" t="s">
        <v>436</v>
      </c>
      <c r="P2478" s="62">
        <v>1746.15</v>
      </c>
      <c r="Q2478" s="63">
        <v>20</v>
      </c>
      <c r="R2478" s="62">
        <v>90.54</v>
      </c>
      <c r="S2478" s="61">
        <v>0</v>
      </c>
      <c r="T2478" s="62">
        <v>0</v>
      </c>
    </row>
    <row r="2479" spans="1:20" ht="11.1" customHeight="1" x14ac:dyDescent="0.25">
      <c r="A2479" s="56">
        <v>108577</v>
      </c>
      <c r="B2479" s="72">
        <v>46029</v>
      </c>
      <c r="C2479" s="68">
        <v>46029</v>
      </c>
      <c r="D2479" s="58" t="s">
        <v>2163</v>
      </c>
      <c r="E2479" s="59" t="s">
        <v>352</v>
      </c>
      <c r="F2479" s="56">
        <v>36</v>
      </c>
      <c r="G2479" s="73">
        <v>601</v>
      </c>
      <c r="H2479" s="74" t="s">
        <v>2159</v>
      </c>
      <c r="I2479" s="59" t="s">
        <v>2160</v>
      </c>
      <c r="J2479" s="59" t="s">
        <v>2161</v>
      </c>
      <c r="K2479" s="69">
        <v>5102</v>
      </c>
      <c r="L2479" s="56">
        <v>205</v>
      </c>
      <c r="M2479" s="59" t="s">
        <v>26</v>
      </c>
      <c r="N2479" s="61">
        <v>109.7</v>
      </c>
      <c r="O2479" s="59" t="s">
        <v>313</v>
      </c>
      <c r="P2479" s="62">
        <v>109.7</v>
      </c>
      <c r="Q2479" s="63">
        <v>20</v>
      </c>
      <c r="R2479" s="62">
        <v>21.94</v>
      </c>
      <c r="S2479" s="61">
        <v>0</v>
      </c>
      <c r="T2479" s="62">
        <v>0</v>
      </c>
    </row>
    <row r="2480" spans="1:20" ht="11.1" customHeight="1" x14ac:dyDescent="0.25">
      <c r="A2480" s="56">
        <v>108665</v>
      </c>
      <c r="B2480" s="72">
        <v>46030</v>
      </c>
      <c r="C2480" s="68">
        <v>46030</v>
      </c>
      <c r="D2480" s="58" t="s">
        <v>2164</v>
      </c>
      <c r="E2480" s="59" t="s">
        <v>352</v>
      </c>
      <c r="F2480" s="56">
        <v>36</v>
      </c>
      <c r="G2480" s="73">
        <v>601</v>
      </c>
      <c r="H2480" s="74" t="s">
        <v>2159</v>
      </c>
      <c r="I2480" s="59" t="s">
        <v>2160</v>
      </c>
      <c r="J2480" s="59" t="s">
        <v>2161</v>
      </c>
      <c r="K2480" s="69">
        <v>5403</v>
      </c>
      <c r="L2480" s="56">
        <v>207</v>
      </c>
      <c r="M2480" s="59" t="s">
        <v>26</v>
      </c>
      <c r="N2480" s="61">
        <v>1511.11</v>
      </c>
      <c r="O2480" s="59" t="s">
        <v>313</v>
      </c>
      <c r="P2480" s="62">
        <v>1412.24</v>
      </c>
      <c r="Q2480" s="63">
        <v>20</v>
      </c>
      <c r="R2480" s="62">
        <v>282.44</v>
      </c>
      <c r="S2480" s="61">
        <v>0</v>
      </c>
      <c r="T2480" s="62">
        <v>98.87</v>
      </c>
    </row>
    <row r="2481" spans="1:20" ht="11.1" customHeight="1" x14ac:dyDescent="0.25">
      <c r="O2481" s="59" t="s">
        <v>436</v>
      </c>
      <c r="P2481" s="62">
        <v>1906.53</v>
      </c>
      <c r="Q2481" s="63">
        <v>20</v>
      </c>
      <c r="R2481" s="62">
        <v>98.87</v>
      </c>
      <c r="S2481" s="61">
        <v>0</v>
      </c>
      <c r="T2481" s="62">
        <v>0</v>
      </c>
    </row>
    <row r="2482" spans="1:20" ht="11.1" customHeight="1" x14ac:dyDescent="0.25">
      <c r="A2482" s="56">
        <v>108792</v>
      </c>
      <c r="B2482" s="72">
        <v>46034</v>
      </c>
      <c r="C2482" s="68">
        <v>46034</v>
      </c>
      <c r="D2482" s="58" t="s">
        <v>2165</v>
      </c>
      <c r="E2482" s="59" t="s">
        <v>352</v>
      </c>
      <c r="F2482" s="56">
        <v>36</v>
      </c>
      <c r="G2482" s="73">
        <v>601</v>
      </c>
      <c r="H2482" s="74" t="s">
        <v>2159</v>
      </c>
      <c r="I2482" s="59" t="s">
        <v>2160</v>
      </c>
      <c r="J2482" s="59" t="s">
        <v>2161</v>
      </c>
      <c r="K2482" s="69">
        <v>5102</v>
      </c>
      <c r="L2482" s="56">
        <v>205</v>
      </c>
      <c r="M2482" s="59" t="s">
        <v>26</v>
      </c>
      <c r="N2482" s="61">
        <v>1317.64</v>
      </c>
      <c r="O2482" s="59" t="s">
        <v>313</v>
      </c>
      <c r="P2482" s="62">
        <v>1317.64</v>
      </c>
      <c r="Q2482" s="63">
        <v>20</v>
      </c>
      <c r="R2482" s="62">
        <v>263.52999999999997</v>
      </c>
      <c r="S2482" s="61">
        <v>0</v>
      </c>
      <c r="T2482" s="62">
        <v>0</v>
      </c>
    </row>
    <row r="2483" spans="1:20" ht="11.1" customHeight="1" x14ac:dyDescent="0.25">
      <c r="A2483" s="56">
        <v>108793</v>
      </c>
      <c r="B2483" s="72">
        <v>46034</v>
      </c>
      <c r="C2483" s="68">
        <v>46034</v>
      </c>
      <c r="D2483" s="58" t="s">
        <v>2165</v>
      </c>
      <c r="E2483" s="59" t="s">
        <v>352</v>
      </c>
      <c r="F2483" s="56">
        <v>36</v>
      </c>
      <c r="G2483" s="73">
        <v>601</v>
      </c>
      <c r="H2483" s="74" t="s">
        <v>2159</v>
      </c>
      <c r="I2483" s="59" t="s">
        <v>2160</v>
      </c>
      <c r="J2483" s="59" t="s">
        <v>2161</v>
      </c>
      <c r="K2483" s="69">
        <v>5403</v>
      </c>
      <c r="L2483" s="56">
        <v>207</v>
      </c>
      <c r="M2483" s="59" t="s">
        <v>26</v>
      </c>
      <c r="N2483" s="61">
        <v>2983.13</v>
      </c>
      <c r="O2483" s="59" t="s">
        <v>313</v>
      </c>
      <c r="P2483" s="62">
        <v>2787.98</v>
      </c>
      <c r="Q2483" s="63">
        <v>20</v>
      </c>
      <c r="R2483" s="62">
        <v>557.6</v>
      </c>
      <c r="S2483" s="61">
        <v>0</v>
      </c>
      <c r="T2483" s="62">
        <v>195.15</v>
      </c>
    </row>
    <row r="2484" spans="1:20" ht="11.1" customHeight="1" x14ac:dyDescent="0.25">
      <c r="O2484" s="59" t="s">
        <v>436</v>
      </c>
      <c r="P2484" s="62">
        <v>3763.78</v>
      </c>
      <c r="Q2484" s="63">
        <v>20</v>
      </c>
      <c r="R2484" s="62">
        <v>195.15</v>
      </c>
      <c r="S2484" s="61">
        <v>0</v>
      </c>
      <c r="T2484" s="62">
        <v>0</v>
      </c>
    </row>
    <row r="2485" spans="1:20" ht="11.1" customHeight="1" x14ac:dyDescent="0.25">
      <c r="A2485" s="56">
        <v>108907</v>
      </c>
      <c r="B2485" s="72">
        <v>46036</v>
      </c>
      <c r="C2485" s="68">
        <v>46036</v>
      </c>
      <c r="D2485" s="58" t="s">
        <v>2166</v>
      </c>
      <c r="E2485" s="59" t="s">
        <v>352</v>
      </c>
      <c r="F2485" s="56">
        <v>36</v>
      </c>
      <c r="G2485" s="73">
        <v>601</v>
      </c>
      <c r="H2485" s="74" t="s">
        <v>2159</v>
      </c>
      <c r="I2485" s="59" t="s">
        <v>2160</v>
      </c>
      <c r="J2485" s="59" t="s">
        <v>2161</v>
      </c>
      <c r="K2485" s="69">
        <v>5102</v>
      </c>
      <c r="L2485" s="56">
        <v>205</v>
      </c>
      <c r="M2485" s="59" t="s">
        <v>26</v>
      </c>
      <c r="N2485" s="61">
        <v>1731.44</v>
      </c>
      <c r="O2485" s="59" t="s">
        <v>313</v>
      </c>
      <c r="P2485" s="62">
        <v>1731.44</v>
      </c>
      <c r="Q2485" s="63">
        <v>20</v>
      </c>
      <c r="R2485" s="62">
        <v>346.3</v>
      </c>
      <c r="S2485" s="61">
        <v>0</v>
      </c>
      <c r="T2485" s="62">
        <v>0</v>
      </c>
    </row>
    <row r="2486" spans="1:20" ht="11.1" customHeight="1" x14ac:dyDescent="0.25">
      <c r="A2486" s="56">
        <v>108908</v>
      </c>
      <c r="B2486" s="72">
        <v>46036</v>
      </c>
      <c r="C2486" s="68">
        <v>46036</v>
      </c>
      <c r="D2486" s="58" t="s">
        <v>2166</v>
      </c>
      <c r="E2486" s="59" t="s">
        <v>352</v>
      </c>
      <c r="F2486" s="56">
        <v>36</v>
      </c>
      <c r="G2486" s="73">
        <v>601</v>
      </c>
      <c r="H2486" s="74" t="s">
        <v>2159</v>
      </c>
      <c r="I2486" s="59" t="s">
        <v>2160</v>
      </c>
      <c r="J2486" s="59" t="s">
        <v>2161</v>
      </c>
      <c r="K2486" s="69">
        <v>5403</v>
      </c>
      <c r="L2486" s="56">
        <v>207</v>
      </c>
      <c r="M2486" s="59" t="s">
        <v>26</v>
      </c>
      <c r="N2486" s="61">
        <v>428.51</v>
      </c>
      <c r="O2486" s="59" t="s">
        <v>313</v>
      </c>
      <c r="P2486" s="62">
        <v>400.47</v>
      </c>
      <c r="Q2486" s="63">
        <v>20</v>
      </c>
      <c r="R2486" s="62">
        <v>80.09</v>
      </c>
      <c r="S2486" s="61">
        <v>0</v>
      </c>
      <c r="T2486" s="62">
        <v>28.04</v>
      </c>
    </row>
    <row r="2487" spans="1:20" ht="11.1" customHeight="1" x14ac:dyDescent="0.25">
      <c r="O2487" s="59" t="s">
        <v>436</v>
      </c>
      <c r="P2487" s="62">
        <v>540.64</v>
      </c>
      <c r="Q2487" s="63">
        <v>20</v>
      </c>
      <c r="R2487" s="62">
        <v>28.04</v>
      </c>
      <c r="S2487" s="61">
        <v>0</v>
      </c>
      <c r="T2487" s="62">
        <v>0</v>
      </c>
    </row>
    <row r="2488" spans="1:20" ht="11.1" customHeight="1" x14ac:dyDescent="0.25">
      <c r="A2488" s="56">
        <v>109030</v>
      </c>
      <c r="B2488" s="72">
        <v>46038</v>
      </c>
      <c r="C2488" s="68">
        <v>46038</v>
      </c>
      <c r="D2488" s="58" t="s">
        <v>2167</v>
      </c>
      <c r="E2488" s="59" t="s">
        <v>352</v>
      </c>
      <c r="F2488" s="56">
        <v>36</v>
      </c>
      <c r="G2488" s="73">
        <v>601</v>
      </c>
      <c r="H2488" s="74" t="s">
        <v>2159</v>
      </c>
      <c r="I2488" s="59" t="s">
        <v>2160</v>
      </c>
      <c r="J2488" s="59" t="s">
        <v>2161</v>
      </c>
      <c r="K2488" s="69">
        <v>5102</v>
      </c>
      <c r="L2488" s="56">
        <v>205</v>
      </c>
      <c r="M2488" s="59" t="s">
        <v>26</v>
      </c>
      <c r="N2488" s="61">
        <v>175.6</v>
      </c>
      <c r="O2488" s="59" t="s">
        <v>313</v>
      </c>
      <c r="P2488" s="62">
        <v>175.6</v>
      </c>
      <c r="Q2488" s="63">
        <v>20</v>
      </c>
      <c r="R2488" s="62">
        <v>35.119999999999997</v>
      </c>
      <c r="S2488" s="61">
        <v>0</v>
      </c>
      <c r="T2488" s="62">
        <v>0</v>
      </c>
    </row>
    <row r="2489" spans="1:20" ht="11.1" customHeight="1" x14ac:dyDescent="0.25">
      <c r="A2489" s="56">
        <v>109031</v>
      </c>
      <c r="B2489" s="72">
        <v>46038</v>
      </c>
      <c r="C2489" s="68">
        <v>46038</v>
      </c>
      <c r="D2489" s="58" t="s">
        <v>2167</v>
      </c>
      <c r="E2489" s="59" t="s">
        <v>352</v>
      </c>
      <c r="F2489" s="56">
        <v>36</v>
      </c>
      <c r="G2489" s="73">
        <v>601</v>
      </c>
      <c r="H2489" s="74" t="s">
        <v>2159</v>
      </c>
      <c r="I2489" s="59" t="s">
        <v>2160</v>
      </c>
      <c r="J2489" s="59" t="s">
        <v>2161</v>
      </c>
      <c r="K2489" s="69">
        <v>5403</v>
      </c>
      <c r="L2489" s="56">
        <v>207</v>
      </c>
      <c r="M2489" s="59" t="s">
        <v>26</v>
      </c>
      <c r="N2489" s="61">
        <v>1987.32</v>
      </c>
      <c r="O2489" s="59" t="s">
        <v>313</v>
      </c>
      <c r="P2489" s="62">
        <v>1857.31</v>
      </c>
      <c r="Q2489" s="63">
        <v>20</v>
      </c>
      <c r="R2489" s="62">
        <v>371.46</v>
      </c>
      <c r="S2489" s="61">
        <v>0</v>
      </c>
      <c r="T2489" s="62">
        <v>130.01</v>
      </c>
    </row>
    <row r="2490" spans="1:20" ht="11.1" customHeight="1" x14ac:dyDescent="0.25">
      <c r="O2490" s="59" t="s">
        <v>436</v>
      </c>
      <c r="P2490" s="62">
        <v>2507.36</v>
      </c>
      <c r="Q2490" s="63">
        <v>20</v>
      </c>
      <c r="R2490" s="62">
        <v>130.01</v>
      </c>
      <c r="S2490" s="61">
        <v>0</v>
      </c>
      <c r="T2490" s="62">
        <v>0</v>
      </c>
    </row>
    <row r="2491" spans="1:20" ht="11.1" customHeight="1" x14ac:dyDescent="0.25">
      <c r="A2491" s="56">
        <v>109058</v>
      </c>
      <c r="B2491" s="72">
        <v>46038</v>
      </c>
      <c r="C2491" s="68">
        <v>46038</v>
      </c>
      <c r="D2491" s="58" t="s">
        <v>2168</v>
      </c>
      <c r="E2491" s="59" t="s">
        <v>352</v>
      </c>
      <c r="F2491" s="56">
        <v>36</v>
      </c>
      <c r="G2491" s="73">
        <v>601</v>
      </c>
      <c r="H2491" s="74" t="s">
        <v>2159</v>
      </c>
      <c r="I2491" s="59" t="s">
        <v>2160</v>
      </c>
      <c r="J2491" s="59" t="s">
        <v>2161</v>
      </c>
      <c r="K2491" s="69">
        <v>5403</v>
      </c>
      <c r="L2491" s="56">
        <v>207</v>
      </c>
      <c r="M2491" s="59" t="s">
        <v>26</v>
      </c>
      <c r="N2491" s="61">
        <v>1163.05</v>
      </c>
      <c r="O2491" s="59" t="s">
        <v>313</v>
      </c>
      <c r="P2491" s="62">
        <v>1086.96</v>
      </c>
      <c r="Q2491" s="63">
        <v>20</v>
      </c>
      <c r="R2491" s="62">
        <v>217.39</v>
      </c>
      <c r="S2491" s="61">
        <v>0</v>
      </c>
      <c r="T2491" s="62">
        <v>76.09</v>
      </c>
    </row>
    <row r="2492" spans="1:20" ht="11.1" customHeight="1" x14ac:dyDescent="0.25">
      <c r="O2492" s="59" t="s">
        <v>436</v>
      </c>
      <c r="P2492" s="62">
        <v>1467.4</v>
      </c>
      <c r="Q2492" s="63">
        <v>20</v>
      </c>
      <c r="R2492" s="62">
        <v>76.09</v>
      </c>
      <c r="S2492" s="61">
        <v>0</v>
      </c>
      <c r="T2492" s="62">
        <v>0</v>
      </c>
    </row>
    <row r="2493" spans="1:20" ht="11.1" customHeight="1" x14ac:dyDescent="0.25">
      <c r="A2493" s="56">
        <v>109237</v>
      </c>
      <c r="B2493" s="72">
        <v>46043</v>
      </c>
      <c r="C2493" s="68">
        <v>46043</v>
      </c>
      <c r="D2493" s="58" t="s">
        <v>2169</v>
      </c>
      <c r="E2493" s="59" t="s">
        <v>352</v>
      </c>
      <c r="F2493" s="56">
        <v>36</v>
      </c>
      <c r="G2493" s="73">
        <v>601</v>
      </c>
      <c r="H2493" s="74" t="s">
        <v>2159</v>
      </c>
      <c r="I2493" s="59" t="s">
        <v>2160</v>
      </c>
      <c r="J2493" s="59" t="s">
        <v>2161</v>
      </c>
      <c r="K2493" s="69">
        <v>5102</v>
      </c>
      <c r="L2493" s="56">
        <v>205</v>
      </c>
      <c r="M2493" s="59" t="s">
        <v>26</v>
      </c>
      <c r="N2493" s="61">
        <v>1554.02</v>
      </c>
      <c r="O2493" s="59" t="s">
        <v>313</v>
      </c>
      <c r="P2493" s="62">
        <v>1554.02</v>
      </c>
      <c r="Q2493" s="63">
        <v>20</v>
      </c>
      <c r="R2493" s="62">
        <v>310.81</v>
      </c>
      <c r="S2493" s="61">
        <v>0</v>
      </c>
      <c r="T2493" s="62">
        <v>0</v>
      </c>
    </row>
    <row r="2494" spans="1:20" ht="11.1" customHeight="1" x14ac:dyDescent="0.25">
      <c r="A2494" s="56">
        <v>109238</v>
      </c>
      <c r="B2494" s="72">
        <v>46043</v>
      </c>
      <c r="C2494" s="68">
        <v>46043</v>
      </c>
      <c r="D2494" s="58" t="s">
        <v>2169</v>
      </c>
      <c r="E2494" s="59" t="s">
        <v>352</v>
      </c>
      <c r="F2494" s="56">
        <v>36</v>
      </c>
      <c r="G2494" s="73">
        <v>601</v>
      </c>
      <c r="H2494" s="74" t="s">
        <v>2159</v>
      </c>
      <c r="I2494" s="59" t="s">
        <v>2160</v>
      </c>
      <c r="J2494" s="59" t="s">
        <v>2161</v>
      </c>
      <c r="K2494" s="69">
        <v>5403</v>
      </c>
      <c r="L2494" s="56">
        <v>207</v>
      </c>
      <c r="M2494" s="59" t="s">
        <v>26</v>
      </c>
      <c r="N2494" s="61">
        <v>4335.4799999999996</v>
      </c>
      <c r="O2494" s="59" t="s">
        <v>313</v>
      </c>
      <c r="P2494" s="62">
        <v>4051.86</v>
      </c>
      <c r="Q2494" s="63">
        <v>20</v>
      </c>
      <c r="R2494" s="62">
        <v>810.37</v>
      </c>
      <c r="S2494" s="61">
        <v>0</v>
      </c>
      <c r="T2494" s="62">
        <v>283.62</v>
      </c>
    </row>
    <row r="2495" spans="1:20" ht="11.1" customHeight="1" x14ac:dyDescent="0.25">
      <c r="O2495" s="59" t="s">
        <v>436</v>
      </c>
      <c r="P2495" s="62">
        <v>5470</v>
      </c>
      <c r="Q2495" s="63">
        <v>20</v>
      </c>
      <c r="R2495" s="62">
        <v>283.62</v>
      </c>
      <c r="S2495" s="61">
        <v>0</v>
      </c>
      <c r="T2495" s="62">
        <v>0</v>
      </c>
    </row>
    <row r="2496" spans="1:20" ht="11.1" customHeight="1" x14ac:dyDescent="0.25">
      <c r="A2496" s="56">
        <v>109239</v>
      </c>
      <c r="B2496" s="72">
        <v>46043</v>
      </c>
      <c r="C2496" s="68">
        <v>46043</v>
      </c>
      <c r="D2496" s="58" t="s">
        <v>2170</v>
      </c>
      <c r="E2496" s="59" t="s">
        <v>352</v>
      </c>
      <c r="F2496" s="56">
        <v>36</v>
      </c>
      <c r="G2496" s="73">
        <v>601</v>
      </c>
      <c r="H2496" s="74" t="s">
        <v>2159</v>
      </c>
      <c r="I2496" s="59" t="s">
        <v>2160</v>
      </c>
      <c r="J2496" s="59" t="s">
        <v>2161</v>
      </c>
      <c r="K2496" s="69">
        <v>5102</v>
      </c>
      <c r="L2496" s="56">
        <v>205</v>
      </c>
      <c r="M2496" s="59" t="s">
        <v>26</v>
      </c>
      <c r="N2496" s="61">
        <v>71.75</v>
      </c>
      <c r="O2496" s="59" t="s">
        <v>313</v>
      </c>
      <c r="P2496" s="62">
        <v>71.75</v>
      </c>
      <c r="Q2496" s="63">
        <v>20</v>
      </c>
      <c r="R2496" s="62">
        <v>14.35</v>
      </c>
      <c r="S2496" s="61">
        <v>0</v>
      </c>
      <c r="T2496" s="62">
        <v>0</v>
      </c>
    </row>
    <row r="2497" spans="1:20" ht="11.1" customHeight="1" x14ac:dyDescent="0.25">
      <c r="A2497" s="56">
        <v>109364</v>
      </c>
      <c r="B2497" s="72">
        <v>46045</v>
      </c>
      <c r="C2497" s="68">
        <v>46045</v>
      </c>
      <c r="D2497" s="58" t="s">
        <v>2171</v>
      </c>
      <c r="E2497" s="59" t="s">
        <v>352</v>
      </c>
      <c r="F2497" s="56">
        <v>36</v>
      </c>
      <c r="G2497" s="73">
        <v>601</v>
      </c>
      <c r="H2497" s="74" t="s">
        <v>2159</v>
      </c>
      <c r="I2497" s="59" t="s">
        <v>2160</v>
      </c>
      <c r="J2497" s="59" t="s">
        <v>2161</v>
      </c>
      <c r="K2497" s="69">
        <v>5102</v>
      </c>
      <c r="L2497" s="56">
        <v>205</v>
      </c>
      <c r="M2497" s="59" t="s">
        <v>26</v>
      </c>
      <c r="N2497" s="61">
        <v>1973.82</v>
      </c>
      <c r="O2497" s="59" t="s">
        <v>313</v>
      </c>
      <c r="P2497" s="62">
        <v>1973.82</v>
      </c>
      <c r="Q2497" s="63">
        <v>20</v>
      </c>
      <c r="R2497" s="62">
        <v>394.76</v>
      </c>
      <c r="S2497" s="61">
        <v>0</v>
      </c>
      <c r="T2497" s="62">
        <v>0</v>
      </c>
    </row>
    <row r="2498" spans="1:20" ht="11.1" customHeight="1" x14ac:dyDescent="0.25">
      <c r="A2498" s="56">
        <v>109371</v>
      </c>
      <c r="B2498" s="72">
        <v>46045</v>
      </c>
      <c r="C2498" s="68">
        <v>46045</v>
      </c>
      <c r="D2498" s="58" t="s">
        <v>2172</v>
      </c>
      <c r="E2498" s="59" t="s">
        <v>352</v>
      </c>
      <c r="F2498" s="56">
        <v>36</v>
      </c>
      <c r="G2498" s="73">
        <v>601</v>
      </c>
      <c r="H2498" s="74" t="s">
        <v>2159</v>
      </c>
      <c r="I2498" s="59" t="s">
        <v>2160</v>
      </c>
      <c r="J2498" s="59" t="s">
        <v>2161</v>
      </c>
      <c r="K2498" s="69">
        <v>5102</v>
      </c>
      <c r="L2498" s="56">
        <v>205</v>
      </c>
      <c r="M2498" s="59" t="s">
        <v>26</v>
      </c>
      <c r="N2498" s="61">
        <v>216.64</v>
      </c>
      <c r="O2498" s="59" t="s">
        <v>313</v>
      </c>
      <c r="P2498" s="62">
        <v>216.64</v>
      </c>
      <c r="Q2498" s="63">
        <v>20</v>
      </c>
      <c r="R2498" s="62">
        <v>43.33</v>
      </c>
      <c r="S2498" s="61">
        <v>0</v>
      </c>
      <c r="T2498" s="62">
        <v>0</v>
      </c>
    </row>
    <row r="2499" spans="1:20" ht="11.1" customHeight="1" x14ac:dyDescent="0.25">
      <c r="A2499" s="56">
        <v>109437</v>
      </c>
      <c r="B2499" s="72">
        <v>46048</v>
      </c>
      <c r="C2499" s="68">
        <v>46048</v>
      </c>
      <c r="D2499" s="58" t="s">
        <v>2173</v>
      </c>
      <c r="E2499" s="59" t="s">
        <v>352</v>
      </c>
      <c r="F2499" s="56">
        <v>36</v>
      </c>
      <c r="G2499" s="73">
        <v>601</v>
      </c>
      <c r="H2499" s="74" t="s">
        <v>2159</v>
      </c>
      <c r="I2499" s="59" t="s">
        <v>2160</v>
      </c>
      <c r="J2499" s="59" t="s">
        <v>2161</v>
      </c>
      <c r="K2499" s="69">
        <v>5102</v>
      </c>
      <c r="L2499" s="56">
        <v>205</v>
      </c>
      <c r="M2499" s="59" t="s">
        <v>26</v>
      </c>
      <c r="N2499" s="61">
        <v>2027.7</v>
      </c>
      <c r="O2499" s="59" t="s">
        <v>313</v>
      </c>
      <c r="P2499" s="62">
        <v>2027.7</v>
      </c>
      <c r="Q2499" s="63">
        <v>20</v>
      </c>
      <c r="R2499" s="62">
        <v>405.55</v>
      </c>
      <c r="S2499" s="61">
        <v>0</v>
      </c>
      <c r="T2499" s="62">
        <v>0</v>
      </c>
    </row>
    <row r="2500" spans="1:20" ht="11.1" customHeight="1" x14ac:dyDescent="0.25">
      <c r="A2500" s="56">
        <v>109438</v>
      </c>
      <c r="B2500" s="72">
        <v>46048</v>
      </c>
      <c r="C2500" s="68">
        <v>46048</v>
      </c>
      <c r="D2500" s="58" t="s">
        <v>2173</v>
      </c>
      <c r="E2500" s="59" t="s">
        <v>352</v>
      </c>
      <c r="F2500" s="56">
        <v>36</v>
      </c>
      <c r="G2500" s="73">
        <v>601</v>
      </c>
      <c r="H2500" s="74" t="s">
        <v>2159</v>
      </c>
      <c r="I2500" s="59" t="s">
        <v>2160</v>
      </c>
      <c r="J2500" s="59" t="s">
        <v>2161</v>
      </c>
      <c r="K2500" s="69">
        <v>5403</v>
      </c>
      <c r="L2500" s="56">
        <v>207</v>
      </c>
      <c r="M2500" s="59" t="s">
        <v>26</v>
      </c>
      <c r="N2500" s="61">
        <v>1635.36</v>
      </c>
      <c r="O2500" s="59" t="s">
        <v>313</v>
      </c>
      <c r="P2500" s="62">
        <v>1528.38</v>
      </c>
      <c r="Q2500" s="63">
        <v>20</v>
      </c>
      <c r="R2500" s="62">
        <v>305.68</v>
      </c>
      <c r="S2500" s="61">
        <v>0</v>
      </c>
      <c r="T2500" s="62">
        <v>106.98</v>
      </c>
    </row>
    <row r="2501" spans="1:20" ht="11.1" customHeight="1" x14ac:dyDescent="0.25">
      <c r="O2501" s="59" t="s">
        <v>436</v>
      </c>
      <c r="P2501" s="62">
        <v>2063.31</v>
      </c>
      <c r="Q2501" s="63">
        <v>20</v>
      </c>
      <c r="R2501" s="62">
        <v>106.98</v>
      </c>
      <c r="S2501" s="61">
        <v>0</v>
      </c>
      <c r="T2501" s="62">
        <v>0</v>
      </c>
    </row>
    <row r="2502" spans="1:20" ht="11.1" customHeight="1" x14ac:dyDescent="0.25">
      <c r="A2502" s="56">
        <v>109538</v>
      </c>
      <c r="B2502" s="72">
        <v>46050</v>
      </c>
      <c r="C2502" s="68">
        <v>46050</v>
      </c>
      <c r="D2502" s="58" t="s">
        <v>2174</v>
      </c>
      <c r="E2502" s="59" t="s">
        <v>352</v>
      </c>
      <c r="F2502" s="56">
        <v>36</v>
      </c>
      <c r="G2502" s="73">
        <v>601</v>
      </c>
      <c r="H2502" s="74" t="s">
        <v>2159</v>
      </c>
      <c r="I2502" s="59" t="s">
        <v>2160</v>
      </c>
      <c r="J2502" s="59" t="s">
        <v>2161</v>
      </c>
      <c r="K2502" s="69">
        <v>5102</v>
      </c>
      <c r="L2502" s="56">
        <v>205</v>
      </c>
      <c r="M2502" s="59" t="s">
        <v>26</v>
      </c>
      <c r="N2502" s="61">
        <v>847.56</v>
      </c>
      <c r="O2502" s="59" t="s">
        <v>313</v>
      </c>
      <c r="P2502" s="62">
        <v>847.56</v>
      </c>
      <c r="Q2502" s="63">
        <v>20</v>
      </c>
      <c r="R2502" s="62">
        <v>169.51</v>
      </c>
      <c r="S2502" s="61">
        <v>0</v>
      </c>
      <c r="T2502" s="62">
        <v>0</v>
      </c>
    </row>
    <row r="2503" spans="1:20" ht="11.1" customHeight="1" x14ac:dyDescent="0.25">
      <c r="A2503" s="56">
        <v>109539</v>
      </c>
      <c r="B2503" s="72">
        <v>46050</v>
      </c>
      <c r="C2503" s="68">
        <v>46050</v>
      </c>
      <c r="D2503" s="58" t="s">
        <v>2174</v>
      </c>
      <c r="E2503" s="59" t="s">
        <v>352</v>
      </c>
      <c r="F2503" s="56">
        <v>36</v>
      </c>
      <c r="G2503" s="73">
        <v>601</v>
      </c>
      <c r="H2503" s="74" t="s">
        <v>2159</v>
      </c>
      <c r="I2503" s="59" t="s">
        <v>2160</v>
      </c>
      <c r="J2503" s="59" t="s">
        <v>2161</v>
      </c>
      <c r="K2503" s="69">
        <v>5403</v>
      </c>
      <c r="L2503" s="56">
        <v>207</v>
      </c>
      <c r="M2503" s="59" t="s">
        <v>26</v>
      </c>
      <c r="N2503" s="61">
        <v>803.13</v>
      </c>
      <c r="O2503" s="59" t="s">
        <v>313</v>
      </c>
      <c r="P2503" s="62">
        <v>750.58</v>
      </c>
      <c r="Q2503" s="63">
        <v>20</v>
      </c>
      <c r="R2503" s="62">
        <v>150.11000000000001</v>
      </c>
      <c r="S2503" s="61">
        <v>0</v>
      </c>
      <c r="T2503" s="62">
        <v>52.55</v>
      </c>
    </row>
    <row r="2504" spans="1:20" ht="11.1" customHeight="1" x14ac:dyDescent="0.25">
      <c r="O2504" s="59" t="s">
        <v>436</v>
      </c>
      <c r="P2504" s="62">
        <v>1013.28</v>
      </c>
      <c r="Q2504" s="63">
        <v>20</v>
      </c>
      <c r="R2504" s="62">
        <v>52.55</v>
      </c>
      <c r="S2504" s="61">
        <v>0</v>
      </c>
      <c r="T2504" s="62">
        <v>0</v>
      </c>
    </row>
    <row r="2505" spans="1:20" ht="11.1" customHeight="1" x14ac:dyDescent="0.25">
      <c r="A2505" s="56">
        <v>109719</v>
      </c>
      <c r="B2505" s="72">
        <v>46043</v>
      </c>
      <c r="C2505" s="68">
        <v>46043</v>
      </c>
      <c r="D2505" s="58" t="s">
        <v>2175</v>
      </c>
      <c r="E2505" s="59" t="s">
        <v>352</v>
      </c>
      <c r="F2505" s="56">
        <v>36</v>
      </c>
      <c r="G2505" s="73">
        <v>601</v>
      </c>
      <c r="H2505" s="74" t="s">
        <v>2159</v>
      </c>
      <c r="I2505" s="59" t="s">
        <v>2160</v>
      </c>
      <c r="J2505" s="59" t="s">
        <v>2161</v>
      </c>
      <c r="K2505" s="69">
        <v>5102</v>
      </c>
      <c r="L2505" s="56">
        <v>205</v>
      </c>
      <c r="M2505" s="59" t="s">
        <v>26</v>
      </c>
      <c r="N2505" s="61">
        <v>0</v>
      </c>
      <c r="O2505" s="59" t="s">
        <v>313</v>
      </c>
      <c r="P2505" s="62">
        <v>0</v>
      </c>
      <c r="Q2505" s="63">
        <v>0</v>
      </c>
      <c r="R2505" s="62">
        <v>0</v>
      </c>
      <c r="S2505" s="61">
        <v>0</v>
      </c>
      <c r="T2505" s="62">
        <v>0</v>
      </c>
    </row>
    <row r="2506" spans="1:20" ht="11.85" customHeight="1" x14ac:dyDescent="0.25">
      <c r="A2506" s="71" t="s">
        <v>620</v>
      </c>
      <c r="B2506" s="71"/>
      <c r="C2506" s="71"/>
      <c r="D2506" s="71"/>
      <c r="E2506" s="71"/>
      <c r="F2506" s="71"/>
      <c r="G2506" s="71"/>
      <c r="H2506" s="71"/>
    </row>
    <row r="2507" spans="1:20" ht="11.1" customHeight="1" x14ac:dyDescent="0.25">
      <c r="O2507" s="59" t="s">
        <v>313</v>
      </c>
      <c r="P2507" s="62">
        <v>28202.49</v>
      </c>
      <c r="R2507" s="62">
        <v>5640.51</v>
      </c>
      <c r="S2507" s="61">
        <v>0</v>
      </c>
      <c r="T2507" s="62">
        <v>1150.6199999999999</v>
      </c>
    </row>
    <row r="2508" spans="1:20" ht="11.1" customHeight="1" x14ac:dyDescent="0.25">
      <c r="O2508" s="59" t="s">
        <v>436</v>
      </c>
      <c r="P2508" s="62">
        <v>22190.42</v>
      </c>
      <c r="R2508" s="62">
        <v>1150.6199999999999</v>
      </c>
      <c r="S2508" s="61">
        <v>0</v>
      </c>
      <c r="T2508" s="62">
        <v>0</v>
      </c>
    </row>
    <row r="2509" spans="1:20" ht="11.85" customHeight="1" x14ac:dyDescent="0.25">
      <c r="A2509" s="71" t="s">
        <v>599</v>
      </c>
      <c r="B2509" s="71"/>
      <c r="C2509" s="71"/>
      <c r="D2509" s="71"/>
      <c r="E2509" s="71"/>
      <c r="F2509" s="71"/>
      <c r="G2509" s="71"/>
      <c r="H2509" s="71"/>
    </row>
    <row r="2510" spans="1:20" ht="11.1" customHeight="1" x14ac:dyDescent="0.25">
      <c r="O2510" s="59" t="s">
        <v>313</v>
      </c>
      <c r="P2510" s="62">
        <v>1775975.81</v>
      </c>
      <c r="R2510" s="62">
        <v>315470.8</v>
      </c>
      <c r="S2510" s="61">
        <v>0</v>
      </c>
      <c r="T2510" s="62">
        <v>87222.399999999994</v>
      </c>
    </row>
    <row r="2511" spans="1:20" ht="11.1" customHeight="1" x14ac:dyDescent="0.25">
      <c r="O2511" s="59" t="s">
        <v>436</v>
      </c>
      <c r="P2511" s="62">
        <v>1037647.12</v>
      </c>
      <c r="R2511" s="62">
        <v>67128.91</v>
      </c>
      <c r="S2511" s="61">
        <v>0</v>
      </c>
      <c r="T2511" s="62">
        <v>0</v>
      </c>
    </row>
    <row r="2512" spans="1:20" ht="12.6" customHeight="1" x14ac:dyDescent="0.25"/>
    <row r="2513" spans="1:8" ht="11.1" customHeight="1" x14ac:dyDescent="0.25">
      <c r="A2513" s="70" t="s">
        <v>103</v>
      </c>
      <c r="B2513" s="70"/>
      <c r="C2513" s="70"/>
      <c r="D2513" s="70"/>
      <c r="E2513" s="70"/>
      <c r="F2513" s="70"/>
      <c r="G2513" s="70"/>
      <c r="H2513" s="7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DRE</vt:lpstr>
      <vt:lpstr>BALANCETE</vt:lpstr>
      <vt:lpstr>ICMS 5005-2012</vt:lpstr>
      <vt:lpstr>PIS COFINS</vt:lpstr>
      <vt:lpstr>IRPJ</vt:lpstr>
      <vt:lpstr>CSLL</vt:lpstr>
      <vt:lpstr>ST</vt:lpstr>
      <vt:lpstr>DIFAL</vt:lpstr>
      <vt:lpstr>IPI</vt:lpstr>
      <vt:lpstr>ENTRADAS</vt:lpstr>
      <vt:lpstr>SAÍDAS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</dc:creator>
  <cp:lastModifiedBy>Paulo</cp:lastModifiedBy>
  <dcterms:created xsi:type="dcterms:W3CDTF">2026-08-26T14:40:24Z</dcterms:created>
  <dcterms:modified xsi:type="dcterms:W3CDTF">2026-09-04T13:07:39Z</dcterms:modified>
</cp:coreProperties>
</file>