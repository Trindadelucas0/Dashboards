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o\Desktop\"/>
    </mc:Choice>
  </mc:AlternateContent>
  <xr:revisionPtr revIDLastSave="0" documentId="8_{53B9EEF6-DC51-44FB-AC59-FDA8364D0B83}" xr6:coauthVersionLast="37" xr6:coauthVersionMax="37" xr10:uidLastSave="{00000000-0000-0000-0000-000000000000}"/>
  <bookViews>
    <workbookView xWindow="0" yWindow="0" windowWidth="18435" windowHeight="10620" xr2:uid="{5576FB1B-F8E7-498E-8914-DCCC771C2931}"/>
  </bookViews>
  <sheets>
    <sheet name="Planilha4" sheetId="4" r:id="rId1"/>
  </sheets>
  <definedNames>
    <definedName name="_xlnm._FilterDatabase" localSheetId="0" hidden="1">Planilha4!$A$1:$I$36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6" i="4" l="1"/>
  <c r="I36" i="4"/>
  <c r="I8" i="4"/>
  <c r="I9" i="4"/>
  <c r="I10" i="4"/>
  <c r="I11" i="4"/>
  <c r="I13" i="4"/>
  <c r="I14" i="4"/>
  <c r="I15" i="4"/>
  <c r="I16" i="4"/>
  <c r="I18" i="4"/>
  <c r="I19" i="4"/>
  <c r="I20" i="4"/>
  <c r="I21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" i="4"/>
  <c r="I4" i="4"/>
  <c r="I5" i="4"/>
  <c r="I6" i="4"/>
  <c r="I2" i="4"/>
  <c r="F31" i="4"/>
  <c r="F26" i="4"/>
  <c r="F21" i="4"/>
  <c r="F16" i="4"/>
  <c r="F11" i="4"/>
  <c r="F6" i="4"/>
  <c r="F34" i="4"/>
  <c r="F29" i="4"/>
  <c r="F4" i="4"/>
  <c r="F9" i="4" s="1"/>
  <c r="F14" i="4" s="1"/>
  <c r="F19" i="4" s="1"/>
  <c r="G24" i="4"/>
</calcChain>
</file>

<file path=xl/sharedStrings.xml><?xml version="1.0" encoding="utf-8"?>
<sst xmlns="http://schemas.openxmlformats.org/spreadsheetml/2006/main" count="114" uniqueCount="22">
  <si>
    <t>Empresa</t>
  </si>
  <si>
    <t>Filial</t>
  </si>
  <si>
    <t>Matriz</t>
  </si>
  <si>
    <t>Mês</t>
  </si>
  <si>
    <t>ICMS Crédito</t>
  </si>
  <si>
    <t>ICMS Débito</t>
  </si>
  <si>
    <t>ICMS a Recolher</t>
  </si>
  <si>
    <t>IPI Crédito</t>
  </si>
  <si>
    <t>IPI Débito</t>
  </si>
  <si>
    <t>IPI a Recolher</t>
  </si>
  <si>
    <t>JPG</t>
  </si>
  <si>
    <t>Janeiro</t>
  </si>
  <si>
    <t>Filial PR</t>
  </si>
  <si>
    <t>Filial SP</t>
  </si>
  <si>
    <t>Filial MG</t>
  </si>
  <si>
    <t>Filial DF</t>
  </si>
  <si>
    <t>Fevereiro</t>
  </si>
  <si>
    <t>Março</t>
  </si>
  <si>
    <t>Abril</t>
  </si>
  <si>
    <t>Maio</t>
  </si>
  <si>
    <t>Junho</t>
  </si>
  <si>
    <t>Julho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</si>
</sst>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44" fontId="2" fillId="0" borderId="0" xfId="1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44" fontId="2" fillId="0" borderId="0" xfId="1" applyFont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E0296-27B7-497E-B366-D13070D7DE63}">
  <dimension ref="A1:I36"/>
  <sheetViews>
    <sheetView tabSelected="1" workbookViewId="0">
      <selection activeCell="C8" sqref="C8"/>
    </sheetView>
  </sheetViews>
  <sheetFormatPr defaultRowHeight="18" customHeight="1" x14ac:dyDescent="0.25"/>
  <cols>
    <col min="1" max="1" width="22.140625" style="3" customWidth="1"/>
    <col min="2" max="2" width="25.7109375" style="3" customWidth="1"/>
    <col min="3" max="3" width="31.28515625" style="3" customWidth="1"/>
    <col min="4" max="4" width="27.42578125" style="4" customWidth="1"/>
    <col min="5" max="5" width="29.5703125" style="4" customWidth="1"/>
    <col min="6" max="6" width="31.140625" style="4" customWidth="1"/>
    <col min="7" max="7" width="28.28515625" style="4" customWidth="1"/>
    <col min="8" max="9" width="26.85546875" style="4" customWidth="1"/>
    <col min="10" max="16384" width="9.140625" style="3"/>
  </cols>
  <sheetData>
    <row r="1" spans="1:9" ht="33" customHeight="1" x14ac:dyDescent="0.25">
      <c r="A1" s="1" t="s">
        <v>0</v>
      </c>
      <c r="B1" s="1" t="s">
        <v>1</v>
      </c>
      <c r="C1" s="1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</row>
    <row r="2" spans="1:9" ht="18" customHeight="1" x14ac:dyDescent="0.25">
      <c r="A2" s="1" t="s">
        <v>10</v>
      </c>
      <c r="B2" s="1" t="s">
        <v>2</v>
      </c>
      <c r="C2" s="1" t="s">
        <v>11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f>H2-G2</f>
        <v>0</v>
      </c>
    </row>
    <row r="3" spans="1:9" ht="18" customHeight="1" x14ac:dyDescent="0.25">
      <c r="A3" s="1" t="s">
        <v>10</v>
      </c>
      <c r="B3" s="1" t="s">
        <v>12</v>
      </c>
      <c r="C3" s="1" t="s">
        <v>11</v>
      </c>
      <c r="D3" s="2">
        <v>0</v>
      </c>
      <c r="E3" s="2">
        <v>0</v>
      </c>
      <c r="F3" s="2">
        <v>0</v>
      </c>
      <c r="G3" s="2">
        <v>1139.49</v>
      </c>
      <c r="H3" s="2">
        <v>8225.69</v>
      </c>
      <c r="I3" s="2">
        <f t="shared" ref="I3:I35" si="0">H3-G3</f>
        <v>7086.2000000000007</v>
      </c>
    </row>
    <row r="4" spans="1:9" ht="18" customHeight="1" x14ac:dyDescent="0.25">
      <c r="A4" s="1" t="s">
        <v>10</v>
      </c>
      <c r="B4" s="1" t="s">
        <v>13</v>
      </c>
      <c r="C4" s="1" t="s">
        <v>11</v>
      </c>
      <c r="D4" s="2">
        <v>28445.49</v>
      </c>
      <c r="E4" s="2">
        <v>0</v>
      </c>
      <c r="F4" s="2">
        <f>E4-D4</f>
        <v>-28445.49</v>
      </c>
      <c r="G4" s="2">
        <v>7952.47</v>
      </c>
      <c r="H4" s="2">
        <v>49371.61</v>
      </c>
      <c r="I4" s="2">
        <f t="shared" si="0"/>
        <v>41419.14</v>
      </c>
    </row>
    <row r="5" spans="1:9" ht="18" customHeight="1" x14ac:dyDescent="0.25">
      <c r="A5" s="1" t="s">
        <v>10</v>
      </c>
      <c r="B5" s="1" t="s">
        <v>14</v>
      </c>
      <c r="C5" s="1" t="s">
        <v>11</v>
      </c>
      <c r="D5" s="2">
        <v>0</v>
      </c>
      <c r="E5" s="2">
        <v>0</v>
      </c>
      <c r="F5" s="2">
        <v>0</v>
      </c>
      <c r="G5" s="2">
        <v>6341.81</v>
      </c>
      <c r="H5" s="2">
        <v>32332.19</v>
      </c>
      <c r="I5" s="2">
        <f t="shared" si="0"/>
        <v>25990.379999999997</v>
      </c>
    </row>
    <row r="6" spans="1:9" ht="18" customHeight="1" x14ac:dyDescent="0.25">
      <c r="A6" s="1" t="s">
        <v>10</v>
      </c>
      <c r="B6" s="1" t="s">
        <v>15</v>
      </c>
      <c r="C6" s="1" t="s">
        <v>11</v>
      </c>
      <c r="D6" s="2">
        <v>25332.04</v>
      </c>
      <c r="E6" s="2">
        <v>181225.39</v>
      </c>
      <c r="F6" s="2">
        <f>E6-D6</f>
        <v>155893.35</v>
      </c>
      <c r="G6" s="2">
        <v>82920.710000000006</v>
      </c>
      <c r="H6" s="2">
        <v>266131.62</v>
      </c>
      <c r="I6" s="2">
        <f t="shared" si="0"/>
        <v>183210.90999999997</v>
      </c>
    </row>
    <row r="7" spans="1:9" ht="18" customHeight="1" x14ac:dyDescent="0.25">
      <c r="A7" s="1" t="s">
        <v>10</v>
      </c>
      <c r="B7" s="1" t="s">
        <v>2</v>
      </c>
      <c r="C7" s="1" t="s">
        <v>16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</row>
    <row r="8" spans="1:9" ht="18" customHeight="1" x14ac:dyDescent="0.25">
      <c r="A8" s="1" t="s">
        <v>10</v>
      </c>
      <c r="B8" s="1" t="s">
        <v>12</v>
      </c>
      <c r="C8" s="1" t="s">
        <v>16</v>
      </c>
      <c r="D8" s="2">
        <v>0</v>
      </c>
      <c r="E8" s="2">
        <v>0</v>
      </c>
      <c r="F8" s="2">
        <v>0</v>
      </c>
      <c r="G8" s="2">
        <v>2362.3200000000002</v>
      </c>
      <c r="H8" s="2">
        <v>10344.799999999999</v>
      </c>
      <c r="I8" s="2">
        <f t="shared" si="0"/>
        <v>7982.48</v>
      </c>
    </row>
    <row r="9" spans="1:9" ht="18" customHeight="1" x14ac:dyDescent="0.25">
      <c r="A9" s="1" t="s">
        <v>10</v>
      </c>
      <c r="B9" s="1" t="s">
        <v>13</v>
      </c>
      <c r="C9" s="1" t="s">
        <v>16</v>
      </c>
      <c r="D9" s="2">
        <v>5229.2</v>
      </c>
      <c r="E9" s="2">
        <v>0</v>
      </c>
      <c r="F9" s="2">
        <f>F4-D9</f>
        <v>-33674.69</v>
      </c>
      <c r="G9" s="2">
        <v>18694.71</v>
      </c>
      <c r="H9" s="2">
        <v>80155.320000000007</v>
      </c>
      <c r="I9" s="2">
        <f t="shared" si="0"/>
        <v>61460.610000000008</v>
      </c>
    </row>
    <row r="10" spans="1:9" ht="18" customHeight="1" x14ac:dyDescent="0.25">
      <c r="A10" s="1" t="s">
        <v>10</v>
      </c>
      <c r="B10" s="1" t="s">
        <v>14</v>
      </c>
      <c r="C10" s="1" t="s">
        <v>16</v>
      </c>
      <c r="D10" s="2">
        <v>0</v>
      </c>
      <c r="E10" s="2">
        <v>0</v>
      </c>
      <c r="F10" s="2">
        <v>0</v>
      </c>
      <c r="G10" s="2">
        <v>10006.209999999999</v>
      </c>
      <c r="H10" s="2">
        <v>36923.67</v>
      </c>
      <c r="I10" s="2">
        <f t="shared" si="0"/>
        <v>26917.46</v>
      </c>
    </row>
    <row r="11" spans="1:9" ht="18" customHeight="1" x14ac:dyDescent="0.25">
      <c r="A11" s="1" t="s">
        <v>10</v>
      </c>
      <c r="B11" s="1" t="s">
        <v>15</v>
      </c>
      <c r="C11" s="1" t="s">
        <v>16</v>
      </c>
      <c r="D11" s="2">
        <v>537.07000000000005</v>
      </c>
      <c r="E11" s="2">
        <v>292964.25</v>
      </c>
      <c r="F11" s="2">
        <f>E11-D11</f>
        <v>292427.18</v>
      </c>
      <c r="G11" s="2">
        <v>0</v>
      </c>
      <c r="H11" s="2">
        <v>441895.79</v>
      </c>
      <c r="I11" s="2">
        <f t="shared" si="0"/>
        <v>441895.79</v>
      </c>
    </row>
    <row r="12" spans="1:9" ht="18" customHeight="1" x14ac:dyDescent="0.25">
      <c r="A12" s="1" t="s">
        <v>10</v>
      </c>
      <c r="B12" s="1" t="s">
        <v>2</v>
      </c>
      <c r="C12" s="1" t="s">
        <v>17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</row>
    <row r="13" spans="1:9" ht="18" customHeight="1" x14ac:dyDescent="0.25">
      <c r="A13" s="1" t="s">
        <v>10</v>
      </c>
      <c r="B13" s="1" t="s">
        <v>12</v>
      </c>
      <c r="C13" s="1" t="s">
        <v>17</v>
      </c>
      <c r="D13" s="2">
        <v>0</v>
      </c>
      <c r="E13" s="2">
        <v>0</v>
      </c>
      <c r="F13" s="2">
        <v>0</v>
      </c>
      <c r="G13" s="2">
        <v>5783.56</v>
      </c>
      <c r="H13" s="2">
        <v>16577.259999999998</v>
      </c>
      <c r="I13" s="2">
        <f t="shared" si="0"/>
        <v>10793.699999999997</v>
      </c>
    </row>
    <row r="14" spans="1:9" ht="18" customHeight="1" x14ac:dyDescent="0.25">
      <c r="A14" s="1" t="s">
        <v>10</v>
      </c>
      <c r="B14" s="1" t="s">
        <v>13</v>
      </c>
      <c r="C14" s="1" t="s">
        <v>17</v>
      </c>
      <c r="D14" s="2">
        <v>4428.1400000000003</v>
      </c>
      <c r="E14" s="2">
        <v>0</v>
      </c>
      <c r="F14" s="2">
        <f>F9-D14</f>
        <v>-38102.83</v>
      </c>
      <c r="G14" s="2">
        <v>15830.58</v>
      </c>
      <c r="H14" s="2">
        <v>88738.29</v>
      </c>
      <c r="I14" s="2">
        <f t="shared" si="0"/>
        <v>72907.709999999992</v>
      </c>
    </row>
    <row r="15" spans="1:9" ht="18" customHeight="1" x14ac:dyDescent="0.25">
      <c r="A15" s="1" t="s">
        <v>10</v>
      </c>
      <c r="B15" s="1" t="s">
        <v>14</v>
      </c>
      <c r="C15" s="1" t="s">
        <v>17</v>
      </c>
      <c r="D15" s="2">
        <v>0</v>
      </c>
      <c r="E15" s="2">
        <v>0</v>
      </c>
      <c r="F15" s="2">
        <v>0</v>
      </c>
      <c r="G15" s="2">
        <v>15069.29</v>
      </c>
      <c r="H15" s="2">
        <v>65600.289999999994</v>
      </c>
      <c r="I15" s="2">
        <f t="shared" si="0"/>
        <v>50530.999999999993</v>
      </c>
    </row>
    <row r="16" spans="1:9" ht="18" customHeight="1" x14ac:dyDescent="0.25">
      <c r="A16" s="1" t="s">
        <v>10</v>
      </c>
      <c r="B16" s="1" t="s">
        <v>15</v>
      </c>
      <c r="C16" s="1" t="s">
        <v>17</v>
      </c>
      <c r="D16" s="2">
        <v>40806.910000000003</v>
      </c>
      <c r="E16" s="2">
        <v>307422.2</v>
      </c>
      <c r="F16" s="2">
        <f>E16-+D16</f>
        <v>266615.29000000004</v>
      </c>
      <c r="G16" s="2">
        <v>128976</v>
      </c>
      <c r="H16" s="2">
        <v>489988.96</v>
      </c>
      <c r="I16" s="2">
        <f t="shared" si="0"/>
        <v>361012.96</v>
      </c>
    </row>
    <row r="17" spans="1:9" ht="18" customHeight="1" x14ac:dyDescent="0.25">
      <c r="A17" s="1" t="s">
        <v>10</v>
      </c>
      <c r="B17" s="1" t="s">
        <v>2</v>
      </c>
      <c r="C17" s="1" t="s">
        <v>18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</row>
    <row r="18" spans="1:9" ht="18" customHeight="1" x14ac:dyDescent="0.25">
      <c r="A18" s="1" t="s">
        <v>10</v>
      </c>
      <c r="B18" s="1" t="s">
        <v>12</v>
      </c>
      <c r="C18" s="1" t="s">
        <v>18</v>
      </c>
      <c r="D18" s="2">
        <v>0</v>
      </c>
      <c r="E18" s="2">
        <v>0</v>
      </c>
      <c r="F18" s="2">
        <v>0</v>
      </c>
      <c r="G18" s="2">
        <v>2457.1799999999998</v>
      </c>
      <c r="H18" s="2">
        <v>13799.9</v>
      </c>
      <c r="I18" s="2">
        <f t="shared" si="0"/>
        <v>11342.72</v>
      </c>
    </row>
    <row r="19" spans="1:9" ht="18" customHeight="1" x14ac:dyDescent="0.25">
      <c r="A19" s="1" t="s">
        <v>10</v>
      </c>
      <c r="B19" s="1" t="s">
        <v>13</v>
      </c>
      <c r="C19" s="1" t="s">
        <v>18</v>
      </c>
      <c r="D19" s="2">
        <v>2283.11</v>
      </c>
      <c r="E19" s="2">
        <v>0</v>
      </c>
      <c r="F19" s="2">
        <f>F14-D19</f>
        <v>-40385.94</v>
      </c>
      <c r="G19" s="2"/>
      <c r="H19" s="2"/>
      <c r="I19" s="2">
        <f t="shared" si="0"/>
        <v>0</v>
      </c>
    </row>
    <row r="20" spans="1:9" ht="18" customHeight="1" x14ac:dyDescent="0.25">
      <c r="A20" s="1" t="s">
        <v>10</v>
      </c>
      <c r="B20" s="1" t="s">
        <v>14</v>
      </c>
      <c r="C20" s="1" t="s">
        <v>18</v>
      </c>
      <c r="D20" s="2">
        <v>0</v>
      </c>
      <c r="E20" s="2">
        <v>0</v>
      </c>
      <c r="F20" s="2">
        <v>0</v>
      </c>
      <c r="G20" s="2">
        <v>5021.6000000000004</v>
      </c>
      <c r="H20" s="2">
        <v>35950.21</v>
      </c>
      <c r="I20" s="2">
        <f t="shared" si="0"/>
        <v>30928.61</v>
      </c>
    </row>
    <row r="21" spans="1:9" ht="18" customHeight="1" x14ac:dyDescent="0.25">
      <c r="A21" s="1" t="s">
        <v>10</v>
      </c>
      <c r="B21" s="1" t="s">
        <v>15</v>
      </c>
      <c r="C21" s="1" t="s">
        <v>18</v>
      </c>
      <c r="D21" s="2">
        <v>33262.33</v>
      </c>
      <c r="E21" s="2">
        <v>191257.8</v>
      </c>
      <c r="F21" s="2">
        <f>E21-D21</f>
        <v>157995.46999999997</v>
      </c>
      <c r="G21" s="2">
        <v>36876.33</v>
      </c>
      <c r="H21" s="2">
        <v>480182.23</v>
      </c>
      <c r="I21" s="2">
        <f t="shared" si="0"/>
        <v>443305.89999999997</v>
      </c>
    </row>
    <row r="22" spans="1:9" ht="18" customHeight="1" x14ac:dyDescent="0.25">
      <c r="A22" s="1" t="s">
        <v>10</v>
      </c>
      <c r="B22" s="1" t="s">
        <v>2</v>
      </c>
      <c r="C22" s="1" t="s">
        <v>19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</row>
    <row r="23" spans="1:9" ht="18" customHeight="1" x14ac:dyDescent="0.25">
      <c r="A23" s="1" t="s">
        <v>10</v>
      </c>
      <c r="B23" s="1" t="s">
        <v>12</v>
      </c>
      <c r="C23" s="1" t="s">
        <v>19</v>
      </c>
      <c r="D23" s="2">
        <v>0</v>
      </c>
      <c r="E23" s="2">
        <v>0</v>
      </c>
      <c r="F23" s="2">
        <v>0</v>
      </c>
      <c r="G23" s="2">
        <v>2032.54</v>
      </c>
      <c r="H23" s="2">
        <v>15189.35</v>
      </c>
      <c r="I23" s="2">
        <f t="shared" si="0"/>
        <v>13156.810000000001</v>
      </c>
    </row>
    <row r="24" spans="1:9" ht="18" customHeight="1" x14ac:dyDescent="0.25">
      <c r="A24" s="1" t="s">
        <v>10</v>
      </c>
      <c r="B24" s="1" t="s">
        <v>13</v>
      </c>
      <c r="C24" s="1" t="s">
        <v>19</v>
      </c>
      <c r="D24" s="2">
        <v>905.02</v>
      </c>
      <c r="E24" s="2">
        <v>20811.75</v>
      </c>
      <c r="F24" s="2">
        <v>20479.21</v>
      </c>
      <c r="G24" s="2">
        <f>3235.64+15308.87</f>
        <v>18544.510000000002</v>
      </c>
      <c r="H24" s="2">
        <v>62610.879999999997</v>
      </c>
      <c r="I24" s="2">
        <f t="shared" si="0"/>
        <v>44066.369999999995</v>
      </c>
    </row>
    <row r="25" spans="1:9" ht="18" customHeight="1" x14ac:dyDescent="0.25">
      <c r="A25" s="1" t="s">
        <v>10</v>
      </c>
      <c r="B25" s="1" t="s">
        <v>14</v>
      </c>
      <c r="C25" s="1" t="s">
        <v>19</v>
      </c>
      <c r="D25" s="2">
        <v>0</v>
      </c>
      <c r="E25" s="2">
        <v>0</v>
      </c>
      <c r="F25" s="2">
        <v>0</v>
      </c>
      <c r="G25" s="2">
        <v>4924.49</v>
      </c>
      <c r="H25" s="2">
        <v>30213.33</v>
      </c>
      <c r="I25" s="2">
        <f t="shared" si="0"/>
        <v>25288.840000000004</v>
      </c>
    </row>
    <row r="26" spans="1:9" ht="18" customHeight="1" x14ac:dyDescent="0.25">
      <c r="A26" s="1" t="s">
        <v>10</v>
      </c>
      <c r="B26" s="1" t="s">
        <v>15</v>
      </c>
      <c r="C26" s="1" t="s">
        <v>19</v>
      </c>
      <c r="D26" s="2">
        <v>5431.92</v>
      </c>
      <c r="E26" s="2">
        <v>119033.38</v>
      </c>
      <c r="F26" s="2">
        <f>E26-D26</f>
        <v>113601.46</v>
      </c>
      <c r="G26" s="2">
        <v>5872.62</v>
      </c>
      <c r="H26" s="2">
        <v>168042.55</v>
      </c>
      <c r="I26" s="2">
        <f t="shared" si="0"/>
        <v>162169.93</v>
      </c>
    </row>
    <row r="27" spans="1:9" ht="18" customHeight="1" x14ac:dyDescent="0.25">
      <c r="A27" s="1" t="s">
        <v>10</v>
      </c>
      <c r="B27" s="1" t="s">
        <v>2</v>
      </c>
      <c r="C27" s="1" t="s">
        <v>20</v>
      </c>
      <c r="D27" s="2"/>
      <c r="E27" s="2"/>
      <c r="F27" s="2"/>
      <c r="G27" s="2"/>
      <c r="H27" s="2"/>
      <c r="I27" s="2">
        <f t="shared" si="0"/>
        <v>0</v>
      </c>
    </row>
    <row r="28" spans="1:9" ht="18" customHeight="1" x14ac:dyDescent="0.25">
      <c r="A28" s="1" t="s">
        <v>10</v>
      </c>
      <c r="B28" s="1" t="s">
        <v>12</v>
      </c>
      <c r="C28" s="1" t="s">
        <v>20</v>
      </c>
      <c r="D28" s="2">
        <v>0</v>
      </c>
      <c r="E28" s="2">
        <v>0</v>
      </c>
      <c r="F28" s="2">
        <v>0</v>
      </c>
      <c r="G28" s="2">
        <v>1818.97</v>
      </c>
      <c r="H28" s="2">
        <v>16725.57</v>
      </c>
      <c r="I28" s="2">
        <f t="shared" si="0"/>
        <v>14906.6</v>
      </c>
    </row>
    <row r="29" spans="1:9" ht="18" customHeight="1" x14ac:dyDescent="0.25">
      <c r="A29" s="1" t="s">
        <v>10</v>
      </c>
      <c r="B29" s="1" t="s">
        <v>13</v>
      </c>
      <c r="C29" s="1" t="s">
        <v>20</v>
      </c>
      <c r="D29" s="2">
        <v>3803.57</v>
      </c>
      <c r="E29" s="2">
        <v>79710.25</v>
      </c>
      <c r="F29" s="2">
        <f>E29-D29</f>
        <v>75906.679999999993</v>
      </c>
      <c r="G29" s="2">
        <v>13597.96</v>
      </c>
      <c r="H29" s="2">
        <v>121843.37</v>
      </c>
      <c r="I29" s="2">
        <f t="shared" si="0"/>
        <v>108245.41</v>
      </c>
    </row>
    <row r="30" spans="1:9" ht="18" customHeight="1" x14ac:dyDescent="0.25">
      <c r="A30" s="1" t="s">
        <v>10</v>
      </c>
      <c r="B30" s="1" t="s">
        <v>14</v>
      </c>
      <c r="C30" s="1" t="s">
        <v>20</v>
      </c>
      <c r="D30" s="2">
        <v>0</v>
      </c>
      <c r="E30" s="2">
        <v>0</v>
      </c>
      <c r="F30" s="2">
        <v>0</v>
      </c>
      <c r="G30" s="2">
        <v>10758.94</v>
      </c>
      <c r="H30" s="2">
        <v>75928.37</v>
      </c>
      <c r="I30" s="2">
        <f t="shared" si="0"/>
        <v>65169.429999999993</v>
      </c>
    </row>
    <row r="31" spans="1:9" ht="18" customHeight="1" x14ac:dyDescent="0.25">
      <c r="A31" s="1" t="s">
        <v>10</v>
      </c>
      <c r="B31" s="1" t="s">
        <v>15</v>
      </c>
      <c r="C31" s="1" t="s">
        <v>20</v>
      </c>
      <c r="D31" s="2">
        <v>85910.37</v>
      </c>
      <c r="E31" s="2">
        <v>207223.16</v>
      </c>
      <c r="F31" s="2">
        <f>E31-D31</f>
        <v>121312.79000000001</v>
      </c>
      <c r="G31" s="2">
        <v>316991.12</v>
      </c>
      <c r="H31" s="2">
        <v>519609.78</v>
      </c>
      <c r="I31" s="2">
        <f t="shared" si="0"/>
        <v>202618.66000000003</v>
      </c>
    </row>
    <row r="32" spans="1:9" ht="18" customHeight="1" x14ac:dyDescent="0.25">
      <c r="A32" s="1" t="s">
        <v>10</v>
      </c>
      <c r="B32" s="1" t="s">
        <v>2</v>
      </c>
      <c r="C32" s="1" t="s">
        <v>21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f t="shared" si="0"/>
        <v>0</v>
      </c>
    </row>
    <row r="33" spans="1:9" ht="18" customHeight="1" x14ac:dyDescent="0.25">
      <c r="A33" s="1" t="s">
        <v>10</v>
      </c>
      <c r="B33" s="1" t="s">
        <v>12</v>
      </c>
      <c r="C33" s="1" t="s">
        <v>21</v>
      </c>
      <c r="D33" s="2">
        <v>0</v>
      </c>
      <c r="E33" s="2">
        <v>0</v>
      </c>
      <c r="F33" s="2">
        <v>0</v>
      </c>
      <c r="G33" s="2">
        <v>997</v>
      </c>
      <c r="H33" s="2">
        <v>12781.52</v>
      </c>
      <c r="I33" s="2">
        <f t="shared" si="0"/>
        <v>11784.52</v>
      </c>
    </row>
    <row r="34" spans="1:9" ht="18" customHeight="1" x14ac:dyDescent="0.25">
      <c r="A34" s="1" t="s">
        <v>10</v>
      </c>
      <c r="B34" s="1" t="s">
        <v>13</v>
      </c>
      <c r="C34" s="1" t="s">
        <v>21</v>
      </c>
      <c r="D34" s="2">
        <v>4115.04</v>
      </c>
      <c r="E34" s="2">
        <v>41304.730000000003</v>
      </c>
      <c r="F34" s="2">
        <f>E34-D34</f>
        <v>37189.69</v>
      </c>
      <c r="G34" s="2">
        <v>14711.18</v>
      </c>
      <c r="H34" s="2">
        <v>98996.82</v>
      </c>
      <c r="I34" s="2">
        <f t="shared" si="0"/>
        <v>84285.640000000014</v>
      </c>
    </row>
    <row r="35" spans="1:9" ht="18" customHeight="1" x14ac:dyDescent="0.25">
      <c r="A35" s="1" t="s">
        <v>10</v>
      </c>
      <c r="B35" s="1" t="s">
        <v>14</v>
      </c>
      <c r="C35" s="1" t="s">
        <v>21</v>
      </c>
      <c r="D35" s="4">
        <v>0</v>
      </c>
      <c r="E35" s="4">
        <v>0</v>
      </c>
      <c r="F35" s="4">
        <v>0</v>
      </c>
      <c r="G35" s="4">
        <v>10492.21</v>
      </c>
      <c r="H35" s="4">
        <v>51957.74</v>
      </c>
      <c r="I35" s="2">
        <f t="shared" si="0"/>
        <v>41465.53</v>
      </c>
    </row>
    <row r="36" spans="1:9" ht="18" customHeight="1" x14ac:dyDescent="0.25">
      <c r="A36" s="1" t="s">
        <v>10</v>
      </c>
      <c r="B36" s="1" t="s">
        <v>15</v>
      </c>
      <c r="C36" s="1" t="s">
        <v>21</v>
      </c>
      <c r="D36" s="4">
        <v>16418.599999999999</v>
      </c>
      <c r="E36" s="4">
        <v>226524.83</v>
      </c>
      <c r="F36" s="4">
        <f>E36-D36</f>
        <v>210106.22999999998</v>
      </c>
      <c r="G36" s="4">
        <v>20816.599999999999</v>
      </c>
      <c r="H36" s="4">
        <v>268603.76</v>
      </c>
      <c r="I36" s="2">
        <f>H36-G36</f>
        <v>247787.16</v>
      </c>
    </row>
  </sheetData>
  <autoFilter ref="A1:I36" xr:uid="{A5161FB8-F832-47BE-89AD-F1E17088012F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</dc:creator>
  <cp:lastModifiedBy>Paulo</cp:lastModifiedBy>
  <dcterms:created xsi:type="dcterms:W3CDTF">2026-08-06T12:11:59Z</dcterms:created>
  <dcterms:modified xsi:type="dcterms:W3CDTF">2026-08-06T18:38:34Z</dcterms:modified>
</cp:coreProperties>
</file>